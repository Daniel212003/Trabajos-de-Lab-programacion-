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2 Indice" sheetId="1" state="visible" r:id="rId3"/>
    <sheet name="P2 a) Datos y Sintesis" sheetId="2" state="visible" r:id="rId4"/>
    <sheet name="P2 Calculadora M-C" sheetId="3" state="visible" r:id="rId5"/>
    <sheet name="P2 e) 10 posiciones" sheetId="4" state="visible" r:id="rId6"/>
    <sheet name="P2 f) Validacion" sheetId="5" state="visible" r:id="rId7"/>
    <sheet name="P2 Graficas" sheetId="6" state="visible" r:id="rId8"/>
    <sheet name="P2 Curva" sheetId="7" state="visible" r:id="rId9"/>
    <sheet name="P2 g) Contraste" sheetId="8" state="visible" r:id="rId10"/>
    <sheet name="Fila 1" sheetId="9" state="visible" r:id="rId11"/>
    <sheet name="Fila 2" sheetId="10" state="visible" r:id="rId12"/>
    <sheet name="Fila 3" sheetId="11" state="visible" r:id="rId13"/>
    <sheet name="Fila 4" sheetId="12" state="visible" r:id="rId14"/>
    <sheet name="Fila 5" sheetId="13" state="visible" r:id="rId15"/>
    <sheet name="Calculadora" sheetId="14" state="visible" r:id="rId16"/>
    <sheet name="Tabla" sheetId="15" state="visible" r:id="rId17"/>
  </sheets>
  <definedNames>
    <definedName function="false" hidden="false" localSheetId="8" name="_xlnm.Print_Area" vbProcedure="false">'Fila 1'!$B$1:$I$42</definedName>
    <definedName function="false" hidden="false" localSheetId="9" name="_xlnm.Print_Area" vbProcedure="false">'Fila 2'!$B$1:$I$42</definedName>
    <definedName function="false" hidden="false" localSheetId="10" name="_xlnm.Print_Area" vbProcedure="false">'Fila 3'!$B$1:$I$42</definedName>
    <definedName function="false" hidden="false" localSheetId="11" name="_xlnm.Print_Area" vbProcedure="false">'Fila 4'!$B$1:$I$42</definedName>
    <definedName function="false" hidden="false" localSheetId="12" name="_xlnm.Print_Area" vbProcedure="false">'Fila 5'!$B$1:$I$42</definedName>
    <definedName function="false" hidden="false" name="P2_a" vbProcedure="false">'P2 a) Datos y Sintesis'!$C$6</definedName>
    <definedName function="false" hidden="false" name="P2_al2" vbProcedure="false">'P2 a) Datos y Sintesis'!$C$11</definedName>
    <definedName function="false" hidden="false" name="P2_b" vbProcedure="false">'P2 a) Datos y Sintesis'!$C$7</definedName>
    <definedName function="false" hidden="false" name="P2_c" vbProcedure="false">'P2 a) Datos y Sintesis'!$C$8</definedName>
    <definedName function="false" hidden="false" name="P2_dmax" vbProcedure="false">'P2 a) Datos y Sintesis'!$C$33</definedName>
    <definedName function="false" hidden="false" name="P2_dmin" vbProcedure="false">'P2 a) Datos y Sintesis'!$C$31</definedName>
    <definedName function="false" hidden="false" name="P2_n" vbProcedure="false">'P2 a) Datos y Sintesis'!$C$9</definedName>
    <definedName function="false" hidden="false" name="P2_S" vbProcedure="false">'P2 a) Datos y Sintesis'!$C$35</definedName>
    <definedName function="false" hidden="false" name="P2_sentido" vbProcedure="false">'P2 a) Datos y Sintesis'!$C$10</definedName>
    <definedName function="false" hidden="false" name="P2_w2" vbProcedure="false">'P2 a) Datos y Sintesis'!$C$12</definedName>
    <definedName function="false" hidden="false" name="P2_w2sim" vbProcedure="false">'P2 f) Validacion'!$D$6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Dato del mecanismo: bancada, manivela, biela y bloque.</t>
        </r>
      </text>
    </comment>
    <comment ref="C17" authorId="0">
      <text>
        <r>
          <rPr>
            <sz val="10"/>
            <rFont val="Arial"/>
            <family val="2"/>
          </rPr>
          <t xml:space="preserve">Dato del mecanismo: O2, A, B (pasadores) y la junta prismatica del bloque.</t>
        </r>
      </text>
    </comment>
    <comment ref="C18" authorId="0">
      <text>
        <r>
          <rPr>
            <sz val="10"/>
            <rFont val="Arial"/>
            <family val="2"/>
          </rPr>
          <t xml:space="preserve">No hay levas ni engranes.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Dato de la corrida de MATLAB (rpm_diseno = 30 en P2_2_Analisis_Validacion.m).</t>
        </r>
      </text>
    </comment>
  </commentList>
</comments>
</file>

<file path=xl/sharedStrings.xml><?xml version="1.0" encoding="utf-8"?>
<sst xmlns="http://schemas.openxmlformats.org/spreadsheetml/2006/main" count="1339" uniqueCount="627">
  <si>
    <t xml:space="preserve">PROYECTO 2 - SEGUNDO PARCIAL DE MECANISMOS - DOSIFICADOR DE TOLVA</t>
  </si>
  <si>
    <t xml:space="preserve">Universidad Rafael Landivar - Ing. Eli Saul De Paz Aldana - Entrega: jueves 1 de octubre de 2026</t>
  </si>
  <si>
    <t xml:space="preserve">COMO USAR ESTE LIBRO</t>
  </si>
  <si>
    <t xml:space="preserve">Ejemplo</t>
  </si>
  <si>
    <t xml:space="preserve">Celda amarilla con texto azul</t>
  </si>
  <si>
    <t xml:space="preserve">Dato que puedes cambiar (entrada).</t>
  </si>
  <si>
    <t xml:space="preserve">Celda gris</t>
  </si>
  <si>
    <t xml:space="preserve">Formula: se calcula sola, no la edites.</t>
  </si>
  <si>
    <t xml:space="preserve">Texto verde</t>
  </si>
  <si>
    <t xml:space="preserve">Vinculo a otra hoja del libro.</t>
  </si>
  <si>
    <t xml:space="preserve">Celda lila</t>
  </si>
  <si>
    <t xml:space="preserve">Valor importado de MATLAB o Inventor (no es formula; la fuente esta indicada en la hoja).</t>
  </si>
  <si>
    <t xml:space="preserve">Celda verde clara</t>
  </si>
  <si>
    <t xml:space="preserve">Verificacion automatica (CUMPLE / VALIDADO).</t>
  </si>
  <si>
    <t xml:space="preserve">HOJAS DEL PROYECTO</t>
  </si>
  <si>
    <t xml:space="preserve">Inciso</t>
  </si>
  <si>
    <t xml:space="preserve">Hoja</t>
  </si>
  <si>
    <t xml:space="preserve">Que contiene</t>
  </si>
  <si>
    <t xml:space="preserve">a)</t>
  </si>
  <si>
    <t xml:space="preserve">P2 a) Datos y Sintesis</t>
  </si>
  <si>
    <t xml:space="preserve">Datos del mecanismo (unica hoja con medidas), sintesis de numero (Gruebler), sintesis dimensional paso a paso, puntos muertos, carrera, relacion de tiempos, angulo de transmision y verificacion de requisitos.</t>
  </si>
  <si>
    <t xml:space="preserve">e)</t>
  </si>
  <si>
    <t xml:space="preserve">P2 Calculadora M-C</t>
  </si>
  <si>
    <t xml:space="preserve">Calculadora de una posicion, paso a paso (abierta y cruzada). Por defecto θ2 = 36° = ejemplo resuelto del informe.</t>
  </si>
  <si>
    <t xml:space="preserve">P2 e) 10 posiciones</t>
  </si>
  <si>
    <t xml:space="preserve">Los 10 calculos de posicion, velocidad y aceleracion + comprobacion contra la Calculadora de Mecanismos (MATLAB).</t>
  </si>
  <si>
    <t xml:space="preserve">f)</t>
  </si>
  <si>
    <t xml:space="preserve">P2 f) Validacion</t>
  </si>
  <si>
    <t xml:space="preserve">Tabla de % de error por posicion: analitico (Excel) vs simulacion MATLAB vs Inventor.</t>
  </si>
  <si>
    <t xml:space="preserve">P2 Graficas</t>
  </si>
  <si>
    <t xml:space="preserve">Graficas de ω3 y α3 (y del bloque) en funcion de θ2, con los 10 puntos y la simulacion.</t>
  </si>
  <si>
    <t xml:space="preserve">P2 Curva</t>
  </si>
  <si>
    <t xml:space="preserve">Vuelta completa cada 0.5° (datos de las graficas).</t>
  </si>
  <si>
    <t xml:space="preserve">g)</t>
  </si>
  <si>
    <t xml:space="preserve">P2 g) Contraste</t>
  </si>
  <si>
    <t xml:space="preserve">Contraste experimental: escribir lo medido en el modelo; calcula diferencias y estima holguras, tolerancias, friccion y par del motor.</t>
  </si>
  <si>
    <t xml:space="preserve">d)</t>
  </si>
  <si>
    <t xml:space="preserve">(lo hace el grupo)</t>
  </si>
  <si>
    <t xml:space="preserve">Las 3 mediciones de rpm se escriben en la hoja g) (seccion 1) y en P2_2_Analisis_Validacion.m (rpm_medidas).</t>
  </si>
  <si>
    <t xml:space="preserve">—</t>
  </si>
  <si>
    <t xml:space="preserve">Fila 1 … Tabla</t>
  </si>
  <si>
    <t xml:space="preserve">Hojas originales de la calculadora de cuatro barras (sin cambios).</t>
  </si>
  <si>
    <t xml:space="preserve">Mecanismo: manivela-corredera descentrada (inversion del cuatro barras con una junta prismatica): a = 35 mm, b = 132 mm, c = −20 mm, 30 rpm de diseno.</t>
  </si>
  <si>
    <t xml:space="preserve">Las hojas originales "Calculadora" y "Tabla" resuelven el cuatro barras con pasadores (Freudenstein); el dosificador usa las hojas P2.</t>
  </si>
  <si>
    <t xml:space="preserve">PROYECTO 2 - DOSIFICADOR DE TOLVA (MANIVELA-CORREDERA DESCENTRADA)</t>
  </si>
  <si>
    <t xml:space="preserve">Segundo examen parcial de Mecanismos. Edita SOLO las celdas amarillas (columna C). Todas las hojas que empiezan con "P2" se recalculan solas con estos datos.</t>
  </si>
  <si>
    <t xml:space="preserve">1.  DATOS DEL MECANISMO   -   edita SOLO las celdas amarillas</t>
  </si>
  <si>
    <t xml:space="preserve">Parametro</t>
  </si>
  <si>
    <t xml:space="preserve">Simbolo</t>
  </si>
  <si>
    <t xml:space="preserve">Valor</t>
  </si>
  <si>
    <t xml:space="preserve">Unidad</t>
  </si>
  <si>
    <t xml:space="preserve">Descripcion</t>
  </si>
  <si>
    <t xml:space="preserve">Manivela (eslabon 2)</t>
  </si>
  <si>
    <t xml:space="preserve">a</t>
  </si>
  <si>
    <t xml:space="preserve">mm</t>
  </si>
  <si>
    <t xml:space="preserve">O2-A. La mueve el motor (rueda naranja en Inventor).</t>
  </si>
  <si>
    <t xml:space="preserve">Biela (acoplador, eslabon 3)</t>
  </si>
  <si>
    <t xml:space="preserve">b</t>
  </si>
  <si>
    <t xml:space="preserve">A-B (acoplador magenta en Inventor).</t>
  </si>
  <si>
    <t xml:space="preserve">Descentrado de la corredera</t>
  </si>
  <si>
    <t xml:space="preserve">c</t>
  </si>
  <si>
    <t xml:space="preserve">Negativo: el eje del bloque pasa 20 mm por debajo de O2.</t>
  </si>
  <si>
    <t xml:space="preserve">Velocidad del motor (diseno)</t>
  </si>
  <si>
    <t xml:space="preserve">n</t>
  </si>
  <si>
    <t xml:space="preserve">rpm</t>
  </si>
  <si>
    <t xml:space="preserve">Se usa en los calculos hasta que el grupo mida la real (inciso d).</t>
  </si>
  <si>
    <t xml:space="preserve">Sentido de giro</t>
  </si>
  <si>
    <t xml:space="preserve">s</t>
  </si>
  <si>
    <t xml:space="preserve">-</t>
  </si>
  <si>
    <t xml:space="preserve">+1 antihorario (visto desde el lado de la biela), -1 horario.</t>
  </si>
  <si>
    <t xml:space="preserve">Aceleracion angular de entrada</t>
  </si>
  <si>
    <t xml:space="preserve">α2</t>
  </si>
  <si>
    <t xml:space="preserve">rad/s²</t>
  </si>
  <si>
    <t xml:space="preserve">0 = el motor gira a velocidad constante.</t>
  </si>
  <si>
    <t xml:space="preserve">Velocidad angular de entrada</t>
  </si>
  <si>
    <t xml:space="preserve">ω2</t>
  </si>
  <si>
    <t xml:space="preserve">rad/s</t>
  </si>
  <si>
    <t xml:space="preserve">ω2 = s·n·2π/60</t>
  </si>
  <si>
    <t xml:space="preserve">2.  SINTESIS DE NUMERO (Gruebler)   -   automatico</t>
  </si>
  <si>
    <t xml:space="preserve">Concepto</t>
  </si>
  <si>
    <t xml:space="preserve">Notas</t>
  </si>
  <si>
    <t xml:space="preserve">Eslabones (bancada, manivela, biela, bloque)</t>
  </si>
  <si>
    <t xml:space="preserve">L</t>
  </si>
  <si>
    <t xml:space="preserve">Juntas completas (3 pasadores + 1 corredera)</t>
  </si>
  <si>
    <t xml:space="preserve">J1</t>
  </si>
  <si>
    <t xml:space="preserve">Semijuntas</t>
  </si>
  <si>
    <t xml:space="preserve">J2</t>
  </si>
  <si>
    <t xml:space="preserve">Grados de libertad</t>
  </si>
  <si>
    <t xml:space="preserve">M</t>
  </si>
  <si>
    <t xml:space="preserve">M = 3(L-1) - 2J1 - J2. M = 1: un solo motor define todo el movimiento.</t>
  </si>
  <si>
    <t xml:space="preserve">3.  SINTESIS DIMENSIONAL PASO A PASO   -   automatico</t>
  </si>
  <si>
    <t xml:space="preserve">Paso / requisito</t>
  </si>
  <si>
    <t xml:space="preserve">Expresion y criterio</t>
  </si>
  <si>
    <t xml:space="preserve">R1. Carrera deseada del bloque (dosis)</t>
  </si>
  <si>
    <t xml:space="preserve">S obj</t>
  </si>
  <si>
    <t xml:space="preserve">Requisito de diseno: tamano de la dosis.</t>
  </si>
  <si>
    <t xml:space="preserve">Paso 1. Manivela sugerida (corredera centrada)</t>
  </si>
  <si>
    <t xml:space="preserve">a ≈ S/2</t>
  </si>
  <si>
    <t xml:space="preserve">En la manivela-corredera centrada la carrera vale 2a.</t>
  </si>
  <si>
    <t xml:space="preserve">Paso 2. Biela minima para vuelta completa</t>
  </si>
  <si>
    <t xml:space="preserve">b min</t>
  </si>
  <si>
    <t xml:space="preserve">R2: la manivela gira completa si b ≥ a + |c|.</t>
  </si>
  <si>
    <t xml:space="preserve">Paso 3. Biela minima para μ ≥ 45°</t>
  </si>
  <si>
    <t xml:space="preserve">b μ45</t>
  </si>
  <si>
    <t xml:space="preserve">R3: el peor μ ocurre en θ2 = 90°: sen(90°-μ) = (a+|c|)/b.</t>
  </si>
  <si>
    <t xml:space="preserve">Paso 4. Relacion biela/manivela elegida</t>
  </si>
  <si>
    <t xml:space="preserve">b/a</t>
  </si>
  <si>
    <t xml:space="preserve">R5: biela larga (b/a &gt; 3): menos aceleracion y el bloque no choca con la manivela.</t>
  </si>
  <si>
    <t xml:space="preserve">4.  RESULTADOS DE LA SINTESIS (inciso a)   -   automatico</t>
  </si>
  <si>
    <t xml:space="preserve">Expresion</t>
  </si>
  <si>
    <t xml:space="preserve">Posicion en el punto muerto interior</t>
  </si>
  <si>
    <t xml:space="preserve">d min</t>
  </si>
  <si>
    <t xml:space="preserve">d min = √((b−a)² − c²)</t>
  </si>
  <si>
    <t xml:space="preserve">θ2 en el punto muerto interior</t>
  </si>
  <si>
    <t xml:space="preserve">θ2 int</t>
  </si>
  <si>
    <t xml:space="preserve">°</t>
  </si>
  <si>
    <t xml:space="preserve">θ2 = 180° + asen(c/(b−a))</t>
  </si>
  <si>
    <t xml:space="preserve">Posicion en el punto muerto exterior</t>
  </si>
  <si>
    <t xml:space="preserve">d max</t>
  </si>
  <si>
    <t xml:space="preserve">d max = √((a+b)² − c²)</t>
  </si>
  <si>
    <t xml:space="preserve">θ2 en el punto muerto exterior</t>
  </si>
  <si>
    <t xml:space="preserve">θ2 ext</t>
  </si>
  <si>
    <t xml:space="preserve">θ2 = asen(c/(a+b))</t>
  </si>
  <si>
    <t xml:space="preserve">Carrera del bloque</t>
  </si>
  <si>
    <t xml:space="preserve">S</t>
  </si>
  <si>
    <t xml:space="preserve">S = d max − d min</t>
  </si>
  <si>
    <t xml:space="preserve">Angulo de manivela en el avance</t>
  </si>
  <si>
    <t xml:space="preserve">β av</t>
  </si>
  <si>
    <t xml:space="preserve">Avance: el bloque se aleja de O2 y empuja el material.</t>
  </si>
  <si>
    <t xml:space="preserve">Angulo de manivela en el retorno</t>
  </si>
  <si>
    <t xml:space="preserve">β ret</t>
  </si>
  <si>
    <t xml:space="preserve">β ret = 360° − β av</t>
  </si>
  <si>
    <t xml:space="preserve">Relacion de tiempos</t>
  </si>
  <si>
    <t xml:space="preserve">Q</t>
  </si>
  <si>
    <t xml:space="preserve">Q = β av / β ret (≠ 1 por el descentrado)</t>
  </si>
  <si>
    <t xml:space="preserve">Angulo de transmision minimo</t>
  </si>
  <si>
    <t xml:space="preserve">μ min</t>
  </si>
  <si>
    <t xml:space="preserve">μ min = 90° − asen((a+|c|)/b)</t>
  </si>
  <si>
    <t xml:space="preserve">θ2 donde ocurre μ min</t>
  </si>
  <si>
    <t xml:space="preserve">θ2 μmin</t>
  </si>
  <si>
    <t xml:space="preserve">Manivela perpendicular a la corredera.</t>
  </si>
  <si>
    <t xml:space="preserve">5.  VERIFICACION DE LOS REQUISITOS</t>
  </si>
  <si>
    <t xml:space="preserve">Requisito</t>
  </si>
  <si>
    <t xml:space="preserve">Resultado</t>
  </si>
  <si>
    <t xml:space="preserve">Criterio</t>
  </si>
  <si>
    <t xml:space="preserve">R1. Carrera cercana a la deseada</t>
  </si>
  <si>
    <t xml:space="preserve">|S − S obj| ≤ 5 %</t>
  </si>
  <si>
    <t xml:space="preserve">R2. La manivela da vuelta completa</t>
  </si>
  <si>
    <t xml:space="preserve">b ≥ a + |c|</t>
  </si>
  <si>
    <t xml:space="preserve">R3. Angulo de transmision minimo ≥ 45°</t>
  </si>
  <si>
    <t xml:space="preserve">μ min ≥ 45°</t>
  </si>
  <si>
    <t xml:space="preserve">R5. Biela larga</t>
  </si>
  <si>
    <t xml:space="preserve">b/a &gt; 3</t>
  </si>
  <si>
    <t xml:space="preserve">M = 1</t>
  </si>
  <si>
    <t xml:space="preserve">R4 (descentrado c = −20 mm) es una condicion geometrica del ensamble: el eje del motor queda 20 mm arriba del pasador del bloque.</t>
  </si>
  <si>
    <t xml:space="preserve">CALCULADORA MANIVELA-CORREDERA (una posicion, paso a paso)</t>
  </si>
  <si>
    <t xml:space="preserve">Mismas ecuaciones que la Calculadora_Mecanismos.m del grupo (mecanismo 3). Las medidas y ω2 vienen de la hoja "P2 a) Datos y Sintesis"; aqui solo se cambia θ2 (celda amarilla). Por defecto θ2 = 36°: es el ejemplo resuelto del informe.</t>
  </si>
  <si>
    <t xml:space="preserve">1.  DATOS</t>
  </si>
  <si>
    <t xml:space="preserve">Origen</t>
  </si>
  <si>
    <t xml:space="preserve">Manivela</t>
  </si>
  <si>
    <t xml:space="preserve">Hoja P2 a) Datos y Sintesis</t>
  </si>
  <si>
    <t xml:space="preserve">Biela</t>
  </si>
  <si>
    <t xml:space="preserve">Descentrado</t>
  </si>
  <si>
    <t xml:space="preserve">Angulo de la manivela</t>
  </si>
  <si>
    <t xml:space="preserve">θ2</t>
  </si>
  <si>
    <t xml:space="preserve">grados</t>
  </si>
  <si>
    <t xml:space="preserve">Escribe cualquier angulo de 0 a 360.</t>
  </si>
  <si>
    <t xml:space="preserve">2.  POSICION</t>
  </si>
  <si>
    <t xml:space="preserve">Variable</t>
  </si>
  <si>
    <t xml:space="preserve">Solucion ABIERTA</t>
  </si>
  <si>
    <t xml:space="preserve">Solucion CRUZADA</t>
  </si>
  <si>
    <t xml:space="preserve">Expresion (Norton)</t>
  </si>
  <si>
    <t xml:space="preserve">Seno del angulo de la biela (auxiliar)</t>
  </si>
  <si>
    <t xml:space="preserve">s = (a·sen θ2 − c)/b</t>
  </si>
  <si>
    <t xml:space="preserve">Angulo de la biela</t>
  </si>
  <si>
    <t xml:space="preserve">θ3</t>
  </si>
  <si>
    <t xml:space="preserve">θ3 = 180° − asen(s)  (abierta);  θ3 = asen(s)  (cruzada)</t>
  </si>
  <si>
    <t xml:space="preserve">Posicion del bloque</t>
  </si>
  <si>
    <t xml:space="preserve">d</t>
  </si>
  <si>
    <t xml:space="preserve">d = a·cos θ2 − b·cos θ3</t>
  </si>
  <si>
    <t xml:space="preserve">Punto A - x</t>
  </si>
  <si>
    <t xml:space="preserve">Ax</t>
  </si>
  <si>
    <t xml:space="preserve">Ax = a·cos θ2</t>
  </si>
  <si>
    <t xml:space="preserve">Punto A - y</t>
  </si>
  <si>
    <t xml:space="preserve">Ay</t>
  </si>
  <si>
    <t xml:space="preserve">Ay = a·sen θ2</t>
  </si>
  <si>
    <t xml:space="preserve">Punto B - x</t>
  </si>
  <si>
    <t xml:space="preserve">Bx</t>
  </si>
  <si>
    <t xml:space="preserve">Bx = d</t>
  </si>
  <si>
    <t xml:space="preserve">Punto B - y</t>
  </si>
  <si>
    <t xml:space="preserve">By</t>
  </si>
  <si>
    <t xml:space="preserve">By = c</t>
  </si>
  <si>
    <t xml:space="preserve">Angulo de transmision</t>
  </si>
  <si>
    <t xml:space="preserve">μ</t>
  </si>
  <si>
    <t xml:space="preserve">Angulo agudo entre la biela y la normal a la corredera</t>
  </si>
  <si>
    <t xml:space="preserve">Comprobacion del lazo en x (debe ser 0)</t>
  </si>
  <si>
    <t xml:space="preserve">Rx</t>
  </si>
  <si>
    <t xml:space="preserve">a·cos θ2 − b·cos θ3 − d = 0</t>
  </si>
  <si>
    <t xml:space="preserve">Comprobacion del lazo en y (debe ser 0)</t>
  </si>
  <si>
    <t xml:space="preserve">Ry</t>
  </si>
  <si>
    <t xml:space="preserve">a·sen θ2 − b·sen θ3 − c = 0</t>
  </si>
  <si>
    <t xml:space="preserve">3.  VELOCIDAD</t>
  </si>
  <si>
    <t xml:space="preserve">Velocidad angular de la biela</t>
  </si>
  <si>
    <t xml:space="preserve">ω3</t>
  </si>
  <si>
    <t xml:space="preserve">ω3 = a·ω2·cos θ2 / (b·cos θ3)</t>
  </si>
  <si>
    <t xml:space="preserve">Velocidad del bloque</t>
  </si>
  <si>
    <t xml:space="preserve">V_B</t>
  </si>
  <si>
    <t xml:space="preserve">mm/s</t>
  </si>
  <si>
    <t xml:space="preserve">V_B = −a·ω2·sen θ2 + b·ω3·sen θ3</t>
  </si>
  <si>
    <t xml:space="preserve">Velocidad de A - x</t>
  </si>
  <si>
    <t xml:space="preserve">VAx</t>
  </si>
  <si>
    <t xml:space="preserve">VAx = −a·ω2·sen θ2</t>
  </si>
  <si>
    <t xml:space="preserve">Velocidad de A - y</t>
  </si>
  <si>
    <t xml:space="preserve">VAy</t>
  </si>
  <si>
    <t xml:space="preserve">VAy = a·ω2·cos θ2</t>
  </si>
  <si>
    <t xml:space="preserve">Velocidad de A - magnitud</t>
  </si>
  <si>
    <t xml:space="preserve">|V_A|</t>
  </si>
  <si>
    <t xml:space="preserve">|V_A| = a·|ω2| (constante)</t>
  </si>
  <si>
    <t xml:space="preserve">Velocidad de B respecto de A</t>
  </si>
  <si>
    <t xml:space="preserve">|V_B/A|</t>
  </si>
  <si>
    <t xml:space="preserve">|V_B/A| = b·|ω3|</t>
  </si>
  <si>
    <t xml:space="preserve">4.  ACELERACION</t>
  </si>
  <si>
    <t xml:space="preserve">Aceleracion angular de la biela</t>
  </si>
  <si>
    <t xml:space="preserve">α3</t>
  </si>
  <si>
    <t xml:space="preserve">α3 = (a·α2·cos θ2 − a·ω2²·sen θ2 + b·ω3²·sen θ3) / (b·cos θ3)</t>
  </si>
  <si>
    <t xml:space="preserve">Aceleracion del bloque</t>
  </si>
  <si>
    <t xml:space="preserve">A_B</t>
  </si>
  <si>
    <t xml:space="preserve">mm/s²</t>
  </si>
  <si>
    <t xml:space="preserve">A_B = −a·α2·sen θ2 − a·ω2²·cos θ2 + b·α3·sen θ3 + b·ω3²·cos θ3</t>
  </si>
  <si>
    <t xml:space="preserve">Aceleracion de A - x</t>
  </si>
  <si>
    <t xml:space="preserve">AAx</t>
  </si>
  <si>
    <t xml:space="preserve">AAx = −a·ω2²·cos θ2 − a·α2·sen θ2</t>
  </si>
  <si>
    <t xml:space="preserve">Aceleracion de A - y</t>
  </si>
  <si>
    <t xml:space="preserve">AAy</t>
  </si>
  <si>
    <t xml:space="preserve">AAy = −a·ω2²·sen θ2 + a·α2·cos θ2</t>
  </si>
  <si>
    <t xml:space="preserve">Aceleracion de A - magnitud</t>
  </si>
  <si>
    <t xml:space="preserve">|A_A|</t>
  </si>
  <si>
    <t xml:space="preserve">|A_A| = a·ω2² (si α2 = 0)</t>
  </si>
  <si>
    <t xml:space="preserve">Signos: ω y α positivos = antihorario. V_B &lt; 0: el bloque se acerca a O2 (retorno). La solucion ABIERTA es la del dosificador (bloque a la derecha de O2).</t>
  </si>
  <si>
    <t xml:space="preserve">INCISO e)  -  POSICION, VELOCIDAD Y ACELERACION EN 10 POSICIONES</t>
  </si>
  <si>
    <t xml:space="preserve">Ecuaciones cerradas de Norton para la manivela-corredera (solucion abierta). Los angulos θ2 (amarillo) se pueden cambiar; medidas y ω2 vienen de "P2 a) Datos y Sintesis".</t>
  </si>
  <si>
    <t xml:space="preserve">1.  RESULTADOS DE LAS 10 POSICIONES</t>
  </si>
  <si>
    <t xml:space="preserve">Pos</t>
  </si>
  <si>
    <t xml:space="preserve">θ2 (°)</t>
  </si>
  <si>
    <t xml:space="preserve">θ3 (°)</t>
  </si>
  <si>
    <t xml:space="preserve">d (mm)</t>
  </si>
  <si>
    <t xml:space="preserve">μ (°)</t>
  </si>
  <si>
    <t xml:space="preserve">ω3 (rad/s)</t>
  </si>
  <si>
    <t xml:space="preserve">V_B (mm/s)</t>
  </si>
  <si>
    <t xml:space="preserve">α3 (rad/s²)</t>
  </si>
  <si>
    <t xml:space="preserve">A_B (mm/s²)</t>
  </si>
  <si>
    <t xml:space="preserve">|V_A| (mm/s)</t>
  </si>
  <si>
    <t xml:space="preserve">|A_A| (mm/s²)</t>
  </si>
  <si>
    <t xml:space="preserve">Sentido del bloque</t>
  </si>
  <si>
    <t xml:space="preserve">Extremos entre las 10 posiciones:</t>
  </si>
  <si>
    <t xml:space="preserve">max |V_B| (mm/s)</t>
  </si>
  <si>
    <t xml:space="preserve">En la vuelta completa (hoja P2 Curva): max |V_B| =</t>
  </si>
  <si>
    <t xml:space="preserve">max |A_B| (mm/s²)</t>
  </si>
  <si>
    <t xml:space="preserve">En la vuelta completa (hoja P2 Curva): max |A_B| =</t>
  </si>
  <si>
    <t xml:space="preserve">max |ω3| (rad/s)</t>
  </si>
  <si>
    <t xml:space="preserve">En la vuelta completa (hoja P2 Curva): max |ω3| =</t>
  </si>
  <si>
    <t xml:space="preserve">max |α3| (rad/s²)</t>
  </si>
  <si>
    <t xml:space="preserve">En la vuelta completa (hoja P2 Curva): max |α3| =</t>
  </si>
  <si>
    <t xml:space="preserve">2.  COMPROBACION CON LA CALCULADORA DE MECANISMOS DEL GRUPO (MATLAB, mecanismo 3, solucion Abierta)</t>
  </si>
  <si>
    <t xml:space="preserve">Valores que muestra la calculadora en pantalla (4 decimales) con a = 35, b = 132, c = −20, ω2 = 3.1416 rad/s (30 rpm), α2 = 0. Fuente: P2_1_Calculadora_10_posiciones.m (Resultados_MATLAB/calculadora_10pos.json y capturas). La diferencia solo es de redondeo mientras los datos de la hoja de Datos sean los de diseno.</t>
  </si>
  <si>
    <t xml:space="preserve">θ3 calc</t>
  </si>
  <si>
    <t xml:space="preserve">d calc</t>
  </si>
  <si>
    <t xml:space="preserve">μ calc</t>
  </si>
  <si>
    <t xml:space="preserve">ω3 calc</t>
  </si>
  <si>
    <t xml:space="preserve">V_B calc</t>
  </si>
  <si>
    <t xml:space="preserve">α3 calc</t>
  </si>
  <si>
    <t xml:space="preserve">A_B calc</t>
  </si>
  <si>
    <t xml:space="preserve">max |Excel − calc|</t>
  </si>
  <si>
    <t xml:space="preserve">Coinciden</t>
  </si>
  <si>
    <t xml:space="preserve">Las celdas lilas son valores importados (no formulas). Si cambias a, b, c, n o los θ2, la comparacion deja de aplicar hasta volver a correr la calculadora.</t>
  </si>
  <si>
    <t xml:space="preserve">INCISO f)  -  VALIDACION COMPUTACIONAL Y PORCENTAJE DE ERROR</t>
  </si>
  <si>
    <t xml:space="preserve">Analitico = formulas de este libro. Simulacion MATLAB (Newton-Raphson + derivacion numerica, 720 pasos) e Inventor (ensamble girado a cada posicion ±0.5°) = valores importados de Resultados_MATLAB/Resultados_Parcial2.xlsx (P2_2_Analisis_Validacion.m), corridos a 30 rpm.</t>
  </si>
  <si>
    <t xml:space="preserve">1.  VELOCIDAD DE LA CORRIDA DE MATLAB</t>
  </si>
  <si>
    <t xml:space="preserve">Velocidad del motor usada en la simulacion</t>
  </si>
  <si>
    <t xml:space="preserve">Aqui ω2 es fijo (30 rpm) para comparar contra la misma corrida; no depende de la hoja de Datos.</t>
  </si>
  <si>
    <t xml:space="preserve">ω2 de la simulacion</t>
  </si>
  <si>
    <t xml:space="preserve">2.  TABLA DE PORCENTAJE DE ERROR POR POSICION  (|valor − analitico| / |analitico| × 100)</t>
  </si>
  <si>
    <t xml:space="preserve">θ3 (%)</t>
  </si>
  <si>
    <t xml:space="preserve">d (%)</t>
  </si>
  <si>
    <t xml:space="preserve">ω3 (%)</t>
  </si>
  <si>
    <t xml:space="preserve">V_B (%)</t>
  </si>
  <si>
    <t xml:space="preserve">α3 (%)</t>
  </si>
  <si>
    <t xml:space="preserve">A_B (%)</t>
  </si>
  <si>
    <t xml:space="preserve">Max fila (%)</t>
  </si>
  <si>
    <t xml:space="preserve">← simulacion MATLAB</t>
  </si>
  <si>
    <t xml:space="preserve">Error maximo, simulacion MATLAB (%):</t>
  </si>
  <si>
    <t xml:space="preserve">← ensamble de Inventor</t>
  </si>
  <si>
    <t xml:space="preserve">Error maximo, Inventor (%):</t>
  </si>
  <si>
    <t xml:space="preserve">3.  VALORES DETALLADOS POR VARIABLE (analitico vs simulacion MATLAB vs Inventor)</t>
  </si>
  <si>
    <t xml:space="preserve">θ3  (°)</t>
  </si>
  <si>
    <t xml:space="preserve">Analitico (Excel)</t>
  </si>
  <si>
    <t xml:space="preserve">Simulacion MATLAB</t>
  </si>
  <si>
    <t xml:space="preserve">Inventor</t>
  </si>
  <si>
    <t xml:space="preserve">Error MATLAB (%)</t>
  </si>
  <si>
    <t xml:space="preserve">Error Inventor (%)</t>
  </si>
  <si>
    <t xml:space="preserve">Dif. MATLAB</t>
  </si>
  <si>
    <t xml:space="preserve">Dif. Inventor</t>
  </si>
  <si>
    <t xml:space="preserve">d  (mm)</t>
  </si>
  <si>
    <t xml:space="preserve">ω3  (rad/s)</t>
  </si>
  <si>
    <t xml:space="preserve">V_B  (mm/s)</t>
  </si>
  <si>
    <t xml:space="preserve">α3  (rad/s²)</t>
  </si>
  <si>
    <t xml:space="preserve">A_B  (mm/s²)</t>
  </si>
  <si>
    <t xml:space="preserve">GRAFICAS EN FUNCION DEL ANGULO DE ENTRADA θ2</t>
  </si>
  <si>
    <t xml:space="preserve">Curva = formulas de la hoja "P2 Curva" (vuelta completa). Puntos = las 10 posiciones del inciso e) y la simulacion de MATLAB del inciso f).</t>
  </si>
  <si>
    <t xml:space="preserve">Nota: los puntos de MATLAB son de la corrida a 30 rpm. Si cambias la velocidad en la hoja de Datos, la curva cambia y los puntos de MATLAB no (vuelve a correr P2_2_Analisis_Validacion.m).</t>
  </si>
  <si>
    <t xml:space="preserve">VUELTA COMPLETA DE LA MANIVELA (cada 0.5°) - datos de las graficas</t>
  </si>
  <si>
    <t xml:space="preserve">Formulas vivas con los datos de "P2 a) Datos y Sintesis". Las columnas K a M ubican los 10 puntos del inciso e) y los de la simulacion para las graficas.</t>
  </si>
  <si>
    <t xml:space="preserve">μ recomendado (°)</t>
  </si>
  <si>
    <t xml:space="preserve">INCISO g)  -  CONTRASTE EXPERIMENTAL (modelo fisico vs modelo teorico)</t>
  </si>
  <si>
    <t xml:space="preserve">Llena las celdas amarillas con lo que midan en el modelo impreso. Mientras esten vacias, la hoja muestra "—". Las mediciones de rpm vienen del inciso d).</t>
  </si>
  <si>
    <t xml:space="preserve">1.  VELOCIDAD ANGULAR DE ENTRADA (dato del inciso d)</t>
  </si>
  <si>
    <t xml:space="preserve">Medicion</t>
  </si>
  <si>
    <t xml:space="preserve">Instrumento usado</t>
  </si>
  <si>
    <t xml:space="preserve">p. ej. tacometro optico (laser) / video a 60 fps</t>
  </si>
  <si>
    <t xml:space="preserve">n medida 1</t>
  </si>
  <si>
    <t xml:space="preserve">Contar varias vueltas en cada medicion (con carga en la tolva).</t>
  </si>
  <si>
    <t xml:space="preserve">n medida 2</t>
  </si>
  <si>
    <t xml:space="preserve">n medida 3</t>
  </si>
  <si>
    <t xml:space="preserve">Numero de mediciones</t>
  </si>
  <si>
    <t xml:space="preserve">N</t>
  </si>
  <si>
    <t xml:space="preserve">Promedio</t>
  </si>
  <si>
    <t xml:space="preserve">n med</t>
  </si>
  <si>
    <t xml:space="preserve">Desviacion estandar (muestral)</t>
  </si>
  <si>
    <t xml:space="preserve">Coeficiente de variacion</t>
  </si>
  <si>
    <t xml:space="preserve">CV</t>
  </si>
  <si>
    <t xml:space="preserve">%</t>
  </si>
  <si>
    <t xml:space="preserve">Incertidumbre del promedio (95 %)</t>
  </si>
  <si>
    <t xml:space="preserve">U95</t>
  </si>
  <si>
    <t xml:space="preserve">U95 = t(95 %, N−1)·s/√N   (t = 4.303 para N = 3)</t>
  </si>
  <si>
    <t xml:space="preserve">ω2 medida</t>
  </si>
  <si>
    <t xml:space="preserve">ω2 med</t>
  </si>
  <si>
    <t xml:space="preserve">ω2 usada en los calculos (diseno)</t>
  </si>
  <si>
    <t xml:space="preserve">ω2 teo</t>
  </si>
  <si>
    <t xml:space="preserve">Diferencia medida vs diseno</t>
  </si>
  <si>
    <t xml:space="preserve">Δ</t>
  </si>
  <si>
    <t xml:space="preserve">Si la diferencia es grande, recalcula todo con la velocidad medida: escribe n med en la hoja de Datos (C9).</t>
  </si>
  <si>
    <t xml:space="preserve">2.  MAGNITUDES DE SALIDA: TEORICO vs MEDIDO</t>
  </si>
  <si>
    <t xml:space="preserve">Magnitud</t>
  </si>
  <si>
    <t xml:space="preserve">Teorico</t>
  </si>
  <si>
    <t xml:space="preserve">Medido</t>
  </si>
  <si>
    <t xml:space="preserve">Diferencia (%)</t>
  </si>
  <si>
    <t xml:space="preserve">Como se mide</t>
  </si>
  <si>
    <t xml:space="preserve">Carrera del bloque (con vernier, en los dos puntos muertos)</t>
  </si>
  <si>
    <t xml:space="preserve">Llevar la manivela a mano a θ2 int y θ2 ext; promediar varias lecturas.</t>
  </si>
  <si>
    <t xml:space="preserve">Velocidad maxima del bloque (video / Tracker)</t>
  </si>
  <si>
    <t xml:space="preserve">Teorico escalado a la velocidad medida (V ∝ ω2). Pendiente de x(t) en Tracker.</t>
  </si>
  <si>
    <t xml:space="preserve">Periodo de un ciclo</t>
  </si>
  <si>
    <t xml:space="preserve">Tiempo entre dos pasos por el mismo punto muerto (video).</t>
  </si>
  <si>
    <t xml:space="preserve">Posicion del bloque en θ2 = 90° (desde el punto muerto interior)</t>
  </si>
  <si>
    <t xml:space="preserve">Marcar θ2 = 90° en el disco de la manivela y medir la posicion del bloque.</t>
  </si>
  <si>
    <t xml:space="preserve">La celda de θ2 = 90° toma d de la hoja P2 Curva (fila de θ2 = 90°).</t>
  </si>
  <si>
    <t xml:space="preserve">3.  FUENTES DE DISCREPANCIA - ESTIMACION NUMERICA</t>
  </si>
  <si>
    <t xml:space="preserve">Fuente</t>
  </si>
  <si>
    <t xml:space="preserve">Dato supuesto</t>
  </si>
  <si>
    <t xml:space="preserve">Efecto estimado</t>
  </si>
  <si>
    <t xml:space="preserve">Explicacion</t>
  </si>
  <si>
    <t xml:space="preserve">Holguras: holgura radial por pasador</t>
  </si>
  <si>
    <t xml:space="preserve">e</t>
  </si>
  <si>
    <t xml:space="preserve">Holguras: juntas de pasador en serie (O2, A, B)</t>
  </si>
  <si>
    <t xml:space="preserve">nj</t>
  </si>
  <si>
    <t xml:space="preserve">Juego maximo del bloque (peor caso, 2e por junta)</t>
  </si>
  <si>
    <t xml:space="preserve">% de la carrera. Se nota al invertir el movimiento en los puntos muertos (golpeteo).</t>
  </si>
  <si>
    <t xml:space="preserve">Tolerancia de impresion en a, b y c</t>
  </si>
  <si>
    <t xml:space="preserve">Sensibilidad de la carrera a la manivela</t>
  </si>
  <si>
    <t xml:space="preserve">∂S/∂a</t>
  </si>
  <si>
    <t xml:space="preserve">mm/mm</t>
  </si>
  <si>
    <t xml:space="preserve">Sensibilidad de la carrera a la biela</t>
  </si>
  <si>
    <t xml:space="preserve">∂S/∂b</t>
  </si>
  <si>
    <t xml:space="preserve">Sensibilidad de la carrera al descentrado</t>
  </si>
  <si>
    <t xml:space="preserve">∂S/∂c</t>
  </si>
  <si>
    <t xml:space="preserve">Error de carrera por tolerancias (peor caso)</t>
  </si>
  <si>
    <t xml:space="preserve">% de la carrera. Casi todo viene de la manivela (∂S/∂a ≈ 2): la carrera es casi 2a.</t>
  </si>
  <si>
    <t xml:space="preserve">Friccion: caida de velocidad del motor con carga</t>
  </si>
  <si>
    <t xml:space="preserve">Δn</t>
  </si>
  <si>
    <t xml:space="preserve">Con friccion el motor se frena en el avance: ω2 deja de ser constante (α2 ≠ 0).</t>
  </si>
  <si>
    <t xml:space="preserve">Efecto en velocidades (∝ ω2)</t>
  </si>
  <si>
    <t xml:space="preserve">Efecto en aceleraciones (∝ ω2²)</t>
  </si>
  <si>
    <t xml:space="preserve">Medicion en video: cuadros por segundo</t>
  </si>
  <si>
    <t xml:space="preserve">fps</t>
  </si>
  <si>
    <t xml:space="preserve">cuadros/s</t>
  </si>
  <si>
    <t xml:space="preserve">Cuadros por vuelta de la manivela</t>
  </si>
  <si>
    <t xml:space="preserve">cuadros</t>
  </si>
  <si>
    <t xml:space="preserve">Mas cuadros por vuelta = mejor resolucion de x(t) y de la velocidad.</t>
  </si>
  <si>
    <t xml:space="preserve">Giro de la manivela entre cuadros</t>
  </si>
  <si>
    <t xml:space="preserve">Masa del bloque con material (estimada)</t>
  </si>
  <si>
    <t xml:space="preserve">m</t>
  </si>
  <si>
    <t xml:space="preserve">kg</t>
  </si>
  <si>
    <t xml:space="preserve">Coeficiente de friccion bloque-guia</t>
  </si>
  <si>
    <t xml:space="preserve">μf</t>
  </si>
  <si>
    <t xml:space="preserve">Fuerza de friccion sobre el bloque</t>
  </si>
  <si>
    <t xml:space="preserve">Fuerza de inercia maxima del bloque</t>
  </si>
  <si>
    <t xml:space="preserve">m·|A_B|max. A 30 rpm la inercia es mucho menor que la friccion: domina la friccion.</t>
  </si>
  <si>
    <t xml:space="preserve">Brazo maximo |dd/dθ2| = max|V_B|/ω2</t>
  </si>
  <si>
    <t xml:space="preserve">Par requerido en el motor (friccion + inercia)</t>
  </si>
  <si>
    <t xml:space="preserve">N·m</t>
  </si>
  <si>
    <t xml:space="preserve">← en kgf·cm. Elegir un motor con ≥ 3 veces este par.</t>
  </si>
  <si>
    <t xml:space="preserve">4.  DISCUSION (para el informe)</t>
  </si>
  <si>
    <t xml:space="preserve">• Holguras: cada pasador impreso deja 0.2–0.3 mm de juego; en la inversion del movimiento el bloque "pierde" ese juego y la carrera medida puede salir algo menor que la teorica.</t>
  </si>
  <si>
    <t xml:space="preserve">• Friccion: frena el bloque y al motor; con carga ω2 baja y oscila, mientras que el modelo supone ω2 constante (α2 = 0).</t>
  </si>
  <si>
    <t xml:space="preserve">• Tolerancias de manufactura: el PLA se contrae y los agujeros salen ovalados; la carrera depende casi solo de a (∂S/∂a ≈ 2), asi que un error de 0.2 mm en la manivela cambia la carrera ~0.4 mm.</t>
  </si>
  <si>
    <t xml:space="preserve">• Medicion: paralaje y resolucion del video (mm por pixel), cuadros por segundo y calibracion de la escala en Tracker.</t>
  </si>
  <si>
    <t xml:space="preserve">Práctica No.6</t>
  </si>
  <si>
    <t xml:space="preserve">Determinación de velocidades mecanismo de cuatro barras método analítico</t>
  </si>
  <si>
    <t xml:space="preserve">Escribe los datos en las celdas amarillas; todo lo demás se calcula solo.</t>
  </si>
  <si>
    <t xml:space="preserve">Solución</t>
  </si>
  <si>
    <t xml:space="preserve">Cálculos intermedios (no editar)</t>
  </si>
  <si>
    <t xml:space="preserve">Eslabón 1</t>
  </si>
  <si>
    <t xml:space="preserve">Eslabón 2</t>
  </si>
  <si>
    <t xml:space="preserve">Eslabón 3</t>
  </si>
  <si>
    <t xml:space="preserve">Eslabón 4</t>
  </si>
  <si>
    <t xml:space="preserve">Rpa</t>
  </si>
  <si>
    <t xml:space="preserve">δ</t>
  </si>
  <si>
    <t xml:space="preserve">a = Eslabón 2</t>
  </si>
  <si>
    <t xml:space="preserve">b = Eslabón 3</t>
  </si>
  <si>
    <t xml:space="preserve">c = Eslabón 4</t>
  </si>
  <si>
    <t xml:space="preserve">Posiciones</t>
  </si>
  <si>
    <t xml:space="preserve">d = Eslabón 1</t>
  </si>
  <si>
    <t xml:space="preserve">Cruzada</t>
  </si>
  <si>
    <t xml:space="preserve">abierta</t>
  </si>
  <si>
    <t xml:space="preserve">θ2 en radianes</t>
  </si>
  <si>
    <t xml:space="preserve">RADIANES</t>
  </si>
  <si>
    <t xml:space="preserve">GRADOS</t>
  </si>
  <si>
    <t xml:space="preserve">K1 = d/a</t>
  </si>
  <si>
    <t xml:space="preserve">K2 = d/c</t>
  </si>
  <si>
    <t xml:space="preserve">θ4</t>
  </si>
  <si>
    <t xml:space="preserve">K3 = (a² − b² + c² + d²)/(2ac)</t>
  </si>
  <si>
    <t xml:space="preserve">K4 = d/b</t>
  </si>
  <si>
    <t xml:space="preserve">K5 = (c² − d² − a² − b²)/(2ab)</t>
  </si>
  <si>
    <t xml:space="preserve">A = cosθ2 − K1 − K2·cosθ2 + K3</t>
  </si>
  <si>
    <t xml:space="preserve">B = −2·sinθ2</t>
  </si>
  <si>
    <t xml:space="preserve">C = K1 − (K2 + 1)·cosθ2 + K3</t>
  </si>
  <si>
    <t xml:space="preserve">D = cosθ2 − K1 + K4·cosθ2 + K5</t>
  </si>
  <si>
    <t xml:space="preserve">Velocidades</t>
  </si>
  <si>
    <t xml:space="preserve">E = −2·sinθ2</t>
  </si>
  <si>
    <t xml:space="preserve">F = K1 + (K4 − 1)·cosθ2 + K5</t>
  </si>
  <si>
    <t xml:space="preserve">RADIANES/s</t>
  </si>
  <si>
    <t xml:space="preserve">B² − 4AC  (para θ4)</t>
  </si>
  <si>
    <t xml:space="preserve">E² − 4DF  (para θ3)</t>
  </si>
  <si>
    <t xml:space="preserve">ω4</t>
  </si>
  <si>
    <t xml:space="preserve">¿Se conectan? (discriminantes ≥ 0)</t>
  </si>
  <si>
    <t xml:space="preserve">Vax</t>
  </si>
  <si>
    <t xml:space="preserve">θ2 mínimo que conecta (°)</t>
  </si>
  <si>
    <t xml:space="preserve">Vay</t>
  </si>
  <si>
    <t xml:space="preserve">θ2 máximo que conecta (°)</t>
  </si>
  <si>
    <t xml:space="preserve">Vb/a x</t>
  </si>
  <si>
    <t xml:space="preserve">Vb/a y</t>
  </si>
  <si>
    <t xml:space="preserve">Vbx</t>
  </si>
  <si>
    <t xml:space="preserve">Vby</t>
  </si>
  <si>
    <t xml:space="preserve">Vp/ax</t>
  </si>
  <si>
    <t xml:space="preserve">Vp/ay</t>
  </si>
  <si>
    <t xml:space="preserve">Vpx</t>
  </si>
  <si>
    <t xml:space="preserve">Vpy</t>
  </si>
  <si>
    <t xml:space="preserve">Longitudes en cm, ángulos en grados y ω2 en rad/s. En Velocidades: ω3 y ω4 en rad/s; todas las V en cm/s.</t>
  </si>
  <si>
    <t xml:space="preserve">Comprobación: ¿se pueden conectar los eslabones?</t>
  </si>
  <si>
    <t xml:space="preserve">Distancia de A a O4 = √(a² + d² − 2·a·d·cos θ2)</t>
  </si>
  <si>
    <t xml:space="preserve">cm</t>
  </si>
  <si>
    <t xml:space="preserve">Mínimo para conectar = |b − c|</t>
  </si>
  <si>
    <t xml:space="preserve">Máximo para conectar = b + c</t>
  </si>
  <si>
    <t xml:space="preserve">Valores de θ2 con los que sí se conectan</t>
  </si>
  <si>
    <t xml:space="preserve">CALCULADORA DE MECANISMOS DE CUATRO BARRAS</t>
  </si>
  <si>
    <t xml:space="preserve">Solucion cerrada (Freudenstein) - Posicion, Velocidad, Aceleracion y Grashof. Todo se recalcula al cambiar los datos.</t>
  </si>
  <si>
    <t xml:space="preserve">1.  DATOS DE ENTRADA   -   edita SOLO las celdas amarillas (columna C)</t>
  </si>
  <si>
    <t xml:space="preserve">Longitud eslabon 2 (manivela)</t>
  </si>
  <si>
    <t xml:space="preserve">Entrada motriz O2-A</t>
  </si>
  <si>
    <t xml:space="preserve">Longitud eslabon 3 (acoplador)</t>
  </si>
  <si>
    <t xml:space="preserve">Barra A-B</t>
  </si>
  <si>
    <t xml:space="preserve">Longitud eslabon 4 (balancin)</t>
  </si>
  <si>
    <t xml:space="preserve">Barra B-O4</t>
  </si>
  <si>
    <t xml:space="preserve">Longitud eslabon 1 (bancada)</t>
  </si>
  <si>
    <t xml:space="preserve">Distancia fija O2-O4</t>
  </si>
  <si>
    <t xml:space="preserve">Angulo de entrada</t>
  </si>
  <si>
    <t xml:space="preserve">Posicion angular del eslabon 2</t>
  </si>
  <si>
    <t xml:space="preserve">Positiva = antihorario</t>
  </si>
  <si>
    <t xml:space="preserve">rad/s2</t>
  </si>
  <si>
    <t xml:space="preserve">0 si la manivela gira a velocidad constante</t>
  </si>
  <si>
    <t xml:space="preserve">Distancia A-P</t>
  </si>
  <si>
    <t xml:space="preserve">RPA</t>
  </si>
  <si>
    <t xml:space="preserve">Punto arbitrario P sobre el acoplador</t>
  </si>
  <si>
    <t xml:space="preserve">Angulo del punto P</t>
  </si>
  <si>
    <t xml:space="preserve">φ</t>
  </si>
  <si>
    <t xml:space="preserve">Medido desde la linea A-B</t>
  </si>
  <si>
    <t xml:space="preserve">2.  CONSTANTES DE FREUDENSTEIN   (automatico)</t>
  </si>
  <si>
    <t xml:space="preserve">Constante</t>
  </si>
  <si>
    <t xml:space="preserve">Relacion bancada / manivela</t>
  </si>
  <si>
    <t xml:space="preserve">K1</t>
  </si>
  <si>
    <t xml:space="preserve">K1 = d / a</t>
  </si>
  <si>
    <t xml:space="preserve">Relacion bancada / balancin</t>
  </si>
  <si>
    <t xml:space="preserve">K2</t>
  </si>
  <si>
    <t xml:space="preserve">K2 = d / c</t>
  </si>
  <si>
    <t xml:space="preserve">Termino cuadratico 1</t>
  </si>
  <si>
    <t xml:space="preserve">K3</t>
  </si>
  <si>
    <t xml:space="preserve">K3 = (a2 - b2 + c2 + d2) / (2ac)</t>
  </si>
  <si>
    <t xml:space="preserve">Relacion bancada / acoplador</t>
  </si>
  <si>
    <t xml:space="preserve">K4</t>
  </si>
  <si>
    <t xml:space="preserve">K4 = d / b</t>
  </si>
  <si>
    <t xml:space="preserve">Termino cuadratico 2</t>
  </si>
  <si>
    <t xml:space="preserve">K5</t>
  </si>
  <si>
    <t xml:space="preserve">K5 = (c2 - d2 - a2 - b2) / (2ab)</t>
  </si>
  <si>
    <t xml:space="preserve">3.  COEFICIENTES DE LA ECUACION CUADRATICA   (automatico)</t>
  </si>
  <si>
    <t xml:space="preserve">Coeficiente</t>
  </si>
  <si>
    <t xml:space="preserve">Coeficiente A (para theta4)</t>
  </si>
  <si>
    <t xml:space="preserve">A</t>
  </si>
  <si>
    <t xml:space="preserve">A = cos02 - K1 - K2*cos02 + K3</t>
  </si>
  <si>
    <t xml:space="preserve">Coeficiente B (para theta4)</t>
  </si>
  <si>
    <t xml:space="preserve">B</t>
  </si>
  <si>
    <t xml:space="preserve">B = -2*sin02</t>
  </si>
  <si>
    <t xml:space="preserve">Coeficiente C (para theta4)</t>
  </si>
  <si>
    <t xml:space="preserve">C</t>
  </si>
  <si>
    <t xml:space="preserve">C = K1 - (K2+1)*cos02 + K3</t>
  </si>
  <si>
    <t xml:space="preserve">Coeficiente D (para theta3)</t>
  </si>
  <si>
    <t xml:space="preserve">D</t>
  </si>
  <si>
    <t xml:space="preserve">D = cos02 - K1 + K4*cos02 + K5</t>
  </si>
  <si>
    <t xml:space="preserve">Coeficiente E (para theta3)</t>
  </si>
  <si>
    <t xml:space="preserve">E</t>
  </si>
  <si>
    <t xml:space="preserve">E = -2*sin02</t>
  </si>
  <si>
    <t xml:space="preserve">Coeficiente F (para theta3)</t>
  </si>
  <si>
    <t xml:space="preserve">F</t>
  </si>
  <si>
    <t xml:space="preserve">F = K1 + (K4-1)*cos02 + K5</t>
  </si>
  <si>
    <t xml:space="preserve">Discriminante de theta4</t>
  </si>
  <si>
    <t xml:space="preserve">B2-4AC</t>
  </si>
  <si>
    <t xml:space="preserve">Debe ser &gt;= 0 para que el mecanismo ensamble</t>
  </si>
  <si>
    <t xml:space="preserve">Discriminante de theta3</t>
  </si>
  <si>
    <t xml:space="preserve">E2-4DF</t>
  </si>
  <si>
    <t xml:space="preserve">Verificacion de ensamble</t>
  </si>
  <si>
    <t xml:space="preserve">4.  ANALISIS DE POSICION   (automatico)</t>
  </si>
  <si>
    <t xml:space="preserve">Angulo del acoplador</t>
  </si>
  <si>
    <t xml:space="preserve">Angulo del balancin</t>
  </si>
  <si>
    <t xml:space="preserve">Punto A - coordenada X</t>
  </si>
  <si>
    <t xml:space="preserve">Punto A - coordenada Y</t>
  </si>
  <si>
    <t xml:space="preserve">Punto B - coordenada X</t>
  </si>
  <si>
    <t xml:space="preserve">Punto B - coordenada Y</t>
  </si>
  <si>
    <t xml:space="preserve">Punto P - coordenada X</t>
  </si>
  <si>
    <t xml:space="preserve">Px</t>
  </si>
  <si>
    <t xml:space="preserve">Punto P - coordenada Y</t>
  </si>
  <si>
    <t xml:space="preserve">Py</t>
  </si>
  <si>
    <t xml:space="preserve">Ideal 90 grados. Menor a 40 grados = mala transmision de fuerza.</t>
  </si>
  <si>
    <t xml:space="preserve">5.  ANALISIS DE VELOCIDAD   (automatico)</t>
  </si>
  <si>
    <t xml:space="preserve">Velocidad angular eslabon 2</t>
  </si>
  <si>
    <t xml:space="preserve">Velocidad angular eslabon 3</t>
  </si>
  <si>
    <t xml:space="preserve">Velocidad angular eslabon 4</t>
  </si>
  <si>
    <t xml:space="preserve">Velocidad de A - componente X</t>
  </si>
  <si>
    <t xml:space="preserve">Velocidad de A - componente Y</t>
  </si>
  <si>
    <t xml:space="preserve">|VA|</t>
  </si>
  <si>
    <t xml:space="preserve">Velocidad de B - componente X</t>
  </si>
  <si>
    <t xml:space="preserve">VBx</t>
  </si>
  <si>
    <t xml:space="preserve">Velocidad de B - componente Y</t>
  </si>
  <si>
    <t xml:space="preserve">VBy</t>
  </si>
  <si>
    <t xml:space="preserve">Velocidad de B - magnitud</t>
  </si>
  <si>
    <t xml:space="preserve">|VB|</t>
  </si>
  <si>
    <t xml:space="preserve">Velocidad de P - componente X</t>
  </si>
  <si>
    <t xml:space="preserve">VPx</t>
  </si>
  <si>
    <t xml:space="preserve">Velocidad de P - componente Y</t>
  </si>
  <si>
    <t xml:space="preserve">VPy</t>
  </si>
  <si>
    <t xml:space="preserve">Velocidad de P - magnitud</t>
  </si>
  <si>
    <t xml:space="preserve">|VP|</t>
  </si>
  <si>
    <t xml:space="preserve">6.  ANALISIS DE ACELERACION   (automatico)</t>
  </si>
  <si>
    <t xml:space="preserve">Coeficiente auxiliar A'</t>
  </si>
  <si>
    <t xml:space="preserve">A'</t>
  </si>
  <si>
    <t xml:space="preserve">Coeficiente auxiliar B'</t>
  </si>
  <si>
    <t xml:space="preserve">B'</t>
  </si>
  <si>
    <t xml:space="preserve">Coeficiente auxiliar C'</t>
  </si>
  <si>
    <t xml:space="preserve">C'</t>
  </si>
  <si>
    <t xml:space="preserve">Coeficiente auxiliar D'</t>
  </si>
  <si>
    <t xml:space="preserve">D'</t>
  </si>
  <si>
    <t xml:space="preserve">Coeficiente auxiliar E'</t>
  </si>
  <si>
    <t xml:space="preserve">E'</t>
  </si>
  <si>
    <t xml:space="preserve">Coeficiente auxiliar F'</t>
  </si>
  <si>
    <t xml:space="preserve">F'</t>
  </si>
  <si>
    <t xml:space="preserve">Aceleracion angular eslabon 3</t>
  </si>
  <si>
    <t xml:space="preserve">Aceleracion angular eslabon 4</t>
  </si>
  <si>
    <t xml:space="preserve">α4</t>
  </si>
  <si>
    <t xml:space="preserve">Aceleracion de A - componente X</t>
  </si>
  <si>
    <t xml:space="preserve">mm/s2</t>
  </si>
  <si>
    <t xml:space="preserve">Aceleracion de A - componente Y</t>
  </si>
  <si>
    <t xml:space="preserve">|AA|</t>
  </si>
  <si>
    <t xml:space="preserve">Aceleracion de B - componente X</t>
  </si>
  <si>
    <t xml:space="preserve">ABx</t>
  </si>
  <si>
    <t xml:space="preserve">Aceleracion de B - componente Y</t>
  </si>
  <si>
    <t xml:space="preserve">ABy</t>
  </si>
  <si>
    <t xml:space="preserve">Aceleracion de B - magnitud</t>
  </si>
  <si>
    <t xml:space="preserve">|AB|</t>
  </si>
  <si>
    <t xml:space="preserve">Aceleracion de P - componente X</t>
  </si>
  <si>
    <t xml:space="preserve">APx</t>
  </si>
  <si>
    <t xml:space="preserve">Aceleracion de P - componente Y</t>
  </si>
  <si>
    <t xml:space="preserve">APy</t>
  </si>
  <si>
    <t xml:space="preserve">Aceleracion de P - magnitud</t>
  </si>
  <si>
    <t xml:space="preserve">|AP|</t>
  </si>
  <si>
    <t xml:space="preserve">7.  CLASIFICACION DE GRASHOF   (automatico)</t>
  </si>
  <si>
    <t xml:space="preserve">Eslabon mas corto</t>
  </si>
  <si>
    <t xml:space="preserve">Eslabon mas largo</t>
  </si>
  <si>
    <t xml:space="preserve">Suma de los dos intermedios</t>
  </si>
  <si>
    <t xml:space="preserve">P+Q</t>
  </si>
  <si>
    <t xml:space="preserve">Suma corto + largo</t>
  </si>
  <si>
    <t xml:space="preserve">S+L</t>
  </si>
  <si>
    <t xml:space="preserve">Condicion de Grashof</t>
  </si>
  <si>
    <t xml:space="preserve">Tipo de mecanismo</t>
  </si>
  <si>
    <t xml:space="preserve">RESOLUCION POR LOTES - UNA FILA POR MECANISMO</t>
  </si>
  <si>
    <t xml:space="preserve">Escribe los datos de cada mecanismo en las columnas AMARILLAS (B a J). Cada fila se resuelve sola. Hay 50 filas listas.</t>
  </si>
  <si>
    <t xml:space="preserve">DATOS DE ENTRADA (edita aqui)</t>
  </si>
  <si>
    <t xml:space="preserve">RESULTADOS - CONFIGURACION ABIERTA</t>
  </si>
  <si>
    <t xml:space="preserve">RESULTADOS - CONFIGURACION CRUZADA</t>
  </si>
  <si>
    <t xml:space="preserve">GRASHOF</t>
  </si>
  <si>
    <t xml:space="preserve">AUXILIARES (no editar)</t>
  </si>
  <si>
    <t xml:space="preserve">Fila</t>
  </si>
  <si>
    <t xml:space="preserve">theta2</t>
  </si>
  <si>
    <t xml:space="preserve">omega2</t>
  </si>
  <si>
    <t xml:space="preserve">alpha2</t>
  </si>
  <si>
    <t xml:space="preserve">phi</t>
  </si>
  <si>
    <t xml:space="preserve">theta3</t>
  </si>
  <si>
    <t xml:space="preserve">theta4</t>
  </si>
  <si>
    <t xml:space="preserve">mu</t>
  </si>
  <si>
    <t xml:space="preserve">omega3</t>
  </si>
  <si>
    <t xml:space="preserve">omega4</t>
  </si>
  <si>
    <t xml:space="preserve">alpha3</t>
  </si>
  <si>
    <t xml:space="preserve">alpha4</t>
  </si>
  <si>
    <t xml:space="preserve">Condicion</t>
  </si>
  <si>
    <t xml:space="preserve">disc4</t>
  </si>
  <si>
    <t xml:space="preserve">disc3</t>
  </si>
  <si>
    <t xml:space="preserve">Cp_ab</t>
  </si>
  <si>
    <t xml:space="preserve">Fp_ab</t>
  </si>
  <si>
    <t xml:space="preserve">Cp_cr</t>
  </si>
  <si>
    <t xml:space="preserve">Fp_cr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</si>
</sst>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####"/>
    <numFmt numFmtId="166" formatCode="0.0000"/>
    <numFmt numFmtId="167" formatCode="0"/>
    <numFmt numFmtId="168" formatCode="0.00"/>
    <numFmt numFmtId="169" formatCode="0.0E+00"/>
    <numFmt numFmtId="170" formatCode="0.##"/>
    <numFmt numFmtId="171" formatCode="0.000"/>
    <numFmt numFmtId="172" formatCode="0.0"/>
    <numFmt numFmtId="173" formatCode="0.000000"/>
    <numFmt numFmtId="174" formatCode="@"/>
    <numFmt numFmtId="175" formatCode="General"/>
  </numFmts>
  <fonts count="3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4788"/>
      <name val="Arial"/>
      <family val="0"/>
      <charset val="1"/>
    </font>
    <font>
      <sz val="9"/>
      <color rgb="FF40404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  <font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i val="true"/>
      <sz val="9"/>
      <color rgb="FF595959"/>
      <name val="Calibri"/>
      <family val="2"/>
      <charset val="1"/>
    </font>
    <font>
      <sz val="18"/>
      <color rgb="FF2F5496"/>
      <name val="Calibri Light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mbria"/>
      <family val="1"/>
      <charset val="1"/>
    </font>
    <font>
      <sz val="11"/>
      <color rgb="FF595959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i val="true"/>
      <sz val="9"/>
      <color theme="1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color rgb="FF0000FF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788"/>
        <bgColor rgb="FF2F5496"/>
      </patternFill>
    </fill>
    <fill>
      <patternFill patternType="solid">
        <fgColor rgb="FF4472C4"/>
        <bgColor rgb="FF2A78D6"/>
      </patternFill>
    </fill>
    <fill>
      <patternFill patternType="solid">
        <fgColor rgb="FFFFF2CC"/>
        <bgColor rgb="FFF0F0F0"/>
      </patternFill>
    </fill>
    <fill>
      <patternFill patternType="solid">
        <fgColor rgb="FFF0F0F0"/>
        <bgColor rgb="FFE7E6F7"/>
      </patternFill>
    </fill>
    <fill>
      <patternFill patternType="solid">
        <fgColor rgb="FFE7E6F7"/>
        <bgColor rgb="FFD9E1F2"/>
      </patternFill>
    </fill>
    <fill>
      <patternFill patternType="solid">
        <fgColor rgb="FFE2EFDA"/>
        <bgColor rgb="FFF0F0F0"/>
      </patternFill>
    </fill>
    <fill>
      <patternFill patternType="solid">
        <fgColor rgb="FFD9E1F2"/>
        <bgColor rgb="FFE7E6F7"/>
      </patternFill>
    </fill>
    <fill>
      <patternFill patternType="solid">
        <fgColor rgb="FFBDD7EE"/>
        <bgColor rgb="FFB4C6E7"/>
      </patternFill>
    </fill>
    <fill>
      <patternFill patternType="solid">
        <fgColor rgb="FFD9D9D9"/>
        <bgColor rgb="FFD9E1F2"/>
      </patternFill>
    </fill>
    <fill>
      <patternFill patternType="solid">
        <fgColor rgb="FFB4C6E7"/>
        <bgColor rgb="FFBDD7EE"/>
      </patternFill>
    </fill>
    <fill>
      <patternFill patternType="solid">
        <fgColor rgb="FFF8CBAD"/>
        <bgColor rgb="FFF4B183"/>
      </patternFill>
    </fill>
    <fill>
      <patternFill patternType="solid">
        <fgColor rgb="FFFFD966"/>
        <bgColor rgb="FFF8CBAD"/>
      </patternFill>
    </fill>
    <fill>
      <patternFill patternType="solid">
        <fgColor rgb="FFA9D08E"/>
        <bgColor rgb="FFBFBFBF"/>
      </patternFill>
    </fill>
    <fill>
      <patternFill patternType="solid">
        <fgColor rgb="FFF4B183"/>
        <bgColor rgb="FFF8CBAD"/>
      </patternFill>
    </fill>
    <fill>
      <patternFill patternType="solid">
        <fgColor rgb="FFC8C8C8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5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1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3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D9D9D9"/>
      <rgbColor rgb="FF993366"/>
      <rgbColor rgb="FFFFF2CC"/>
      <rgbColor rgb="FFF0F0F0"/>
      <rgbColor rgb="FF660066"/>
      <rgbColor rgb="FFFF8080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F7"/>
      <rgbColor rgb="FFE2EFDA"/>
      <rgbColor rgb="FFFFD966"/>
      <rgbColor rgb="FFB4C6E7"/>
      <rgbColor rgb="FFF4B183"/>
      <rgbColor rgb="FFC8C8C8"/>
      <rgbColor rgb="FFF8CBAD"/>
      <rgbColor rgb="FF2A78D6"/>
      <rgbColor rgb="FF33CCCC"/>
      <rgbColor rgb="FF99CC00"/>
      <rgbColor rgb="FFD9E1F2"/>
      <rgbColor rgb="FFFF9900"/>
      <rgbColor rgb="FFEB6834"/>
      <rgbColor rgb="FF595959"/>
      <rgbColor rgb="FFA9D08E"/>
      <rgbColor rgb="FF003366"/>
      <rgbColor rgb="FF4472C4"/>
      <rgbColor rgb="FF003300"/>
      <rgbColor rgb="FF333300"/>
      <rgbColor rgb="FF993300"/>
      <rgbColor rgb="FF993366"/>
      <rgbColor rgb="FF1F478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Velocidad angular de la biela ω3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"Analítico (vuelta completa)"</c:f>
              <c:strCache>
                <c:ptCount val="1"/>
                <c:pt idx="0">
                  <c:v>Analítico (vuelta completa)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Curva'!$A$6:$A$726</c:f>
              <c:numCache>
                <c:formatCode>0.0</c:formatCode>
                <c:ptCount val="7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</c:numCache>
            </c:numRef>
          </c:xVal>
          <c:yVal>
            <c:numRef>
              <c:f>'P2 Curva'!$E$6:$E$726</c:f>
              <c:numCache>
                <c:formatCode>0.0000</c:formatCode>
                <c:ptCount val="721"/>
                <c:pt idx="0">
                  <c:v>-0.842727394491879</c:v>
                </c:pt>
                <c:pt idx="1">
                  <c:v>-0.843000157301358</c:v>
                </c:pt>
                <c:pt idx="2">
                  <c:v>-0.843213610499263</c:v>
                </c:pt>
                <c:pt idx="3">
                  <c:v>-0.843367679586879</c:v>
                </c:pt>
                <c:pt idx="4">
                  <c:v>-0.843462291487678</c:v>
                </c:pt>
                <c:pt idx="5">
                  <c:v>-0.843497374557917</c:v>
                </c:pt>
                <c:pt idx="6">
                  <c:v>-0.843472858598799</c:v>
                </c:pt>
                <c:pt idx="7">
                  <c:v>-0.84338867487021</c:v>
                </c:pt>
                <c:pt idx="8">
                  <c:v>-0.843244756106048</c:v>
                </c:pt>
                <c:pt idx="9">
                  <c:v>-0.843041036531146</c:v>
                </c:pt>
                <c:pt idx="10">
                  <c:v>-0.842777451879805</c:v>
                </c:pt>
                <c:pt idx="11">
                  <c:v>-0.84245393941594</c:v>
                </c:pt>
                <c:pt idx="12">
                  <c:v>-0.842070437954855</c:v>
                </c:pt>
                <c:pt idx="13">
                  <c:v>-0.84162688788664</c:v>
                </c:pt>
                <c:pt idx="14">
                  <c:v>-0.841123231201223</c:v>
                </c:pt>
                <c:pt idx="15">
                  <c:v>-0.840559411515049</c:v>
                </c:pt>
                <c:pt idx="16">
                  <c:v>-0.839935374099425</c:v>
                </c:pt>
                <c:pt idx="17">
                  <c:v>-0.839251065910512</c:v>
                </c:pt>
                <c:pt idx="18">
                  <c:v>-0.838506435620985</c:v>
                </c:pt>
                <c:pt idx="19">
                  <c:v>-0.83770143365335</c:v>
                </c:pt>
                <c:pt idx="20">
                  <c:v>-0.836836012214938</c:v>
                </c:pt>
                <c:pt idx="21">
                  <c:v>-0.835910125334557</c:v>
                </c:pt>
                <c:pt idx="22">
                  <c:v>-0.834923728900831</c:v>
                </c:pt>
                <c:pt idx="23">
                  <c:v>-0.833876780702196</c:v>
                </c:pt>
                <c:pt idx="24">
                  <c:v>-0.832769240468582</c:v>
                </c:pt>
                <c:pt idx="25">
                  <c:v>-0.831601069914759</c:v>
                </c:pt>
                <c:pt idx="26">
                  <c:v>-0.830372232785354</c:v>
                </c:pt>
                <c:pt idx="27">
                  <c:v>-0.829082694901538</c:v>
                </c:pt>
                <c:pt idx="28">
                  <c:v>-0.827732424209377</c:v>
                </c:pt>
                <c:pt idx="29">
                  <c:v>-0.826321390829841</c:v>
                </c:pt>
                <c:pt idx="30">
                  <c:v>-0.824849567110471</c:v>
                </c:pt>
                <c:pt idx="31">
                  <c:v>-0.823316927678691</c:v>
                </c:pt>
                <c:pt idx="32">
                  <c:v>-0.82172344949676</c:v>
                </c:pt>
                <c:pt idx="33">
                  <c:v>-0.820069111918366</c:v>
                </c:pt>
                <c:pt idx="34">
                  <c:v>-0.818353896746828</c:v>
                </c:pt>
                <c:pt idx="35">
                  <c:v>-0.816577788294926</c:v>
                </c:pt>
                <c:pt idx="36">
                  <c:v>-0.814740773446324</c:v>
                </c:pt>
                <c:pt idx="37">
                  <c:v>-0.812842841718579</c:v>
                </c:pt>
                <c:pt idx="38">
                  <c:v>-0.810883985327735</c:v>
                </c:pt>
                <c:pt idx="39">
                  <c:v>-0.808864199254464</c:v>
                </c:pt>
                <c:pt idx="40">
                  <c:v>-0.806783481311756</c:v>
                </c:pt>
                <c:pt idx="41">
                  <c:v>-0.804641832214137</c:v>
                </c:pt>
                <c:pt idx="42">
                  <c:v>-0.802439255648386</c:v>
                </c:pt>
                <c:pt idx="43">
                  <c:v>-0.800175758345739</c:v>
                </c:pt>
                <c:pt idx="44">
                  <c:v>-0.797851350155562</c:v>
                </c:pt>
                <c:pt idx="45">
                  <c:v>-0.795466044120459</c:v>
                </c:pt>
                <c:pt idx="46">
                  <c:v>-0.793019856552796</c:v>
                </c:pt>
                <c:pt idx="47">
                  <c:v>-0.79051280711262</c:v>
                </c:pt>
                <c:pt idx="48">
                  <c:v>-0.787944918886933</c:v>
                </c:pt>
                <c:pt idx="49">
                  <c:v>-0.785316218470304</c:v>
                </c:pt>
                <c:pt idx="50">
                  <c:v>-0.78262673604678</c:v>
                </c:pt>
                <c:pt idx="51">
                  <c:v>-0.77987650547307</c:v>
                </c:pt>
                <c:pt idx="52">
                  <c:v>-0.777065564362966</c:v>
                </c:pt>
                <c:pt idx="53">
                  <c:v>-0.774193954172957</c:v>
                </c:pt>
                <c:pt idx="54">
                  <c:v>-0.771261720289015</c:v>
                </c:pt>
                <c:pt idx="55">
                  <c:v>-0.7682689121145</c:v>
                </c:pt>
                <c:pt idx="56">
                  <c:v>-0.765215583159152</c:v>
                </c:pt>
                <c:pt idx="57">
                  <c:v>-0.762101791129123</c:v>
                </c:pt>
                <c:pt idx="58">
                  <c:v>-0.758927598018004</c:v>
                </c:pt>
                <c:pt idx="59">
                  <c:v>-0.755693070198808</c:v>
                </c:pt>
                <c:pt idx="60">
                  <c:v>-0.752398278516852</c:v>
                </c:pt>
                <c:pt idx="61">
                  <c:v>-0.749043298383494</c:v>
                </c:pt>
                <c:pt idx="62">
                  <c:v>-0.745628209870676</c:v>
                </c:pt>
                <c:pt idx="63">
                  <c:v>-0.742153097806212</c:v>
                </c:pt>
                <c:pt idx="64">
                  <c:v>-0.738618051869772</c:v>
                </c:pt>
                <c:pt idx="65">
                  <c:v>-0.735023166689503</c:v>
                </c:pt>
                <c:pt idx="66">
                  <c:v>-0.731368541939227</c:v>
                </c:pt>
                <c:pt idx="67">
                  <c:v>-0.727654282436161</c:v>
                </c:pt>
                <c:pt idx="68">
                  <c:v>-0.723880498239083</c:v>
                </c:pt>
                <c:pt idx="69">
                  <c:v>-0.720047304746899</c:v>
                </c:pt>
                <c:pt idx="70">
                  <c:v>-0.716154822797528</c:v>
                </c:pt>
                <c:pt idx="71">
                  <c:v>-0.712203178767038</c:v>
                </c:pt>
                <c:pt idx="72">
                  <c:v>-0.708192504668978</c:v>
                </c:pt>
                <c:pt idx="73">
                  <c:v>-0.704122938253811</c:v>
                </c:pt>
                <c:pt idx="74">
                  <c:v>-0.699994623108402</c:v>
                </c:pt>
                <c:pt idx="75">
                  <c:v>-0.695807708755446</c:v>
                </c:pt>
                <c:pt idx="76">
                  <c:v>-0.691562350752806</c:v>
                </c:pt>
                <c:pt idx="77">
                  <c:v>-0.687258710792641</c:v>
                </c:pt>
                <c:pt idx="78">
                  <c:v>-0.682896956800265</c:v>
                </c:pt>
                <c:pt idx="79">
                  <c:v>-0.678477263032647</c:v>
                </c:pt>
                <c:pt idx="80">
                  <c:v>-0.673999810176467</c:v>
                </c:pt>
                <c:pt idx="81">
                  <c:v>-0.669464785445643</c:v>
                </c:pt>
                <c:pt idx="82">
                  <c:v>-0.664872382678246</c:v>
                </c:pt>
                <c:pt idx="83">
                  <c:v>-0.660222802432696</c:v>
                </c:pt>
                <c:pt idx="84">
                  <c:v>-0.655516252083173</c:v>
                </c:pt>
                <c:pt idx="85">
                  <c:v>-0.650752945914129</c:v>
                </c:pt>
                <c:pt idx="86">
                  <c:v>-0.645933105213819</c:v>
                </c:pt>
                <c:pt idx="87">
                  <c:v>-0.641056958366747</c:v>
                </c:pt>
                <c:pt idx="88">
                  <c:v>-0.636124740944943</c:v>
                </c:pt>
                <c:pt idx="89">
                  <c:v>-0.631136695797955</c:v>
                </c:pt>
                <c:pt idx="90">
                  <c:v>-0.626093073141473</c:v>
                </c:pt>
                <c:pt idx="91">
                  <c:v>-0.620994130644477</c:v>
                </c:pt>
                <c:pt idx="92">
                  <c:v>-0.615840133514805</c:v>
                </c:pt>
                <c:pt idx="93">
                  <c:v>-0.610631354583051</c:v>
                </c:pt>
                <c:pt idx="94">
                  <c:v>-0.605368074384672</c:v>
                </c:pt>
                <c:pt idx="95">
                  <c:v>-0.600050581240214</c:v>
                </c:pt>
                <c:pt idx="96">
                  <c:v>-0.594679171333552</c:v>
                </c:pt>
                <c:pt idx="97">
                  <c:v>-0.589254148788026</c:v>
                </c:pt>
                <c:pt idx="98">
                  <c:v>-0.583775825740387</c:v>
                </c:pt>
                <c:pt idx="99">
                  <c:v>-0.578244522412431</c:v>
                </c:pt>
                <c:pt idx="100">
                  <c:v>-0.572660567180219</c:v>
                </c:pt>
                <c:pt idx="101">
                  <c:v>-0.567024296640789</c:v>
                </c:pt>
                <c:pt idx="102">
                  <c:v>-0.561336055676234</c:v>
                </c:pt>
                <c:pt idx="103">
                  <c:v>-0.555596197515054</c:v>
                </c:pt>
                <c:pt idx="104">
                  <c:v>-0.549805083790677</c:v>
                </c:pt>
                <c:pt idx="105">
                  <c:v>-0.543963084597032</c:v>
                </c:pt>
                <c:pt idx="106">
                  <c:v>-0.538070578541086</c:v>
                </c:pt>
                <c:pt idx="107">
                  <c:v>-0.532127952792229</c:v>
                </c:pt>
                <c:pt idx="108">
                  <c:v>-0.526135603128404</c:v>
                </c:pt>
                <c:pt idx="109">
                  <c:v>-0.520093933978894</c:v>
                </c:pt>
                <c:pt idx="110">
                  <c:v>-0.514003358463646</c:v>
                </c:pt>
                <c:pt idx="111">
                  <c:v>-0.507864298429048</c:v>
                </c:pt>
                <c:pt idx="112">
                  <c:v>-0.501677184480058</c:v>
                </c:pt>
                <c:pt idx="113">
                  <c:v>-0.495442456008577</c:v>
                </c:pt>
                <c:pt idx="114">
                  <c:v>-0.48916056121799</c:v>
                </c:pt>
                <c:pt idx="115">
                  <c:v>-0.482831957143772</c:v>
                </c:pt>
                <c:pt idx="116">
                  <c:v>-0.476457109670066</c:v>
                </c:pt>
                <c:pt idx="117">
                  <c:v>-0.470036493542158</c:v>
                </c:pt>
                <c:pt idx="118">
                  <c:v>-0.463570592374745</c:v>
                </c:pt>
                <c:pt idx="119">
                  <c:v>-0.457059898655931</c:v>
                </c:pt>
                <c:pt idx="120">
                  <c:v>-0.450504913746862</c:v>
                </c:pt>
                <c:pt idx="121">
                  <c:v>-0.44390614787692</c:v>
                </c:pt>
                <c:pt idx="122">
                  <c:v>-0.437264120134411</c:v>
                </c:pt>
                <c:pt idx="123">
                  <c:v>-0.430579358452668</c:v>
                </c:pt>
                <c:pt idx="124">
                  <c:v>-0.423852399591505</c:v>
                </c:pt>
                <c:pt idx="125">
                  <c:v>-0.417083789113965</c:v>
                </c:pt>
                <c:pt idx="126">
                  <c:v>-0.410274081358281</c:v>
                </c:pt>
                <c:pt idx="127">
                  <c:v>-0.403423839405026</c:v>
                </c:pt>
                <c:pt idx="128">
                  <c:v>-0.396533635039372</c:v>
                </c:pt>
                <c:pt idx="129">
                  <c:v>-0.389604048708418</c:v>
                </c:pt>
                <c:pt idx="130">
                  <c:v>-0.382635669473556</c:v>
                </c:pt>
                <c:pt idx="131">
                  <c:v>-0.375629094957821</c:v>
                </c:pt>
                <c:pt idx="132">
                  <c:v>-0.368584931288193</c:v>
                </c:pt>
                <c:pt idx="133">
                  <c:v>-0.361503793032833</c:v>
                </c:pt>
                <c:pt idx="134">
                  <c:v>-0.354386303133212</c:v>
                </c:pt>
                <c:pt idx="135">
                  <c:v>-0.347233092831126</c:v>
                </c:pt>
                <c:pt idx="136">
                  <c:v>-0.340044801590576</c:v>
                </c:pt>
                <c:pt idx="137">
                  <c:v>-0.332822077014505</c:v>
                </c:pt>
                <c:pt idx="138">
                  <c:v>-0.325565574756395</c:v>
                </c:pt>
                <c:pt idx="139">
                  <c:v>-0.318275958426704</c:v>
                </c:pt>
                <c:pt idx="140">
                  <c:v>-0.310953899494185</c:v>
                </c:pt>
                <c:pt idx="141">
                  <c:v>-0.303600077182063</c:v>
                </c:pt>
                <c:pt idx="142">
                  <c:v>-0.296215178359113</c:v>
                </c:pt>
                <c:pt idx="143">
                  <c:v>-0.288799897425651</c:v>
                </c:pt>
                <c:pt idx="144">
                  <c:v>-0.281354936194475</c:v>
                </c:pt>
                <c:pt idx="145">
                  <c:v>-0.273881003766784</c:v>
                </c:pt>
                <c:pt idx="146">
                  <c:v>-0.266378816403119</c:v>
                </c:pt>
                <c:pt idx="147">
                  <c:v>-0.258849097389379</c:v>
                </c:pt>
                <c:pt idx="148">
                  <c:v>-0.251292576897954</c:v>
                </c:pt>
                <c:pt idx="149">
                  <c:v>-0.243709991844045</c:v>
                </c:pt>
                <c:pt idx="150">
                  <c:v>-0.236102085737221</c:v>
                </c:pt>
                <c:pt idx="151">
                  <c:v>-0.228469608528308</c:v>
                </c:pt>
                <c:pt idx="152">
                  <c:v>-0.220813316451653</c:v>
                </c:pt>
                <c:pt idx="153">
                  <c:v>-0.213133971862879</c:v>
                </c:pt>
                <c:pt idx="154">
                  <c:v>-0.20543234307219</c:v>
                </c:pt>
                <c:pt idx="155">
                  <c:v>-0.197709204173343</c:v>
                </c:pt>
                <c:pt idx="156">
                  <c:v>-0.189965334868366</c:v>
                </c:pt>
                <c:pt idx="157">
                  <c:v>-0.182201520288143</c:v>
                </c:pt>
                <c:pt idx="158">
                  <c:v>-0.17441855080896</c:v>
                </c:pt>
                <c:pt idx="159">
                  <c:v>-0.166617221865149</c:v>
                </c:pt>
                <c:pt idx="160">
                  <c:v>-0.15879833375792</c:v>
                </c:pt>
                <c:pt idx="161">
                  <c:v>-0.150962691460541</c:v>
                </c:pt>
                <c:pt idx="162">
                  <c:v>-0.143111104419965</c:v>
                </c:pt>
                <c:pt idx="163">
                  <c:v>-0.135244386355061</c:v>
                </c:pt>
                <c:pt idx="164">
                  <c:v>-0.127363355051577</c:v>
                </c:pt>
                <c:pt idx="165">
                  <c:v>-0.119468832153983</c:v>
                </c:pt>
                <c:pt idx="166">
                  <c:v>-0.111561642954349</c:v>
                </c:pt>
                <c:pt idx="167">
                  <c:v>-0.10364261617839</c:v>
                </c:pt>
                <c:pt idx="168">
                  <c:v>-0.0957125837688659</c:v>
                </c:pt>
                <c:pt idx="169">
                  <c:v>-0.0877723806664633</c:v>
                </c:pt>
                <c:pt idx="170">
                  <c:v>-0.0798228445883486</c:v>
                </c:pt>
                <c:pt idx="171">
                  <c:v>-0.0718648158045451</c:v>
                </c:pt>
                <c:pt idx="172">
                  <c:v>-0.0638991369123099</c:v>
                </c:pt>
                <c:pt idx="173">
                  <c:v>-0.0559266526086806</c:v>
                </c:pt>
                <c:pt idx="174">
                  <c:v>-0.0479482094613689</c:v>
                </c:pt>
                <c:pt idx="175">
                  <c:v>-0.0399646556781786</c:v>
                </c:pt>
                <c:pt idx="176">
                  <c:v>-0.031976840875128</c:v>
                </c:pt>
                <c:pt idx="177">
                  <c:v>-0.0239856158434565</c:v>
                </c:pt>
                <c:pt idx="178">
                  <c:v>-0.0159918323157012</c:v>
                </c:pt>
                <c:pt idx="179">
                  <c:v>-0.00799634273102811</c:v>
                </c:pt>
                <c:pt idx="180">
                  <c:v>-5.6109010163563E-017</c:v>
                </c:pt>
                <c:pt idx="181">
                  <c:v>0.007996342731028</c:v>
                </c:pt>
                <c:pt idx="182">
                  <c:v>0.0159918323157011</c:v>
                </c:pt>
                <c:pt idx="183">
                  <c:v>0.0239856158434561</c:v>
                </c:pt>
                <c:pt idx="184">
                  <c:v>0.0319768408751277</c:v>
                </c:pt>
                <c:pt idx="185">
                  <c:v>0.0399646556781784</c:v>
                </c:pt>
                <c:pt idx="186">
                  <c:v>0.0479482094613688</c:v>
                </c:pt>
                <c:pt idx="187">
                  <c:v>0.0559266526086807</c:v>
                </c:pt>
                <c:pt idx="188">
                  <c:v>0.06389913691231</c:v>
                </c:pt>
                <c:pt idx="189">
                  <c:v>0.071864815804545</c:v>
                </c:pt>
                <c:pt idx="190">
                  <c:v>0.0798228445883485</c:v>
                </c:pt>
                <c:pt idx="191">
                  <c:v>0.0877723806664632</c:v>
                </c:pt>
                <c:pt idx="192">
                  <c:v>0.0957125837688658</c:v>
                </c:pt>
                <c:pt idx="193">
                  <c:v>0.10364261617839</c:v>
                </c:pt>
                <c:pt idx="194">
                  <c:v>0.111561642954348</c:v>
                </c:pt>
                <c:pt idx="195">
                  <c:v>0.119468832153983</c:v>
                </c:pt>
                <c:pt idx="196">
                  <c:v>0.127363355051576</c:v>
                </c:pt>
                <c:pt idx="197">
                  <c:v>0.135244386355061</c:v>
                </c:pt>
                <c:pt idx="198">
                  <c:v>0.143111104419966</c:v>
                </c:pt>
                <c:pt idx="199">
                  <c:v>0.150962691460541</c:v>
                </c:pt>
                <c:pt idx="200">
                  <c:v>0.15879833375792</c:v>
                </c:pt>
                <c:pt idx="201">
                  <c:v>0.166617221865148</c:v>
                </c:pt>
                <c:pt idx="202">
                  <c:v>0.17441855080896</c:v>
                </c:pt>
                <c:pt idx="203">
                  <c:v>0.182201520288143</c:v>
                </c:pt>
                <c:pt idx="204">
                  <c:v>0.189965334868366</c:v>
                </c:pt>
                <c:pt idx="205">
                  <c:v>0.197709204173343</c:v>
                </c:pt>
                <c:pt idx="206">
                  <c:v>0.20543234307219</c:v>
                </c:pt>
                <c:pt idx="207">
                  <c:v>0.213133971862878</c:v>
                </c:pt>
                <c:pt idx="208">
                  <c:v>0.220813316451653</c:v>
                </c:pt>
                <c:pt idx="209">
                  <c:v>0.228469608528308</c:v>
                </c:pt>
                <c:pt idx="210">
                  <c:v>0.236102085737221</c:v>
                </c:pt>
                <c:pt idx="211">
                  <c:v>0.243709991844044</c:v>
                </c:pt>
                <c:pt idx="212">
                  <c:v>0.251292576897954</c:v>
                </c:pt>
                <c:pt idx="213">
                  <c:v>0.258849097389379</c:v>
                </c:pt>
                <c:pt idx="214">
                  <c:v>0.266378816403119</c:v>
                </c:pt>
                <c:pt idx="215">
                  <c:v>0.273881003766784</c:v>
                </c:pt>
                <c:pt idx="216">
                  <c:v>0.281354936194475</c:v>
                </c:pt>
                <c:pt idx="217">
                  <c:v>0.288799897425651</c:v>
                </c:pt>
                <c:pt idx="218">
                  <c:v>0.296215178359113</c:v>
                </c:pt>
                <c:pt idx="219">
                  <c:v>0.303600077182063</c:v>
                </c:pt>
                <c:pt idx="220">
                  <c:v>0.310953899494185</c:v>
                </c:pt>
                <c:pt idx="221">
                  <c:v>0.318275958426704</c:v>
                </c:pt>
                <c:pt idx="222">
                  <c:v>0.325565574756395</c:v>
                </c:pt>
                <c:pt idx="223">
                  <c:v>0.332822077014505</c:v>
                </c:pt>
                <c:pt idx="224">
                  <c:v>0.340044801590576</c:v>
                </c:pt>
                <c:pt idx="225">
                  <c:v>0.347233092831126</c:v>
                </c:pt>
                <c:pt idx="226">
                  <c:v>0.354386303133212</c:v>
                </c:pt>
                <c:pt idx="227">
                  <c:v>0.361503793032833</c:v>
                </c:pt>
                <c:pt idx="228">
                  <c:v>0.368584931288193</c:v>
                </c:pt>
                <c:pt idx="229">
                  <c:v>0.375629094957821</c:v>
                </c:pt>
                <c:pt idx="230">
                  <c:v>0.382635669473556</c:v>
                </c:pt>
                <c:pt idx="231">
                  <c:v>0.389604048708418</c:v>
                </c:pt>
                <c:pt idx="232">
                  <c:v>0.396533635039372</c:v>
                </c:pt>
                <c:pt idx="233">
                  <c:v>0.403423839405027</c:v>
                </c:pt>
                <c:pt idx="234">
                  <c:v>0.410274081358281</c:v>
                </c:pt>
                <c:pt idx="235">
                  <c:v>0.417083789113964</c:v>
                </c:pt>
                <c:pt idx="236">
                  <c:v>0.423852399591505</c:v>
                </c:pt>
                <c:pt idx="237">
                  <c:v>0.430579358452668</c:v>
                </c:pt>
                <c:pt idx="238">
                  <c:v>0.437264120134411</c:v>
                </c:pt>
                <c:pt idx="239">
                  <c:v>0.44390614787692</c:v>
                </c:pt>
                <c:pt idx="240">
                  <c:v>0.450504913746862</c:v>
                </c:pt>
                <c:pt idx="241">
                  <c:v>0.457059898655931</c:v>
                </c:pt>
                <c:pt idx="242">
                  <c:v>0.463570592374745</c:v>
                </c:pt>
                <c:pt idx="243">
                  <c:v>0.470036493542158</c:v>
                </c:pt>
                <c:pt idx="244">
                  <c:v>0.476457109670066</c:v>
                </c:pt>
                <c:pt idx="245">
                  <c:v>0.482831957143772</c:v>
                </c:pt>
                <c:pt idx="246">
                  <c:v>0.48916056121799</c:v>
                </c:pt>
                <c:pt idx="247">
                  <c:v>0.495442456008577</c:v>
                </c:pt>
                <c:pt idx="248">
                  <c:v>0.501677184480058</c:v>
                </c:pt>
                <c:pt idx="249">
                  <c:v>0.507864298429048</c:v>
                </c:pt>
                <c:pt idx="250">
                  <c:v>0.514003358463645</c:v>
                </c:pt>
                <c:pt idx="251">
                  <c:v>0.520093933978894</c:v>
                </c:pt>
                <c:pt idx="252">
                  <c:v>0.526135603128404</c:v>
                </c:pt>
                <c:pt idx="253">
                  <c:v>0.532127952792229</c:v>
                </c:pt>
                <c:pt idx="254">
                  <c:v>0.538070578541086</c:v>
                </c:pt>
                <c:pt idx="255">
                  <c:v>0.543963084597032</c:v>
                </c:pt>
                <c:pt idx="256">
                  <c:v>0.549805083790677</c:v>
                </c:pt>
                <c:pt idx="257">
                  <c:v>0.555596197515054</c:v>
                </c:pt>
                <c:pt idx="258">
                  <c:v>0.561336055676234</c:v>
                </c:pt>
                <c:pt idx="259">
                  <c:v>0.567024296640789</c:v>
                </c:pt>
                <c:pt idx="260">
                  <c:v>0.572660567180219</c:v>
                </c:pt>
                <c:pt idx="261">
                  <c:v>0.578244522412431</c:v>
                </c:pt>
                <c:pt idx="262">
                  <c:v>0.583775825740387</c:v>
                </c:pt>
                <c:pt idx="263">
                  <c:v>0.589254148788026</c:v>
                </c:pt>
                <c:pt idx="264">
                  <c:v>0.594679171333552</c:v>
                </c:pt>
                <c:pt idx="265">
                  <c:v>0.600050581240214</c:v>
                </c:pt>
                <c:pt idx="266">
                  <c:v>0.605368074384672</c:v>
                </c:pt>
                <c:pt idx="267">
                  <c:v>0.610631354583051</c:v>
                </c:pt>
                <c:pt idx="268">
                  <c:v>0.615840133514805</c:v>
                </c:pt>
                <c:pt idx="269">
                  <c:v>0.620994130644477</c:v>
                </c:pt>
                <c:pt idx="270">
                  <c:v>0.626093073141473</c:v>
                </c:pt>
                <c:pt idx="271">
                  <c:v>0.631136695797955</c:v>
                </c:pt>
                <c:pt idx="272">
                  <c:v>0.636124740944943</c:v>
                </c:pt>
                <c:pt idx="273">
                  <c:v>0.641056958366747</c:v>
                </c:pt>
                <c:pt idx="274">
                  <c:v>0.645933105213819</c:v>
                </c:pt>
                <c:pt idx="275">
                  <c:v>0.650752945914129</c:v>
                </c:pt>
                <c:pt idx="276">
                  <c:v>0.655516252083173</c:v>
                </c:pt>
                <c:pt idx="277">
                  <c:v>0.660222802432696</c:v>
                </c:pt>
                <c:pt idx="278">
                  <c:v>0.664872382678246</c:v>
                </c:pt>
                <c:pt idx="279">
                  <c:v>0.669464785445643</c:v>
                </c:pt>
                <c:pt idx="280">
                  <c:v>0.673999810176467</c:v>
                </c:pt>
                <c:pt idx="281">
                  <c:v>0.678477263032647</c:v>
                </c:pt>
                <c:pt idx="282">
                  <c:v>0.682896956800265</c:v>
                </c:pt>
                <c:pt idx="283">
                  <c:v>0.687258710792641</c:v>
                </c:pt>
                <c:pt idx="284">
                  <c:v>0.691562350752806</c:v>
                </c:pt>
                <c:pt idx="285">
                  <c:v>0.695807708755446</c:v>
                </c:pt>
                <c:pt idx="286">
                  <c:v>0.699994623108401</c:v>
                </c:pt>
                <c:pt idx="287">
                  <c:v>0.704122938253811</c:v>
                </c:pt>
                <c:pt idx="288">
                  <c:v>0.708192504668977</c:v>
                </c:pt>
                <c:pt idx="289">
                  <c:v>0.712203178767038</c:v>
                </c:pt>
                <c:pt idx="290">
                  <c:v>0.716154822797528</c:v>
                </c:pt>
                <c:pt idx="291">
                  <c:v>0.7200473047469</c:v>
                </c:pt>
                <c:pt idx="292">
                  <c:v>0.723880498239083</c:v>
                </c:pt>
                <c:pt idx="293">
                  <c:v>0.72765428243616</c:v>
                </c:pt>
                <c:pt idx="294">
                  <c:v>0.731368541939227</c:v>
                </c:pt>
                <c:pt idx="295">
                  <c:v>0.735023166689503</c:v>
                </c:pt>
                <c:pt idx="296">
                  <c:v>0.738618051869772</c:v>
                </c:pt>
                <c:pt idx="297">
                  <c:v>0.742153097806212</c:v>
                </c:pt>
                <c:pt idx="298">
                  <c:v>0.745628209870676</c:v>
                </c:pt>
                <c:pt idx="299">
                  <c:v>0.749043298383494</c:v>
                </c:pt>
                <c:pt idx="300">
                  <c:v>0.752398278516852</c:v>
                </c:pt>
                <c:pt idx="301">
                  <c:v>0.755693070198808</c:v>
                </c:pt>
                <c:pt idx="302">
                  <c:v>0.758927598018004</c:v>
                </c:pt>
                <c:pt idx="303">
                  <c:v>0.762101791129123</c:v>
                </c:pt>
                <c:pt idx="304">
                  <c:v>0.765215583159152</c:v>
                </c:pt>
                <c:pt idx="305">
                  <c:v>0.7682689121145</c:v>
                </c:pt>
                <c:pt idx="306">
                  <c:v>0.771261720289015</c:v>
                </c:pt>
                <c:pt idx="307">
                  <c:v>0.774193954172957</c:v>
                </c:pt>
                <c:pt idx="308">
                  <c:v>0.777065564362966</c:v>
                </c:pt>
                <c:pt idx="309">
                  <c:v>0.77987650547307</c:v>
                </c:pt>
                <c:pt idx="310">
                  <c:v>0.78262673604678</c:v>
                </c:pt>
                <c:pt idx="311">
                  <c:v>0.785316218470304</c:v>
                </c:pt>
                <c:pt idx="312">
                  <c:v>0.787944918886933</c:v>
                </c:pt>
                <c:pt idx="313">
                  <c:v>0.79051280711262</c:v>
                </c:pt>
                <c:pt idx="314">
                  <c:v>0.793019856552796</c:v>
                </c:pt>
                <c:pt idx="315">
                  <c:v>0.795466044120459</c:v>
                </c:pt>
                <c:pt idx="316">
                  <c:v>0.797851350155562</c:v>
                </c:pt>
                <c:pt idx="317">
                  <c:v>0.800175758345739</c:v>
                </c:pt>
                <c:pt idx="318">
                  <c:v>0.802439255648386</c:v>
                </c:pt>
                <c:pt idx="319">
                  <c:v>0.804641832214137</c:v>
                </c:pt>
                <c:pt idx="320">
                  <c:v>0.806783481311756</c:v>
                </c:pt>
                <c:pt idx="321">
                  <c:v>0.808864199254464</c:v>
                </c:pt>
                <c:pt idx="322">
                  <c:v>0.810883985327735</c:v>
                </c:pt>
                <c:pt idx="323">
                  <c:v>0.812842841718579</c:v>
                </c:pt>
                <c:pt idx="324">
                  <c:v>0.814740773446324</c:v>
                </c:pt>
                <c:pt idx="325">
                  <c:v>0.816577788294926</c:v>
                </c:pt>
                <c:pt idx="326">
                  <c:v>0.818353896746828</c:v>
                </c:pt>
                <c:pt idx="327">
                  <c:v>0.820069111918366</c:v>
                </c:pt>
                <c:pt idx="328">
                  <c:v>0.82172344949676</c:v>
                </c:pt>
                <c:pt idx="329">
                  <c:v>0.823316927678691</c:v>
                </c:pt>
                <c:pt idx="330">
                  <c:v>0.824849567110471</c:v>
                </c:pt>
                <c:pt idx="331">
                  <c:v>0.826321390829841</c:v>
                </c:pt>
                <c:pt idx="332">
                  <c:v>0.827732424209377</c:v>
                </c:pt>
                <c:pt idx="333">
                  <c:v>0.829082694901538</c:v>
                </c:pt>
                <c:pt idx="334">
                  <c:v>0.830372232785354</c:v>
                </c:pt>
                <c:pt idx="335">
                  <c:v>0.831601069914759</c:v>
                </c:pt>
                <c:pt idx="336">
                  <c:v>0.832769240468582</c:v>
                </c:pt>
                <c:pt idx="337">
                  <c:v>0.833876780702196</c:v>
                </c:pt>
                <c:pt idx="338">
                  <c:v>0.834923728900831</c:v>
                </c:pt>
                <c:pt idx="339">
                  <c:v>0.835910125334557</c:v>
                </c:pt>
                <c:pt idx="340">
                  <c:v>0.836836012214938</c:v>
                </c:pt>
                <c:pt idx="341">
                  <c:v>0.83770143365335</c:v>
                </c:pt>
                <c:pt idx="342">
                  <c:v>0.838506435620985</c:v>
                </c:pt>
                <c:pt idx="343">
                  <c:v>0.839251065910512</c:v>
                </c:pt>
                <c:pt idx="344">
                  <c:v>0.839935374099425</c:v>
                </c:pt>
                <c:pt idx="345">
                  <c:v>0.840559411515049</c:v>
                </c:pt>
                <c:pt idx="346">
                  <c:v>0.841123231201223</c:v>
                </c:pt>
                <c:pt idx="347">
                  <c:v>0.84162688788664</c:v>
                </c:pt>
                <c:pt idx="348">
                  <c:v>0.842070437954855</c:v>
                </c:pt>
                <c:pt idx="349">
                  <c:v>0.84245393941594</c:v>
                </c:pt>
                <c:pt idx="350">
                  <c:v>0.842777451879805</c:v>
                </c:pt>
                <c:pt idx="351">
                  <c:v>0.843041036531146</c:v>
                </c:pt>
                <c:pt idx="352">
                  <c:v>0.843244756106048</c:v>
                </c:pt>
                <c:pt idx="353">
                  <c:v>0.84338867487021</c:v>
                </c:pt>
                <c:pt idx="354">
                  <c:v>0.843472858598799</c:v>
                </c:pt>
                <c:pt idx="355">
                  <c:v>0.843497374557917</c:v>
                </c:pt>
                <c:pt idx="356">
                  <c:v>0.843462291487678</c:v>
                </c:pt>
                <c:pt idx="357">
                  <c:v>0.843367679586879</c:v>
                </c:pt>
                <c:pt idx="358">
                  <c:v>0.843213610499263</c:v>
                </c:pt>
                <c:pt idx="359">
                  <c:v>0.843000157301358</c:v>
                </c:pt>
                <c:pt idx="360">
                  <c:v>0.842727394491879</c:v>
                </c:pt>
                <c:pt idx="361">
                  <c:v>0.842395397982692</c:v>
                </c:pt>
                <c:pt idx="362">
                  <c:v>0.842004245091313</c:v>
                </c:pt>
                <c:pt idx="363">
                  <c:v>0.841554014534947</c:v>
                </c:pt>
                <c:pt idx="364">
                  <c:v>0.841044786426036</c:v>
                </c:pt>
                <c:pt idx="365">
                  <c:v>0.840476642269315</c:v>
                </c:pt>
                <c:pt idx="366">
                  <c:v>0.839849664960365</c:v>
                </c:pt>
                <c:pt idx="367">
                  <c:v>0.839163938785628</c:v>
                </c:pt>
                <c:pt idx="368">
                  <c:v>0.8384195494239</c:v>
                </c:pt>
                <c:pt idx="369">
                  <c:v>0.837616583949262</c:v>
                </c:pt>
                <c:pt idx="370">
                  <c:v>0.836755130835442</c:v>
                </c:pt>
                <c:pt idx="371">
                  <c:v>0.835835279961596</c:v>
                </c:pt>
                <c:pt idx="372">
                  <c:v>0.834857122619487</c:v>
                </c:pt>
                <c:pt idx="373">
                  <c:v>0.833820751522044</c:v>
                </c:pt>
                <c:pt idx="374">
                  <c:v>0.83272626081329</c:v>
                </c:pt>
                <c:pt idx="375">
                  <c:v>0.831573746079618</c:v>
                </c:pt>
                <c:pt idx="376">
                  <c:v>0.830363304362389</c:v>
                </c:pt>
                <c:pt idx="377">
                  <c:v>0.829095034171852</c:v>
                </c:pt>
                <c:pt idx="378">
                  <c:v>0.827769035502351</c:v>
                </c:pt>
                <c:pt idx="379">
                  <c:v>0.826385409848806</c:v>
                </c:pt>
                <c:pt idx="380">
                  <c:v>0.824944260224448</c:v>
                </c:pt>
                <c:pt idx="381">
                  <c:v>0.82344569117979</c:v>
                </c:pt>
                <c:pt idx="382">
                  <c:v>0.821889808822808</c:v>
                </c:pt>
                <c:pt idx="383">
                  <c:v>0.820276720840324</c:v>
                </c:pt>
                <c:pt idx="384">
                  <c:v>0.818606536520546</c:v>
                </c:pt>
                <c:pt idx="385">
                  <c:v>0.816879366776776</c:v>
                </c:pt>
                <c:pt idx="386">
                  <c:v>0.815095324172231</c:v>
                </c:pt>
                <c:pt idx="387">
                  <c:v>0.813254522945984</c:v>
                </c:pt>
                <c:pt idx="388">
                  <c:v>0.811357079039976</c:v>
                </c:pt>
                <c:pt idx="389">
                  <c:v>0.809403110127102</c:v>
                </c:pt>
                <c:pt idx="390">
                  <c:v>0.807392735640322</c:v>
                </c:pt>
                <c:pt idx="391">
                  <c:v>0.805326076802792</c:v>
                </c:pt>
                <c:pt idx="392">
                  <c:v>0.803203256658985</c:v>
                </c:pt>
                <c:pt idx="393">
                  <c:v>0.80102440010677</c:v>
                </c:pt>
                <c:pt idx="394">
                  <c:v>0.798789633930439</c:v>
                </c:pt>
                <c:pt idx="395">
                  <c:v>0.796499086834639</c:v>
                </c:pt>
                <c:pt idx="396">
                  <c:v>0.794152889479201</c:v>
                </c:pt>
                <c:pt idx="397">
                  <c:v>0.791751174514817</c:v>
                </c:pt>
                <c:pt idx="398">
                  <c:v>0.789294076619568</c:v>
                </c:pt>
                <c:pt idx="399">
                  <c:v>0.786781732536251</c:v>
                </c:pt>
                <c:pt idx="400">
                  <c:v>0.784214281110477</c:v>
                </c:pt>
                <c:pt idx="401">
                  <c:v>0.781591863329544</c:v>
                </c:pt>
                <c:pt idx="402">
                  <c:v>0.778914622362007</c:v>
                </c:pt>
                <c:pt idx="403">
                  <c:v>0.776182703597963</c:v>
                </c:pt>
                <c:pt idx="404">
                  <c:v>0.773396254689988</c:v>
                </c:pt>
                <c:pt idx="405">
                  <c:v>0.770555425594718</c:v>
                </c:pt>
                <c:pt idx="406">
                  <c:v>0.767660368615026</c:v>
                </c:pt>
                <c:pt idx="407">
                  <c:v>0.764711238442783</c:v>
                </c:pt>
                <c:pt idx="408">
                  <c:v>0.761708192202156</c:v>
                </c:pt>
                <c:pt idx="409">
                  <c:v>0.75865138949342</c:v>
                </c:pt>
                <c:pt idx="410">
                  <c:v>0.75554099243725</c:v>
                </c:pt>
                <c:pt idx="411">
                  <c:v>0.752377165719459</c:v>
                </c:pt>
                <c:pt idx="412">
                  <c:v>0.74916007663615</c:v>
                </c:pt>
                <c:pt idx="413">
                  <c:v>0.745889895139256</c:v>
                </c:pt>
                <c:pt idx="414">
                  <c:v>0.742566793882419</c:v>
                </c:pt>
                <c:pt idx="415">
                  <c:v>0.739190948267186</c:v>
                </c:pt>
                <c:pt idx="416">
                  <c:v>0.735762536489489</c:v>
                </c:pt>
                <c:pt idx="417">
                  <c:v>0.73228173958636</c:v>
                </c:pt>
                <c:pt idx="418">
                  <c:v>0.728748741482863</c:v>
                </c:pt>
                <c:pt idx="419">
                  <c:v>0.725163729039194</c:v>
                </c:pt>
                <c:pt idx="420">
                  <c:v>0.721526892097923</c:v>
                </c:pt>
                <c:pt idx="421">
                  <c:v>0.71783842353133</c:v>
                </c:pt>
                <c:pt idx="422">
                  <c:v>0.71409851928881</c:v>
                </c:pt>
                <c:pt idx="423">
                  <c:v>0.710307378444305</c:v>
                </c:pt>
                <c:pt idx="424">
                  <c:v>0.706465203243718</c:v>
                </c:pt>
                <c:pt idx="425">
                  <c:v>0.702572199152283</c:v>
                </c:pt>
                <c:pt idx="426">
                  <c:v>0.698628574901849</c:v>
                </c:pt>
                <c:pt idx="427">
                  <c:v>0.694634542538032</c:v>
                </c:pt>
                <c:pt idx="428">
                  <c:v>0.690590317467207</c:v>
                </c:pt>
                <c:pt idx="429">
                  <c:v>0.686496118503289</c:v>
                </c:pt>
                <c:pt idx="430">
                  <c:v>0.682352167914279</c:v>
                </c:pt>
                <c:pt idx="431">
                  <c:v>0.678158691468516</c:v>
                </c:pt>
                <c:pt idx="432">
                  <c:v>0.673915918480613</c:v>
                </c:pt>
                <c:pt idx="433">
                  <c:v>0.669624081857023</c:v>
                </c:pt>
                <c:pt idx="434">
                  <c:v>0.665283418141199</c:v>
                </c:pt>
                <c:pt idx="435">
                  <c:v>0.660894167558315</c:v>
                </c:pt>
                <c:pt idx="436">
                  <c:v>0.656456574059493</c:v>
                </c:pt>
                <c:pt idx="437">
                  <c:v>0.651970885365502</c:v>
                </c:pt>
                <c:pt idx="438">
                  <c:v>0.647437353009893</c:v>
                </c:pt>
                <c:pt idx="439">
                  <c:v>0.642856232381518</c:v>
                </c:pt>
                <c:pt idx="440">
                  <c:v>0.638227782766398</c:v>
                </c:pt>
                <c:pt idx="441">
                  <c:v>0.633552267388895</c:v>
                </c:pt>
                <c:pt idx="442">
                  <c:v>0.628829953452153</c:v>
                </c:pt>
                <c:pt idx="443">
                  <c:v>0.624061112177755</c:v>
                </c:pt>
                <c:pt idx="444">
                  <c:v>0.619246018844567</c:v>
                </c:pt>
                <c:pt idx="445">
                  <c:v>0.614384952826717</c:v>
                </c:pt>
                <c:pt idx="446">
                  <c:v>0.609478197630671</c:v>
                </c:pt>
                <c:pt idx="447">
                  <c:v>0.604526040931368</c:v>
                </c:pt>
                <c:pt idx="448">
                  <c:v>0.599528774607373</c:v>
                </c:pt>
                <c:pt idx="449">
                  <c:v>0.594486694774989</c:v>
                </c:pt>
                <c:pt idx="450">
                  <c:v>0.58940010182132</c:v>
                </c:pt>
                <c:pt idx="451">
                  <c:v>0.584269300436212</c:v>
                </c:pt>
                <c:pt idx="452">
                  <c:v>0.579094599643049</c:v>
                </c:pt>
                <c:pt idx="453">
                  <c:v>0.573876312828366</c:v>
                </c:pt>
                <c:pt idx="454">
                  <c:v>0.568614757770218</c:v>
                </c:pt>
                <c:pt idx="455">
                  <c:v>0.563310256665297</c:v>
                </c:pt>
                <c:pt idx="456">
                  <c:v>0.55796313615473</c:v>
                </c:pt>
                <c:pt idx="457">
                  <c:v>0.55257372734853</c:v>
                </c:pt>
                <c:pt idx="458">
                  <c:v>0.547142365848668</c:v>
                </c:pt>
                <c:pt idx="459">
                  <c:v>0.54166939177072</c:v>
                </c:pt>
                <c:pt idx="460">
                  <c:v>0.536155149764048</c:v>
                </c:pt>
                <c:pt idx="461">
                  <c:v>0.530599989030492</c:v>
                </c:pt>
                <c:pt idx="462">
                  <c:v>0.525004263341523</c:v>
                </c:pt>
                <c:pt idx="463">
                  <c:v>0.519368331053836</c:v>
                </c:pt>
                <c:pt idx="464">
                  <c:v>0.513692555123325</c:v>
                </c:pt>
                <c:pt idx="465">
                  <c:v>0.507977303117438</c:v>
                </c:pt>
                <c:pt idx="466">
                  <c:v>0.50222294722585</c:v>
                </c:pt>
                <c:pt idx="467">
                  <c:v>0.496429864269443</c:v>
                </c:pt>
                <c:pt idx="468">
                  <c:v>0.490598435707542</c:v>
                </c:pt>
                <c:pt idx="469">
                  <c:v>0.484729047643393</c:v>
                </c:pt>
                <c:pt idx="470">
                  <c:v>0.478822090827851</c:v>
                </c:pt>
                <c:pt idx="471">
                  <c:v>0.472877960661235</c:v>
                </c:pt>
                <c:pt idx="472">
                  <c:v>0.466897057193346</c:v>
                </c:pt>
                <c:pt idx="473">
                  <c:v>0.460879785121594</c:v>
                </c:pt>
                <c:pt idx="474">
                  <c:v>0.454826553787239</c:v>
                </c:pt>
                <c:pt idx="475">
                  <c:v>0.448737777169696</c:v>
                </c:pt>
                <c:pt idx="476">
                  <c:v>0.442613873878891</c:v>
                </c:pt>
                <c:pt idx="477">
                  <c:v>0.436455267145654</c:v>
                </c:pt>
                <c:pt idx="478">
                  <c:v>0.430262384810114</c:v>
                </c:pt>
                <c:pt idx="479">
                  <c:v>0.42403565930809</c:v>
                </c:pt>
                <c:pt idx="480">
                  <c:v>0.417775527655445</c:v>
                </c:pt>
                <c:pt idx="481">
                  <c:v>0.411482431430407</c:v>
                </c:pt>
                <c:pt idx="482">
                  <c:v>0.40515681675382</c:v>
                </c:pt>
                <c:pt idx="483">
                  <c:v>0.398799134267331</c:v>
                </c:pt>
                <c:pt idx="484">
                  <c:v>0.392409839109486</c:v>
                </c:pt>
                <c:pt idx="485">
                  <c:v>0.385989390889733</c:v>
                </c:pt>
                <c:pt idx="486">
                  <c:v>0.379538253660321</c:v>
                </c:pt>
                <c:pt idx="487">
                  <c:v>0.37305689588608</c:v>
                </c:pt>
                <c:pt idx="488">
                  <c:v>0.366545790412096</c:v>
                </c:pt>
                <c:pt idx="489">
                  <c:v>0.360005414429253</c:v>
                </c:pt>
                <c:pt idx="490">
                  <c:v>0.353436249437653</c:v>
                </c:pt>
                <c:pt idx="491">
                  <c:v>0.346838781207911</c:v>
                </c:pt>
                <c:pt idx="492">
                  <c:v>0.340213499740325</c:v>
                </c:pt>
                <c:pt idx="493">
                  <c:v>0.333560899221926</c:v>
                </c:pt>
                <c:pt idx="494">
                  <c:v>0.326881477981402</c:v>
                </c:pt>
                <c:pt idx="495">
                  <c:v>0.320175738441919</c:v>
                </c:pt>
                <c:pt idx="496">
                  <c:v>0.313444187071829</c:v>
                </c:pt>
                <c:pt idx="497">
                  <c:v>0.306687334333294</c:v>
                </c:pt>
                <c:pt idx="498">
                  <c:v>0.299905694628811</c:v>
                </c:pt>
                <c:pt idx="499">
                  <c:v>0.293099786245678</c:v>
                </c:pt>
                <c:pt idx="500">
                  <c:v>0.286270131298403</c:v>
                </c:pt>
                <c:pt idx="501">
                  <c:v>0.279417255669065</c:v>
                </c:pt>
                <c:pt idx="502">
                  <c:v>0.272541688945669</c:v>
                </c:pt>
                <c:pt idx="503">
                  <c:v>0.265643964358483</c:v>
                </c:pt>
                <c:pt idx="504">
                  <c:v>0.25872461871441</c:v>
                </c:pt>
                <c:pt idx="505">
                  <c:v>0.251784192329401</c:v>
                </c:pt>
                <c:pt idx="506">
                  <c:v>0.244823228958937</c:v>
                </c:pt>
                <c:pt idx="507">
                  <c:v>0.237842275726613</c:v>
                </c:pt>
                <c:pt idx="508">
                  <c:v>0.230841883050847</c:v>
                </c:pt>
                <c:pt idx="509">
                  <c:v>0.223822604569747</c:v>
                </c:pt>
                <c:pt idx="510">
                  <c:v>0.216784997064172</c:v>
                </c:pt>
                <c:pt idx="511">
                  <c:v>0.209729620379018</c:v>
                </c:pt>
                <c:pt idx="512">
                  <c:v>0.202657037342764</c:v>
                </c:pt>
                <c:pt idx="513">
                  <c:v>0.195567813685314</c:v>
                </c:pt>
                <c:pt idx="514">
                  <c:v>0.188462517954189</c:v>
                </c:pt>
                <c:pt idx="515">
                  <c:v>0.181341721429086</c:v>
                </c:pt>
                <c:pt idx="516">
                  <c:v>0.174205998034866</c:v>
                </c:pt>
                <c:pt idx="517">
                  <c:v>0.167055924253008</c:v>
                </c:pt>
                <c:pt idx="518">
                  <c:v>0.159892079031573</c:v>
                </c:pt>
                <c:pt idx="519">
                  <c:v>0.152715043693729</c:v>
                </c:pt>
                <c:pt idx="520">
                  <c:v>0.145525401844878</c:v>
                </c:pt>
                <c:pt idx="521">
                  <c:v>0.138323739278453</c:v>
                </c:pt>
                <c:pt idx="522">
                  <c:v>0.131110643880408</c:v>
                </c:pt>
                <c:pt idx="523">
                  <c:v>0.123886705532485</c:v>
                </c:pt>
                <c:pt idx="524">
                  <c:v>0.116652516014277</c:v>
                </c:pt>
                <c:pt idx="525">
                  <c:v>0.109408668904185</c:v>
                </c:pt>
                <c:pt idx="526">
                  <c:v>0.102155759479281</c:v>
                </c:pt>
                <c:pt idx="527">
                  <c:v>0.0948943846141616</c:v>
                </c:pt>
                <c:pt idx="528">
                  <c:v>0.0876251426788515</c:v>
                </c:pt>
                <c:pt idx="529">
                  <c:v>0.0803486334357912</c:v>
                </c:pt>
                <c:pt idx="530">
                  <c:v>0.0730654579360069</c:v>
                </c:pt>
                <c:pt idx="531">
                  <c:v>0.0657762184144808</c:v>
                </c:pt>
                <c:pt idx="532">
                  <c:v>0.0584815181848265</c:v>
                </c:pt>
                <c:pt idx="533">
                  <c:v>0.0511819615332951</c:v>
                </c:pt>
                <c:pt idx="534">
                  <c:v>0.0438781536122043</c:v>
                </c:pt>
                <c:pt idx="535">
                  <c:v>0.0365707003328336</c:v>
                </c:pt>
                <c:pt idx="536">
                  <c:v>0.0292602082578594</c:v>
                </c:pt>
                <c:pt idx="537">
                  <c:v>0.0219472844934008</c:v>
                </c:pt>
                <c:pt idx="538">
                  <c:v>0.0146325365807232</c:v>
                </c:pt>
                <c:pt idx="539">
                  <c:v>0.00731657238768958</c:v>
                </c:pt>
                <c:pt idx="540">
                  <c:v>1.54016918357311E-016</c:v>
                </c:pt>
                <c:pt idx="541">
                  <c:v>-0.00731657238768927</c:v>
                </c:pt>
                <c:pt idx="542">
                  <c:v>-0.0146325365807229</c:v>
                </c:pt>
                <c:pt idx="543">
                  <c:v>-0.0219472844934005</c:v>
                </c:pt>
                <c:pt idx="544">
                  <c:v>-0.0292602082578591</c:v>
                </c:pt>
                <c:pt idx="545">
                  <c:v>-0.0365707003328333</c:v>
                </c:pt>
                <c:pt idx="546">
                  <c:v>-0.043878153612204</c:v>
                </c:pt>
                <c:pt idx="547">
                  <c:v>-0.0511819615332948</c:v>
                </c:pt>
                <c:pt idx="548">
                  <c:v>-0.0584815181848262</c:v>
                </c:pt>
                <c:pt idx="549">
                  <c:v>-0.0657762184144805</c:v>
                </c:pt>
                <c:pt idx="550">
                  <c:v>-0.0730654579360066</c:v>
                </c:pt>
                <c:pt idx="551">
                  <c:v>-0.0803486334357909</c:v>
                </c:pt>
                <c:pt idx="552">
                  <c:v>-0.0876251426788512</c:v>
                </c:pt>
                <c:pt idx="553">
                  <c:v>-0.0948943846141613</c:v>
                </c:pt>
                <c:pt idx="554">
                  <c:v>-0.10215575947928</c:v>
                </c:pt>
                <c:pt idx="555">
                  <c:v>-0.109408668904185</c:v>
                </c:pt>
                <c:pt idx="556">
                  <c:v>-0.116652516014277</c:v>
                </c:pt>
                <c:pt idx="557">
                  <c:v>-0.123886705532484</c:v>
                </c:pt>
                <c:pt idx="558">
                  <c:v>-0.131110643880408</c:v>
                </c:pt>
                <c:pt idx="559">
                  <c:v>-0.138323739278452</c:v>
                </c:pt>
                <c:pt idx="560">
                  <c:v>-0.145525401844877</c:v>
                </c:pt>
                <c:pt idx="561">
                  <c:v>-0.152715043693728</c:v>
                </c:pt>
                <c:pt idx="562">
                  <c:v>-0.159892079031573</c:v>
                </c:pt>
                <c:pt idx="563">
                  <c:v>-0.167055924253008</c:v>
                </c:pt>
                <c:pt idx="564">
                  <c:v>-0.174205998034866</c:v>
                </c:pt>
                <c:pt idx="565">
                  <c:v>-0.181341721429085</c:v>
                </c:pt>
                <c:pt idx="566">
                  <c:v>-0.188462517954189</c:v>
                </c:pt>
                <c:pt idx="567">
                  <c:v>-0.195567813685314</c:v>
                </c:pt>
                <c:pt idx="568">
                  <c:v>-0.202657037342764</c:v>
                </c:pt>
                <c:pt idx="569">
                  <c:v>-0.209729620379018</c:v>
                </c:pt>
                <c:pt idx="570">
                  <c:v>-0.216784997064172</c:v>
                </c:pt>
                <c:pt idx="571">
                  <c:v>-0.223822604569747</c:v>
                </c:pt>
                <c:pt idx="572">
                  <c:v>-0.230841883050846</c:v>
                </c:pt>
                <c:pt idx="573">
                  <c:v>-0.237842275726613</c:v>
                </c:pt>
                <c:pt idx="574">
                  <c:v>-0.244823228958937</c:v>
                </c:pt>
                <c:pt idx="575">
                  <c:v>-0.251784192329401</c:v>
                </c:pt>
                <c:pt idx="576">
                  <c:v>-0.258724618714409</c:v>
                </c:pt>
                <c:pt idx="577">
                  <c:v>-0.265643964358483</c:v>
                </c:pt>
                <c:pt idx="578">
                  <c:v>-0.272541688945669</c:v>
                </c:pt>
                <c:pt idx="579">
                  <c:v>-0.279417255669065</c:v>
                </c:pt>
                <c:pt idx="580">
                  <c:v>-0.286270131298402</c:v>
                </c:pt>
                <c:pt idx="581">
                  <c:v>-0.293099786245677</c:v>
                </c:pt>
                <c:pt idx="582">
                  <c:v>-0.29990569462881</c:v>
                </c:pt>
                <c:pt idx="583">
                  <c:v>-0.306687334333293</c:v>
                </c:pt>
                <c:pt idx="584">
                  <c:v>-0.313444187071829</c:v>
                </c:pt>
                <c:pt idx="585">
                  <c:v>-0.320175738441919</c:v>
                </c:pt>
                <c:pt idx="586">
                  <c:v>-0.326881477981402</c:v>
                </c:pt>
                <c:pt idx="587">
                  <c:v>-0.333560899221926</c:v>
                </c:pt>
                <c:pt idx="588">
                  <c:v>-0.340213499740325</c:v>
                </c:pt>
                <c:pt idx="589">
                  <c:v>-0.346838781207911</c:v>
                </c:pt>
                <c:pt idx="590">
                  <c:v>-0.353436249437653</c:v>
                </c:pt>
                <c:pt idx="591">
                  <c:v>-0.360005414429253</c:v>
                </c:pt>
                <c:pt idx="592">
                  <c:v>-0.366545790412096</c:v>
                </c:pt>
                <c:pt idx="593">
                  <c:v>-0.373056895886079</c:v>
                </c:pt>
                <c:pt idx="594">
                  <c:v>-0.37953825366032</c:v>
                </c:pt>
                <c:pt idx="595">
                  <c:v>-0.385989390889733</c:v>
                </c:pt>
                <c:pt idx="596">
                  <c:v>-0.392409839109485</c:v>
                </c:pt>
                <c:pt idx="597">
                  <c:v>-0.39879913426733</c:v>
                </c:pt>
                <c:pt idx="598">
                  <c:v>-0.40515681675382</c:v>
                </c:pt>
                <c:pt idx="599">
                  <c:v>-0.411482431430406</c:v>
                </c:pt>
                <c:pt idx="600">
                  <c:v>-0.417775527655445</c:v>
                </c:pt>
                <c:pt idx="601">
                  <c:v>-0.42403565930809</c:v>
                </c:pt>
                <c:pt idx="602">
                  <c:v>-0.430262384810114</c:v>
                </c:pt>
                <c:pt idx="603">
                  <c:v>-0.436455267145653</c:v>
                </c:pt>
                <c:pt idx="604">
                  <c:v>-0.44261387387889</c:v>
                </c:pt>
                <c:pt idx="605">
                  <c:v>-0.448737777169696</c:v>
                </c:pt>
                <c:pt idx="606">
                  <c:v>-0.454826553787239</c:v>
                </c:pt>
                <c:pt idx="607">
                  <c:v>-0.460879785121594</c:v>
                </c:pt>
                <c:pt idx="608">
                  <c:v>-0.466897057193345</c:v>
                </c:pt>
                <c:pt idx="609">
                  <c:v>-0.472877960661235</c:v>
                </c:pt>
                <c:pt idx="610">
                  <c:v>-0.47882209082785</c:v>
                </c:pt>
                <c:pt idx="611">
                  <c:v>-0.484729047643392</c:v>
                </c:pt>
                <c:pt idx="612">
                  <c:v>-0.490598435707541</c:v>
                </c:pt>
                <c:pt idx="613">
                  <c:v>-0.496429864269443</c:v>
                </c:pt>
                <c:pt idx="614">
                  <c:v>-0.50222294722585</c:v>
                </c:pt>
                <c:pt idx="615">
                  <c:v>-0.507977303117437</c:v>
                </c:pt>
                <c:pt idx="616">
                  <c:v>-0.513692555123324</c:v>
                </c:pt>
                <c:pt idx="617">
                  <c:v>-0.519368331053836</c:v>
                </c:pt>
                <c:pt idx="618">
                  <c:v>-0.525004263341523</c:v>
                </c:pt>
                <c:pt idx="619">
                  <c:v>-0.530599989030492</c:v>
                </c:pt>
                <c:pt idx="620">
                  <c:v>-0.536155149764048</c:v>
                </c:pt>
                <c:pt idx="621">
                  <c:v>-0.54166939177072</c:v>
                </c:pt>
                <c:pt idx="622">
                  <c:v>-0.547142365848668</c:v>
                </c:pt>
                <c:pt idx="623">
                  <c:v>-0.55257372734853</c:v>
                </c:pt>
                <c:pt idx="624">
                  <c:v>-0.55796313615473</c:v>
                </c:pt>
                <c:pt idx="625">
                  <c:v>-0.563310256665297</c:v>
                </c:pt>
                <c:pt idx="626">
                  <c:v>-0.568614757770218</c:v>
                </c:pt>
                <c:pt idx="627">
                  <c:v>-0.573876312828365</c:v>
                </c:pt>
                <c:pt idx="628">
                  <c:v>-0.579094599643049</c:v>
                </c:pt>
                <c:pt idx="629">
                  <c:v>-0.584269300436211</c:v>
                </c:pt>
                <c:pt idx="630">
                  <c:v>-0.58940010182132</c:v>
                </c:pt>
                <c:pt idx="631">
                  <c:v>-0.594486694774989</c:v>
                </c:pt>
                <c:pt idx="632">
                  <c:v>-0.599528774607373</c:v>
                </c:pt>
                <c:pt idx="633">
                  <c:v>-0.604526040931369</c:v>
                </c:pt>
                <c:pt idx="634">
                  <c:v>-0.60947819763067</c:v>
                </c:pt>
                <c:pt idx="635">
                  <c:v>-0.614384952826717</c:v>
                </c:pt>
                <c:pt idx="636">
                  <c:v>-0.619246018844567</c:v>
                </c:pt>
                <c:pt idx="637">
                  <c:v>-0.624061112177755</c:v>
                </c:pt>
                <c:pt idx="638">
                  <c:v>-0.628829953452153</c:v>
                </c:pt>
                <c:pt idx="639">
                  <c:v>-0.633552267388895</c:v>
                </c:pt>
                <c:pt idx="640">
                  <c:v>-0.638227782766398</c:v>
                </c:pt>
                <c:pt idx="641">
                  <c:v>-0.642856232381517</c:v>
                </c:pt>
                <c:pt idx="642">
                  <c:v>-0.647437353009893</c:v>
                </c:pt>
                <c:pt idx="643">
                  <c:v>-0.651970885365501</c:v>
                </c:pt>
                <c:pt idx="644">
                  <c:v>-0.656456574059492</c:v>
                </c:pt>
                <c:pt idx="645">
                  <c:v>-0.660894167558315</c:v>
                </c:pt>
                <c:pt idx="646">
                  <c:v>-0.665283418141199</c:v>
                </c:pt>
                <c:pt idx="647">
                  <c:v>-0.669624081857023</c:v>
                </c:pt>
                <c:pt idx="648">
                  <c:v>-0.673915918480613</c:v>
                </c:pt>
                <c:pt idx="649">
                  <c:v>-0.678158691468516</c:v>
                </c:pt>
                <c:pt idx="650">
                  <c:v>-0.682352167914278</c:v>
                </c:pt>
                <c:pt idx="651">
                  <c:v>-0.686496118503289</c:v>
                </c:pt>
                <c:pt idx="652">
                  <c:v>-0.690590317467206</c:v>
                </c:pt>
                <c:pt idx="653">
                  <c:v>-0.694634542538032</c:v>
                </c:pt>
                <c:pt idx="654">
                  <c:v>-0.698628574901849</c:v>
                </c:pt>
                <c:pt idx="655">
                  <c:v>-0.702572199152283</c:v>
                </c:pt>
                <c:pt idx="656">
                  <c:v>-0.706465203243718</c:v>
                </c:pt>
                <c:pt idx="657">
                  <c:v>-0.710307378444305</c:v>
                </c:pt>
                <c:pt idx="658">
                  <c:v>-0.71409851928881</c:v>
                </c:pt>
                <c:pt idx="659">
                  <c:v>-0.717838423531329</c:v>
                </c:pt>
                <c:pt idx="660">
                  <c:v>-0.721526892097922</c:v>
                </c:pt>
                <c:pt idx="661">
                  <c:v>-0.725163729039194</c:v>
                </c:pt>
                <c:pt idx="662">
                  <c:v>-0.728748741482862</c:v>
                </c:pt>
                <c:pt idx="663">
                  <c:v>-0.73228173958636</c:v>
                </c:pt>
                <c:pt idx="664">
                  <c:v>-0.735762536489489</c:v>
                </c:pt>
                <c:pt idx="665">
                  <c:v>-0.739190948267186</c:v>
                </c:pt>
                <c:pt idx="666">
                  <c:v>-0.742566793882418</c:v>
                </c:pt>
                <c:pt idx="667">
                  <c:v>-0.745889895139256</c:v>
                </c:pt>
                <c:pt idx="668">
                  <c:v>-0.74916007663615</c:v>
                </c:pt>
                <c:pt idx="669">
                  <c:v>-0.752377165719458</c:v>
                </c:pt>
                <c:pt idx="670">
                  <c:v>-0.75554099243725</c:v>
                </c:pt>
                <c:pt idx="671">
                  <c:v>-0.75865138949342</c:v>
                </c:pt>
                <c:pt idx="672">
                  <c:v>-0.761708192202156</c:v>
                </c:pt>
                <c:pt idx="673">
                  <c:v>-0.764711238442782</c:v>
                </c:pt>
                <c:pt idx="674">
                  <c:v>-0.767660368615026</c:v>
                </c:pt>
                <c:pt idx="675">
                  <c:v>-0.770555425594718</c:v>
                </c:pt>
                <c:pt idx="676">
                  <c:v>-0.773396254689988</c:v>
                </c:pt>
                <c:pt idx="677">
                  <c:v>-0.776182703597963</c:v>
                </c:pt>
                <c:pt idx="678">
                  <c:v>-0.778914622362007</c:v>
                </c:pt>
                <c:pt idx="679">
                  <c:v>-0.781591863329544</c:v>
                </c:pt>
                <c:pt idx="680">
                  <c:v>-0.784214281110477</c:v>
                </c:pt>
                <c:pt idx="681">
                  <c:v>-0.78678173253625</c:v>
                </c:pt>
                <c:pt idx="682">
                  <c:v>-0.789294076619569</c:v>
                </c:pt>
                <c:pt idx="683">
                  <c:v>-0.791751174514817</c:v>
                </c:pt>
                <c:pt idx="684">
                  <c:v>-0.794152889479201</c:v>
                </c:pt>
                <c:pt idx="685">
                  <c:v>-0.796499086834639</c:v>
                </c:pt>
                <c:pt idx="686">
                  <c:v>-0.798789633930438</c:v>
                </c:pt>
                <c:pt idx="687">
                  <c:v>-0.80102440010677</c:v>
                </c:pt>
                <c:pt idx="688">
                  <c:v>-0.803203256658985</c:v>
                </c:pt>
                <c:pt idx="689">
                  <c:v>-0.805326076802792</c:v>
                </c:pt>
                <c:pt idx="690">
                  <c:v>-0.807392735640322</c:v>
                </c:pt>
                <c:pt idx="691">
                  <c:v>-0.809403110127102</c:v>
                </c:pt>
                <c:pt idx="692">
                  <c:v>-0.811357079039976</c:v>
                </c:pt>
                <c:pt idx="693">
                  <c:v>-0.813254522945984</c:v>
                </c:pt>
                <c:pt idx="694">
                  <c:v>-0.815095324172231</c:v>
                </c:pt>
                <c:pt idx="695">
                  <c:v>-0.816879366776776</c:v>
                </c:pt>
                <c:pt idx="696">
                  <c:v>-0.818606536520546</c:v>
                </c:pt>
                <c:pt idx="697">
                  <c:v>-0.820276720840324</c:v>
                </c:pt>
                <c:pt idx="698">
                  <c:v>-0.821889808822808</c:v>
                </c:pt>
                <c:pt idx="699">
                  <c:v>-0.823445691179789</c:v>
                </c:pt>
                <c:pt idx="700">
                  <c:v>-0.824944260224448</c:v>
                </c:pt>
                <c:pt idx="701">
                  <c:v>-0.826385409848806</c:v>
                </c:pt>
                <c:pt idx="702">
                  <c:v>-0.827769035502351</c:v>
                </c:pt>
                <c:pt idx="703">
                  <c:v>-0.829095034171852</c:v>
                </c:pt>
                <c:pt idx="704">
                  <c:v>-0.830363304362389</c:v>
                </c:pt>
                <c:pt idx="705">
                  <c:v>-0.831573746079618</c:v>
                </c:pt>
                <c:pt idx="706">
                  <c:v>-0.83272626081329</c:v>
                </c:pt>
                <c:pt idx="707">
                  <c:v>-0.833820751522044</c:v>
                </c:pt>
                <c:pt idx="708">
                  <c:v>-0.834857122619487</c:v>
                </c:pt>
                <c:pt idx="709">
                  <c:v>-0.835835279961596</c:v>
                </c:pt>
                <c:pt idx="710">
                  <c:v>-0.836755130835442</c:v>
                </c:pt>
                <c:pt idx="711">
                  <c:v>-0.837616583949262</c:v>
                </c:pt>
                <c:pt idx="712">
                  <c:v>-0.8384195494239</c:v>
                </c:pt>
                <c:pt idx="713">
                  <c:v>-0.839163938785627</c:v>
                </c:pt>
                <c:pt idx="714">
                  <c:v>-0.839849664960365</c:v>
                </c:pt>
                <c:pt idx="715">
                  <c:v>-0.840476642269315</c:v>
                </c:pt>
                <c:pt idx="716">
                  <c:v>-0.841044786426036</c:v>
                </c:pt>
                <c:pt idx="717">
                  <c:v>-0.841554014534947</c:v>
                </c:pt>
                <c:pt idx="718">
                  <c:v>-0.842004245091313</c:v>
                </c:pt>
                <c:pt idx="719">
                  <c:v>-0.842395397982692</c:v>
                </c:pt>
                <c:pt idx="720">
                  <c:v>-0.842727394491879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"10 posiciones (inciso e)"</c:f>
              <c:strCache>
                <c:ptCount val="1"/>
                <c:pt idx="0">
                  <c:v>10 posiciones (inciso e)</c:v>
                </c:pt>
              </c:strCache>
            </c:strRef>
          </c:tx>
          <c:spPr>
            <a:solidFill>
              <a:srgbClr val="eb6834"/>
            </a:solidFill>
            <a:ln w="63360">
              <a:noFill/>
            </a:ln>
          </c:spPr>
          <c:marker>
            <c:symbol val="circle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e) 10 posiciones'!$B$6:$B$15</c:f>
              <c:numCache>
                <c:formatCode>0.##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e) 10 posiciones'!$F$6:$F$15</c:f>
              <c:numCache>
                <c:formatCode>0.0000</c:formatCode>
                <c:ptCount val="10"/>
                <c:pt idx="0">
                  <c:v>-0.842727394491879</c:v>
                </c:pt>
                <c:pt idx="1">
                  <c:v>-0.708192504668978</c:v>
                </c:pt>
                <c:pt idx="2">
                  <c:v>-0.281354936194475</c:v>
                </c:pt>
                <c:pt idx="3">
                  <c:v>0.281354936194475</c:v>
                </c:pt>
                <c:pt idx="4">
                  <c:v>0.708192504668977</c:v>
                </c:pt>
                <c:pt idx="5">
                  <c:v>0.842727394491879</c:v>
                </c:pt>
                <c:pt idx="6">
                  <c:v>0.673915918480613</c:v>
                </c:pt>
                <c:pt idx="7">
                  <c:v>0.25872461871441</c:v>
                </c:pt>
                <c:pt idx="8">
                  <c:v>-0.258724618714409</c:v>
                </c:pt>
                <c:pt idx="9">
                  <c:v>-0.673915918480613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"Simulación MATLAB (inciso f)"</c:f>
              <c:strCache>
                <c:ptCount val="1"/>
                <c:pt idx="0">
                  <c:v>Simulación MATLAB (inciso f)</c:v>
                </c:pt>
              </c:strCache>
            </c:strRef>
          </c:tx>
          <c:spPr>
            <a:solidFill>
              <a:srgbClr val="000000"/>
            </a:solidFill>
            <a:ln w="63360">
              <a:noFill/>
            </a:ln>
          </c:spPr>
          <c:marker>
            <c:symbol val="x"/>
            <c:size val="9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f) Validacion'!$B$67:$B$76</c:f>
              <c:numCache>
                <c:formatCode>General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f) Validacion'!$D$67:$D$76</c:f>
              <c:numCache>
                <c:formatCode>0.000000</c:formatCode>
                <c:ptCount val="10"/>
                <c:pt idx="0">
                  <c:v>-0.842717522200775</c:v>
                </c:pt>
                <c:pt idx="1">
                  <c:v>-0.708182689250369</c:v>
                </c:pt>
                <c:pt idx="2">
                  <c:v>-0.281350107621936</c:v>
                </c:pt>
                <c:pt idx="3">
                  <c:v>0.281350107621936</c:v>
                </c:pt>
                <c:pt idx="4">
                  <c:v>0.70818268925029</c:v>
                </c:pt>
                <c:pt idx="5">
                  <c:v>0.842717522200775</c:v>
                </c:pt>
                <c:pt idx="6">
                  <c:v>0.673907741187829</c:v>
                </c:pt>
                <c:pt idx="7">
                  <c:v>0.258721105238493</c:v>
                </c:pt>
                <c:pt idx="8">
                  <c:v>-0.258721105238413</c:v>
                </c:pt>
                <c:pt idx="9">
                  <c:v>-0.673907741187829</c:v>
                </c:pt>
              </c:numCache>
            </c:numRef>
          </c:yVal>
          <c:smooth val="1"/>
        </c:ser>
        <c:axId val="92833132"/>
        <c:axId val="77496219"/>
      </c:scatterChart>
      <c:valAx>
        <c:axId val="92833132"/>
        <c:scaling>
          <c:orientation val="minMax"/>
          <c:max val="360"/>
          <c:min val="0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θ2, ángulo de la manivela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7496219"/>
        <c:crosses val="autoZero"/>
        <c:crossBetween val="midCat"/>
        <c:majorUnit val="36"/>
      </c:valAx>
      <c:valAx>
        <c:axId val="77496219"/>
        <c:scaling>
          <c:orientation val="minMax"/>
          <c:max val="1"/>
          <c:min val="-1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ω3 (rad/s)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283313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Aceleración angular de la biela α3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"Analítico (vuelta completa)"</c:f>
              <c:strCache>
                <c:ptCount val="1"/>
                <c:pt idx="0">
                  <c:v>Analítico (vuelta completa)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Curva'!$A$6:$A$726</c:f>
              <c:numCache>
                <c:formatCode>0.0</c:formatCode>
                <c:ptCount val="7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</c:numCache>
            </c:numRef>
          </c:xVal>
          <c:yVal>
            <c:numRef>
              <c:f>'P2 Curva'!$G$6:$G$726</c:f>
              <c:numCache>
                <c:formatCode>0.0000</c:formatCode>
                <c:ptCount val="721"/>
                <c:pt idx="0">
                  <c:v>-0.108861274322145</c:v>
                </c:pt>
                <c:pt idx="1">
                  <c:v>-0.0875233937457777</c:v>
                </c:pt>
                <c:pt idx="2">
                  <c:v>-0.0661584387688569</c:v>
                </c:pt>
                <c:pt idx="3">
                  <c:v>-0.0447669196592749</c:v>
                </c:pt>
                <c:pt idx="4">
                  <c:v>-0.0233493502185</c:v>
                </c:pt>
                <c:pt idx="5">
                  <c:v>-0.00190624834349108</c:v>
                </c:pt>
                <c:pt idx="6">
                  <c:v>0.0195618634073611</c:v>
                </c:pt>
                <c:pt idx="7">
                  <c:v>0.0410544572444536</c:v>
                </c:pt>
                <c:pt idx="8">
                  <c:v>0.0625709995735226</c:v>
                </c:pt>
                <c:pt idx="9">
                  <c:v>0.0841109504187368</c:v>
                </c:pt>
                <c:pt idx="10">
                  <c:v>0.105673762842508</c:v>
                </c:pt>
                <c:pt idx="11">
                  <c:v>0.127258882362237</c:v>
                </c:pt>
                <c:pt idx="12">
                  <c:v>0.148865746364189</c:v>
                </c:pt>
                <c:pt idx="13">
                  <c:v>0.170493783514716</c:v>
                </c:pt>
                <c:pt idx="14">
                  <c:v>0.192142413169046</c:v>
                </c:pt>
                <c:pt idx="15">
                  <c:v>0.213811044777857</c:v>
                </c:pt>
                <c:pt idx="16">
                  <c:v>0.235499077291873</c:v>
                </c:pt>
                <c:pt idx="17">
                  <c:v>0.257205898564713</c:v>
                </c:pt>
                <c:pt idx="18">
                  <c:v>0.278930884754246</c:v>
                </c:pt>
                <c:pt idx="19">
                  <c:v>0.300673399722696</c:v>
                </c:pt>
                <c:pt idx="20">
                  <c:v>0.322432794435766</c:v>
                </c:pt>
                <c:pt idx="21">
                  <c:v>0.344208406361031</c:v>
                </c:pt>
                <c:pt idx="22">
                  <c:v>0.365999558865906</c:v>
                </c:pt>
                <c:pt idx="23">
                  <c:v>0.387805560615433</c:v>
                </c:pt>
                <c:pt idx="24">
                  <c:v>0.409625704970221</c:v>
                </c:pt>
                <c:pt idx="25">
                  <c:v>0.431459269384809</c:v>
                </c:pt>
                <c:pt idx="26">
                  <c:v>0.453305514806778</c:v>
                </c:pt>
                <c:pt idx="27">
                  <c:v>0.47516368507693</c:v>
                </c:pt>
                <c:pt idx="28">
                  <c:v>0.497033006330862</c:v>
                </c:pt>
                <c:pt idx="29">
                  <c:v>0.518912686402267</c:v>
                </c:pt>
                <c:pt idx="30">
                  <c:v>0.540801914228334</c:v>
                </c:pt>
                <c:pt idx="31">
                  <c:v>0.562699859257577</c:v>
                </c:pt>
                <c:pt idx="32">
                  <c:v>0.584605670860481</c:v>
                </c:pt>
                <c:pt idx="33">
                  <c:v>0.606518477743344</c:v>
                </c:pt>
                <c:pt idx="34">
                  <c:v>0.628437387365699</c:v>
                </c:pt>
                <c:pt idx="35">
                  <c:v>0.650361485361721</c:v>
                </c:pt>
                <c:pt idx="36">
                  <c:v>0.672289834966035</c:v>
                </c:pt>
                <c:pt idx="37">
                  <c:v>0.694221476444341</c:v>
                </c:pt>
                <c:pt idx="38">
                  <c:v>0.716155426529296</c:v>
                </c:pt>
                <c:pt idx="39">
                  <c:v>0.738090677862098</c:v>
                </c:pt>
                <c:pt idx="40">
                  <c:v>0.760026198440226</c:v>
                </c:pt>
                <c:pt idx="41">
                  <c:v>0.781960931071806</c:v>
                </c:pt>
                <c:pt idx="42">
                  <c:v>0.803893792837085</c:v>
                </c:pt>
                <c:pt idx="43">
                  <c:v>0.825823674557496</c:v>
                </c:pt>
                <c:pt idx="44">
                  <c:v>0.847749440272825</c:v>
                </c:pt>
                <c:pt idx="45">
                  <c:v>0.869669926726986</c:v>
                </c:pt>
                <c:pt idx="46">
                  <c:v>0.891583942862928</c:v>
                </c:pt>
                <c:pt idx="47">
                  <c:v>0.913490269327217</c:v>
                </c:pt>
                <c:pt idx="48">
                  <c:v>0.93538765798483</c:v>
                </c:pt>
                <c:pt idx="49">
                  <c:v>0.957274831444711</c:v>
                </c:pt>
                <c:pt idx="50">
                  <c:v>0.979150482596684</c:v>
                </c:pt>
                <c:pt idx="51">
                  <c:v>1.00101327416026</c:v>
                </c:pt>
                <c:pt idx="52">
                  <c:v>1.02286183824597</c:v>
                </c:pt>
                <c:pt idx="53">
                  <c:v>1.04469477592976</c:v>
                </c:pt>
                <c:pt idx="54">
                  <c:v>1.06651065684113</c:v>
                </c:pt>
                <c:pt idx="55">
                  <c:v>1.08830801876556</c:v>
                </c:pt>
                <c:pt idx="56">
                  <c:v>1.11008536726192</c:v>
                </c:pt>
                <c:pt idx="57">
                  <c:v>1.13184117529539</c:v>
                </c:pt>
                <c:pt idx="58">
                  <c:v>1.15357388288665</c:v>
                </c:pt>
                <c:pt idx="59">
                  <c:v>1.17528189677793</c:v>
                </c:pt>
                <c:pt idx="60">
                  <c:v>1.19696359011653</c:v>
                </c:pt>
                <c:pt idx="61">
                  <c:v>1.21861730215654</c:v>
                </c:pt>
                <c:pt idx="62">
                  <c:v>1.24024133797943</c:v>
                </c:pt>
                <c:pt idx="63">
                  <c:v>1.26183396823408</c:v>
                </c:pt>
                <c:pt idx="64">
                  <c:v>1.28339342889707</c:v>
                </c:pt>
                <c:pt idx="65">
                  <c:v>1.30491792105376</c:v>
                </c:pt>
                <c:pt idx="66">
                  <c:v>1.32640561070094</c:v>
                </c:pt>
                <c:pt idx="67">
                  <c:v>1.34785462857173</c:v>
                </c:pt>
                <c:pt idx="68">
                  <c:v>1.36926306998334</c:v>
                </c:pt>
                <c:pt idx="69">
                  <c:v>1.39062899470844</c:v>
                </c:pt>
                <c:pt idx="70">
                  <c:v>1.41195042687079</c:v>
                </c:pt>
                <c:pt idx="71">
                  <c:v>1.43322535486581</c:v>
                </c:pt>
                <c:pt idx="72">
                  <c:v>1.45445173130685</c:v>
                </c:pt>
                <c:pt idx="73">
                  <c:v>1.47562747299762</c:v>
                </c:pt>
                <c:pt idx="74">
                  <c:v>1.49675046093173</c:v>
                </c:pt>
                <c:pt idx="75">
                  <c:v>1.51781854031976</c:v>
                </c:pt>
                <c:pt idx="76">
                  <c:v>1.53882952064471</c:v>
                </c:pt>
                <c:pt idx="77">
                  <c:v>1.55978117574624</c:v>
                </c:pt>
                <c:pt idx="78">
                  <c:v>1.58067124393463</c:v>
                </c:pt>
                <c:pt idx="79">
                  <c:v>1.60149742813483</c:v>
                </c:pt>
                <c:pt idx="80">
                  <c:v>1.62225739606134</c:v>
                </c:pt>
                <c:pt idx="81">
                  <c:v>1.64294878042451</c:v>
                </c:pt>
                <c:pt idx="82">
                  <c:v>1.6635691791688</c:v>
                </c:pt>
                <c:pt idx="83">
                  <c:v>1.68411615574359</c:v>
                </c:pt>
                <c:pt idx="84">
                  <c:v>1.70458723940711</c:v>
                </c:pt>
                <c:pt idx="85">
                  <c:v>1.72497992556398</c:v>
                </c:pt>
                <c:pt idx="86">
                  <c:v>1.7452916761369</c:v>
                </c:pt>
                <c:pt idx="87">
                  <c:v>1.76551991997291</c:v>
                </c:pt>
                <c:pt idx="88">
                  <c:v>1.78566205328484</c:v>
                </c:pt>
                <c:pt idx="89">
                  <c:v>1.80571544012812</c:v>
                </c:pt>
                <c:pt idx="90">
                  <c:v>1.82567741291366</c:v>
                </c:pt>
                <c:pt idx="91">
                  <c:v>1.84554527295694</c:v>
                </c:pt>
                <c:pt idx="92">
                  <c:v>1.86531629106377</c:v>
                </c:pt>
                <c:pt idx="93">
                  <c:v>1.88498770815305</c:v>
                </c:pt>
                <c:pt idx="94">
                  <c:v>1.90455673591673</c:v>
                </c:pt>
                <c:pt idx="95">
                  <c:v>1.92402055751728</c:v>
                </c:pt>
                <c:pt idx="96">
                  <c:v>1.9433763283229</c:v>
                </c:pt>
                <c:pt idx="97">
                  <c:v>1.96262117668056</c:v>
                </c:pt>
                <c:pt idx="98">
                  <c:v>1.98175220472708</c:v>
                </c:pt>
                <c:pt idx="99">
                  <c:v>2.00076648923832</c:v>
                </c:pt>
                <c:pt idx="100">
                  <c:v>2.01966108251649</c:v>
                </c:pt>
                <c:pt idx="101">
                  <c:v>2.03843301331565</c:v>
                </c:pt>
                <c:pt idx="102">
                  <c:v>2.05707928780532</c:v>
                </c:pt>
                <c:pt idx="103">
                  <c:v>2.07559689057208</c:v>
                </c:pt>
                <c:pt idx="104">
                  <c:v>2.09398278565915</c:v>
                </c:pt>
                <c:pt idx="105">
                  <c:v>2.11223391764351</c:v>
                </c:pt>
                <c:pt idx="106">
                  <c:v>2.13034721275071</c:v>
                </c:pt>
                <c:pt idx="107">
                  <c:v>2.14831958000666</c:v>
                </c:pt>
                <c:pt idx="108">
                  <c:v>2.16614791242635</c:v>
                </c:pt>
                <c:pt idx="109">
                  <c:v>2.18382908823902</c:v>
                </c:pt>
                <c:pt idx="110">
                  <c:v>2.20135997214927</c:v>
                </c:pt>
                <c:pt idx="111">
                  <c:v>2.21873741663367</c:v>
                </c:pt>
                <c:pt idx="112">
                  <c:v>2.23595826327232</c:v>
                </c:pt>
                <c:pt idx="113">
                  <c:v>2.25301934411467</c:v>
                </c:pt>
                <c:pt idx="114">
                  <c:v>2.26991748307895</c:v>
                </c:pt>
                <c:pt idx="115">
                  <c:v>2.28664949738449</c:v>
                </c:pt>
                <c:pt idx="116">
                  <c:v>2.30321219901618</c:v>
                </c:pt>
                <c:pt idx="117">
                  <c:v>2.31960239622004</c:v>
                </c:pt>
                <c:pt idx="118">
                  <c:v>2.33581689502921</c:v>
                </c:pt>
                <c:pt idx="119">
                  <c:v>2.35185250081924</c:v>
                </c:pt>
                <c:pt idx="120">
                  <c:v>2.36770601989165</c:v>
                </c:pt>
                <c:pt idx="121">
                  <c:v>2.38337426108474</c:v>
                </c:pt>
                <c:pt idx="122">
                  <c:v>2.39885403741051</c:v>
                </c:pt>
                <c:pt idx="123">
                  <c:v>2.41414216771628</c:v>
                </c:pt>
                <c:pt idx="124">
                  <c:v>2.42923547837008</c:v>
                </c:pt>
                <c:pt idx="125">
                  <c:v>2.44413080496816</c:v>
                </c:pt>
                <c:pt idx="126">
                  <c:v>2.45882499406344</c:v>
                </c:pt>
                <c:pt idx="127">
                  <c:v>2.47331490491341</c:v>
                </c:pt>
                <c:pt idx="128">
                  <c:v>2.48759741124595</c:v>
                </c:pt>
                <c:pt idx="129">
                  <c:v>2.50166940304161</c:v>
                </c:pt>
                <c:pt idx="130">
                  <c:v>2.51552778833067</c:v>
                </c:pt>
                <c:pt idx="131">
                  <c:v>2.52916949500341</c:v>
                </c:pt>
                <c:pt idx="132">
                  <c:v>2.54259147263183</c:v>
                </c:pt>
                <c:pt idx="133">
                  <c:v>2.55579069430119</c:v>
                </c:pt>
                <c:pt idx="134">
                  <c:v>2.56876415844945</c:v>
                </c:pt>
                <c:pt idx="135">
                  <c:v>2.58150889071292</c:v>
                </c:pt>
                <c:pt idx="136">
                  <c:v>2.59402194577615</c:v>
                </c:pt>
                <c:pt idx="137">
                  <c:v>2.60630040922426</c:v>
                </c:pt>
                <c:pt idx="138">
                  <c:v>2.61834139939568</c:v>
                </c:pt>
                <c:pt idx="139">
                  <c:v>2.63014206923346</c:v>
                </c:pt>
                <c:pt idx="140">
                  <c:v>2.64169960813299</c:v>
                </c:pt>
                <c:pt idx="141">
                  <c:v>2.65301124378427</c:v>
                </c:pt>
                <c:pt idx="142">
                  <c:v>2.66407424400659</c:v>
                </c:pt>
                <c:pt idx="143">
                  <c:v>2.67488591857361</c:v>
                </c:pt>
                <c:pt idx="144">
                  <c:v>2.68544362102672</c:v>
                </c:pt>
                <c:pt idx="145">
                  <c:v>2.69574475047462</c:v>
                </c:pt>
                <c:pt idx="146">
                  <c:v>2.70578675337699</c:v>
                </c:pt>
                <c:pt idx="147">
                  <c:v>2.71556712531019</c:v>
                </c:pt>
                <c:pt idx="148">
                  <c:v>2.72508341271284</c:v>
                </c:pt>
                <c:pt idx="149">
                  <c:v>2.73433321460914</c:v>
                </c:pt>
                <c:pt idx="150">
                  <c:v>2.74331418430793</c:v>
                </c:pt>
                <c:pt idx="151">
                  <c:v>2.75202403107529</c:v>
                </c:pt>
                <c:pt idx="152">
                  <c:v>2.76046052177863</c:v>
                </c:pt>
                <c:pt idx="153">
                  <c:v>2.76862148250027</c:v>
                </c:pt>
                <c:pt idx="154">
                  <c:v>2.77650480011833</c:v>
                </c:pt>
                <c:pt idx="155">
                  <c:v>2.78410842385304</c:v>
                </c:pt>
                <c:pt idx="156">
                  <c:v>2.79143036677638</c:v>
                </c:pt>
                <c:pt idx="157">
                  <c:v>2.79846870728314</c:v>
                </c:pt>
                <c:pt idx="158">
                  <c:v>2.80522159052151</c:v>
                </c:pt>
                <c:pt idx="159">
                  <c:v>2.81168722978114</c:v>
                </c:pt>
                <c:pt idx="160">
                  <c:v>2.8178639078371</c:v>
                </c:pt>
                <c:pt idx="161">
                  <c:v>2.82374997824766</c:v>
                </c:pt>
                <c:pt idx="162">
                  <c:v>2.82934386660438</c:v>
                </c:pt>
                <c:pt idx="163">
                  <c:v>2.83464407173263</c:v>
                </c:pt>
                <c:pt idx="164">
                  <c:v>2.83964916684106</c:v>
                </c:pt>
                <c:pt idx="165">
                  <c:v>2.84435780061836</c:v>
                </c:pt>
                <c:pt idx="166">
                  <c:v>2.84876869827577</c:v>
                </c:pt>
                <c:pt idx="167">
                  <c:v>2.85288066253404</c:v>
                </c:pt>
                <c:pt idx="168">
                  <c:v>2.85669257455331</c:v>
                </c:pt>
                <c:pt idx="169">
                  <c:v>2.86020339480475</c:v>
                </c:pt>
                <c:pt idx="170">
                  <c:v>2.86341216388258</c:v>
                </c:pt>
                <c:pt idx="171">
                  <c:v>2.86631800325557</c:v>
                </c:pt>
                <c:pt idx="172">
                  <c:v>2.86892011595668</c:v>
                </c:pt>
                <c:pt idx="173">
                  <c:v>2.87121778721011</c:v>
                </c:pt>
                <c:pt idx="174">
                  <c:v>2.87321038499472</c:v>
                </c:pt>
                <c:pt idx="175">
                  <c:v>2.87489736054306</c:v>
                </c:pt>
                <c:pt idx="176">
                  <c:v>2.87627824877536</c:v>
                </c:pt>
                <c:pt idx="177">
                  <c:v>2.87735266866778</c:v>
                </c:pt>
                <c:pt idx="178">
                  <c:v>2.8781203235544</c:v>
                </c:pt>
                <c:pt idx="179">
                  <c:v>2.87858100136261</c:v>
                </c:pt>
                <c:pt idx="180">
                  <c:v>2.87873457478143</c:v>
                </c:pt>
                <c:pt idx="181">
                  <c:v>2.87858100136261</c:v>
                </c:pt>
                <c:pt idx="182">
                  <c:v>2.8781203235544</c:v>
                </c:pt>
                <c:pt idx="183">
                  <c:v>2.87735266866778</c:v>
                </c:pt>
                <c:pt idx="184">
                  <c:v>2.87627824877536</c:v>
                </c:pt>
                <c:pt idx="185">
                  <c:v>2.87489736054306</c:v>
                </c:pt>
                <c:pt idx="186">
                  <c:v>2.87321038499472</c:v>
                </c:pt>
                <c:pt idx="187">
                  <c:v>2.87121778721011</c:v>
                </c:pt>
                <c:pt idx="188">
                  <c:v>2.86892011595668</c:v>
                </c:pt>
                <c:pt idx="189">
                  <c:v>2.86631800325557</c:v>
                </c:pt>
                <c:pt idx="190">
                  <c:v>2.86341216388258</c:v>
                </c:pt>
                <c:pt idx="191">
                  <c:v>2.86020339480475</c:v>
                </c:pt>
                <c:pt idx="192">
                  <c:v>2.85669257455331</c:v>
                </c:pt>
                <c:pt idx="193">
                  <c:v>2.85288066253404</c:v>
                </c:pt>
                <c:pt idx="194">
                  <c:v>2.84876869827577</c:v>
                </c:pt>
                <c:pt idx="195">
                  <c:v>2.84435780061836</c:v>
                </c:pt>
                <c:pt idx="196">
                  <c:v>2.83964916684106</c:v>
                </c:pt>
                <c:pt idx="197">
                  <c:v>2.83464407173263</c:v>
                </c:pt>
                <c:pt idx="198">
                  <c:v>2.82934386660438</c:v>
                </c:pt>
                <c:pt idx="199">
                  <c:v>2.82374997824766</c:v>
                </c:pt>
                <c:pt idx="200">
                  <c:v>2.8178639078371</c:v>
                </c:pt>
                <c:pt idx="201">
                  <c:v>2.81168722978114</c:v>
                </c:pt>
                <c:pt idx="202">
                  <c:v>2.80522159052151</c:v>
                </c:pt>
                <c:pt idx="203">
                  <c:v>2.79846870728314</c:v>
                </c:pt>
                <c:pt idx="204">
                  <c:v>2.79143036677638</c:v>
                </c:pt>
                <c:pt idx="205">
                  <c:v>2.78410842385304</c:v>
                </c:pt>
                <c:pt idx="206">
                  <c:v>2.77650480011833</c:v>
                </c:pt>
                <c:pt idx="207">
                  <c:v>2.76862148250027</c:v>
                </c:pt>
                <c:pt idx="208">
                  <c:v>2.76046052177863</c:v>
                </c:pt>
                <c:pt idx="209">
                  <c:v>2.75202403107529</c:v>
                </c:pt>
                <c:pt idx="210">
                  <c:v>2.74331418430793</c:v>
                </c:pt>
                <c:pt idx="211">
                  <c:v>2.73433321460914</c:v>
                </c:pt>
                <c:pt idx="212">
                  <c:v>2.72508341271284</c:v>
                </c:pt>
                <c:pt idx="213">
                  <c:v>2.71556712531019</c:v>
                </c:pt>
                <c:pt idx="214">
                  <c:v>2.70578675337699</c:v>
                </c:pt>
                <c:pt idx="215">
                  <c:v>2.69574475047462</c:v>
                </c:pt>
                <c:pt idx="216">
                  <c:v>2.68544362102672</c:v>
                </c:pt>
                <c:pt idx="217">
                  <c:v>2.67488591857361</c:v>
                </c:pt>
                <c:pt idx="218">
                  <c:v>2.66407424400659</c:v>
                </c:pt>
                <c:pt idx="219">
                  <c:v>2.65301124378427</c:v>
                </c:pt>
                <c:pt idx="220">
                  <c:v>2.64169960813299</c:v>
                </c:pt>
                <c:pt idx="221">
                  <c:v>2.63014206923346</c:v>
                </c:pt>
                <c:pt idx="222">
                  <c:v>2.61834139939568</c:v>
                </c:pt>
                <c:pt idx="223">
                  <c:v>2.60630040922426</c:v>
                </c:pt>
                <c:pt idx="224">
                  <c:v>2.59402194577615</c:v>
                </c:pt>
                <c:pt idx="225">
                  <c:v>2.58150889071292</c:v>
                </c:pt>
                <c:pt idx="226">
                  <c:v>2.56876415844945</c:v>
                </c:pt>
                <c:pt idx="227">
                  <c:v>2.55579069430119</c:v>
                </c:pt>
                <c:pt idx="228">
                  <c:v>2.54259147263183</c:v>
                </c:pt>
                <c:pt idx="229">
                  <c:v>2.52916949500341</c:v>
                </c:pt>
                <c:pt idx="230">
                  <c:v>2.51552778833067</c:v>
                </c:pt>
                <c:pt idx="231">
                  <c:v>2.50166940304161</c:v>
                </c:pt>
                <c:pt idx="232">
                  <c:v>2.48759741124595</c:v>
                </c:pt>
                <c:pt idx="233">
                  <c:v>2.47331490491341</c:v>
                </c:pt>
                <c:pt idx="234">
                  <c:v>2.45882499406344</c:v>
                </c:pt>
                <c:pt idx="235">
                  <c:v>2.44413080496816</c:v>
                </c:pt>
                <c:pt idx="236">
                  <c:v>2.42923547837008</c:v>
                </c:pt>
                <c:pt idx="237">
                  <c:v>2.41414216771628</c:v>
                </c:pt>
                <c:pt idx="238">
                  <c:v>2.39885403741051</c:v>
                </c:pt>
                <c:pt idx="239">
                  <c:v>2.38337426108474</c:v>
                </c:pt>
                <c:pt idx="240">
                  <c:v>2.36770601989165</c:v>
                </c:pt>
                <c:pt idx="241">
                  <c:v>2.35185250081924</c:v>
                </c:pt>
                <c:pt idx="242">
                  <c:v>2.33581689502921</c:v>
                </c:pt>
                <c:pt idx="243">
                  <c:v>2.31960239622004</c:v>
                </c:pt>
                <c:pt idx="244">
                  <c:v>2.30321219901618</c:v>
                </c:pt>
                <c:pt idx="245">
                  <c:v>2.28664949738449</c:v>
                </c:pt>
                <c:pt idx="246">
                  <c:v>2.26991748307895</c:v>
                </c:pt>
                <c:pt idx="247">
                  <c:v>2.25301934411467</c:v>
                </c:pt>
                <c:pt idx="248">
                  <c:v>2.23595826327232</c:v>
                </c:pt>
                <c:pt idx="249">
                  <c:v>2.21873741663367</c:v>
                </c:pt>
                <c:pt idx="250">
                  <c:v>2.20135997214927</c:v>
                </c:pt>
                <c:pt idx="251">
                  <c:v>2.18382908823902</c:v>
                </c:pt>
                <c:pt idx="252">
                  <c:v>2.16614791242635</c:v>
                </c:pt>
                <c:pt idx="253">
                  <c:v>2.14831958000666</c:v>
                </c:pt>
                <c:pt idx="254">
                  <c:v>2.13034721275071</c:v>
                </c:pt>
                <c:pt idx="255">
                  <c:v>2.11223391764351</c:v>
                </c:pt>
                <c:pt idx="256">
                  <c:v>2.09398278565915</c:v>
                </c:pt>
                <c:pt idx="257">
                  <c:v>2.07559689057209</c:v>
                </c:pt>
                <c:pt idx="258">
                  <c:v>2.05707928780532</c:v>
                </c:pt>
                <c:pt idx="259">
                  <c:v>2.03843301331565</c:v>
                </c:pt>
                <c:pt idx="260">
                  <c:v>2.01966108251649</c:v>
                </c:pt>
                <c:pt idx="261">
                  <c:v>2.00076648923832</c:v>
                </c:pt>
                <c:pt idx="262">
                  <c:v>1.98175220472708</c:v>
                </c:pt>
                <c:pt idx="263">
                  <c:v>1.96262117668056</c:v>
                </c:pt>
                <c:pt idx="264">
                  <c:v>1.9433763283229</c:v>
                </c:pt>
                <c:pt idx="265">
                  <c:v>1.92402055751728</c:v>
                </c:pt>
                <c:pt idx="266">
                  <c:v>1.90455673591673</c:v>
                </c:pt>
                <c:pt idx="267">
                  <c:v>1.88498770815305</c:v>
                </c:pt>
                <c:pt idx="268">
                  <c:v>1.86531629106377</c:v>
                </c:pt>
                <c:pt idx="269">
                  <c:v>1.84554527295694</c:v>
                </c:pt>
                <c:pt idx="270">
                  <c:v>1.82567741291366</c:v>
                </c:pt>
                <c:pt idx="271">
                  <c:v>1.80571544012812</c:v>
                </c:pt>
                <c:pt idx="272">
                  <c:v>1.78566205328484</c:v>
                </c:pt>
                <c:pt idx="273">
                  <c:v>1.76551991997292</c:v>
                </c:pt>
                <c:pt idx="274">
                  <c:v>1.7452916761369</c:v>
                </c:pt>
                <c:pt idx="275">
                  <c:v>1.72497992556398</c:v>
                </c:pt>
                <c:pt idx="276">
                  <c:v>1.70458723940711</c:v>
                </c:pt>
                <c:pt idx="277">
                  <c:v>1.68411615574359</c:v>
                </c:pt>
                <c:pt idx="278">
                  <c:v>1.6635691791688</c:v>
                </c:pt>
                <c:pt idx="279">
                  <c:v>1.64294878042451</c:v>
                </c:pt>
                <c:pt idx="280">
                  <c:v>1.62225739606134</c:v>
                </c:pt>
                <c:pt idx="281">
                  <c:v>1.60149742813483</c:v>
                </c:pt>
                <c:pt idx="282">
                  <c:v>1.58067124393463</c:v>
                </c:pt>
                <c:pt idx="283">
                  <c:v>1.55978117574624</c:v>
                </c:pt>
                <c:pt idx="284">
                  <c:v>1.53882952064471</c:v>
                </c:pt>
                <c:pt idx="285">
                  <c:v>1.51781854031977</c:v>
                </c:pt>
                <c:pt idx="286">
                  <c:v>1.49675046093173</c:v>
                </c:pt>
                <c:pt idx="287">
                  <c:v>1.47562747299762</c:v>
                </c:pt>
                <c:pt idx="288">
                  <c:v>1.45445173130685</c:v>
                </c:pt>
                <c:pt idx="289">
                  <c:v>1.43322535486582</c:v>
                </c:pt>
                <c:pt idx="290">
                  <c:v>1.41195042687079</c:v>
                </c:pt>
                <c:pt idx="291">
                  <c:v>1.39062899470844</c:v>
                </c:pt>
                <c:pt idx="292">
                  <c:v>1.36926306998334</c:v>
                </c:pt>
                <c:pt idx="293">
                  <c:v>1.34785462857173</c:v>
                </c:pt>
                <c:pt idx="294">
                  <c:v>1.32640561070094</c:v>
                </c:pt>
                <c:pt idx="295">
                  <c:v>1.30491792105376</c:v>
                </c:pt>
                <c:pt idx="296">
                  <c:v>1.28339342889707</c:v>
                </c:pt>
                <c:pt idx="297">
                  <c:v>1.26183396823408</c:v>
                </c:pt>
                <c:pt idx="298">
                  <c:v>1.24024133797943</c:v>
                </c:pt>
                <c:pt idx="299">
                  <c:v>1.21861730215654</c:v>
                </c:pt>
                <c:pt idx="300">
                  <c:v>1.19696359011653</c:v>
                </c:pt>
                <c:pt idx="301">
                  <c:v>1.17528189677793</c:v>
                </c:pt>
                <c:pt idx="302">
                  <c:v>1.15357388288665</c:v>
                </c:pt>
                <c:pt idx="303">
                  <c:v>1.13184117529539</c:v>
                </c:pt>
                <c:pt idx="304">
                  <c:v>1.11008536726192</c:v>
                </c:pt>
                <c:pt idx="305">
                  <c:v>1.08830801876556</c:v>
                </c:pt>
                <c:pt idx="306">
                  <c:v>1.06651065684113</c:v>
                </c:pt>
                <c:pt idx="307">
                  <c:v>1.04469477592976</c:v>
                </c:pt>
                <c:pt idx="308">
                  <c:v>1.02286183824597</c:v>
                </c:pt>
                <c:pt idx="309">
                  <c:v>1.00101327416026</c:v>
                </c:pt>
                <c:pt idx="310">
                  <c:v>0.979150482596684</c:v>
                </c:pt>
                <c:pt idx="311">
                  <c:v>0.957274831444711</c:v>
                </c:pt>
                <c:pt idx="312">
                  <c:v>0.935387657984829</c:v>
                </c:pt>
                <c:pt idx="313">
                  <c:v>0.913490269327217</c:v>
                </c:pt>
                <c:pt idx="314">
                  <c:v>0.891583942862928</c:v>
                </c:pt>
                <c:pt idx="315">
                  <c:v>0.869669926726986</c:v>
                </c:pt>
                <c:pt idx="316">
                  <c:v>0.847749440272826</c:v>
                </c:pt>
                <c:pt idx="317">
                  <c:v>0.825823674557497</c:v>
                </c:pt>
                <c:pt idx="318">
                  <c:v>0.803893792837086</c:v>
                </c:pt>
                <c:pt idx="319">
                  <c:v>0.781960931071806</c:v>
                </c:pt>
                <c:pt idx="320">
                  <c:v>0.760026198440226</c:v>
                </c:pt>
                <c:pt idx="321">
                  <c:v>0.738090677862098</c:v>
                </c:pt>
                <c:pt idx="322">
                  <c:v>0.716155426529295</c:v>
                </c:pt>
                <c:pt idx="323">
                  <c:v>0.694221476444341</c:v>
                </c:pt>
                <c:pt idx="324">
                  <c:v>0.672289834966035</c:v>
                </c:pt>
                <c:pt idx="325">
                  <c:v>0.650361485361721</c:v>
                </c:pt>
                <c:pt idx="326">
                  <c:v>0.6284373873657</c:v>
                </c:pt>
                <c:pt idx="327">
                  <c:v>0.606518477743344</c:v>
                </c:pt>
                <c:pt idx="328">
                  <c:v>0.584605670860482</c:v>
                </c:pt>
                <c:pt idx="329">
                  <c:v>0.562699859257577</c:v>
                </c:pt>
                <c:pt idx="330">
                  <c:v>0.540801914228335</c:v>
                </c:pt>
                <c:pt idx="331">
                  <c:v>0.518912686402268</c:v>
                </c:pt>
                <c:pt idx="332">
                  <c:v>0.497033006330862</c:v>
                </c:pt>
                <c:pt idx="333">
                  <c:v>0.475163685076931</c:v>
                </c:pt>
                <c:pt idx="334">
                  <c:v>0.453305514806778</c:v>
                </c:pt>
                <c:pt idx="335">
                  <c:v>0.431459269384808</c:v>
                </c:pt>
                <c:pt idx="336">
                  <c:v>0.409625704970221</c:v>
                </c:pt>
                <c:pt idx="337">
                  <c:v>0.387805560615433</c:v>
                </c:pt>
                <c:pt idx="338">
                  <c:v>0.365999558865906</c:v>
                </c:pt>
                <c:pt idx="339">
                  <c:v>0.344208406361032</c:v>
                </c:pt>
                <c:pt idx="340">
                  <c:v>0.322432794435767</c:v>
                </c:pt>
                <c:pt idx="341">
                  <c:v>0.300673399722696</c:v>
                </c:pt>
                <c:pt idx="342">
                  <c:v>0.278930884754246</c:v>
                </c:pt>
                <c:pt idx="343">
                  <c:v>0.257205898564714</c:v>
                </c:pt>
                <c:pt idx="344">
                  <c:v>0.235499077291873</c:v>
                </c:pt>
                <c:pt idx="345">
                  <c:v>0.213811044777857</c:v>
                </c:pt>
                <c:pt idx="346">
                  <c:v>0.192142413169046</c:v>
                </c:pt>
                <c:pt idx="347">
                  <c:v>0.170493783514716</c:v>
                </c:pt>
                <c:pt idx="348">
                  <c:v>0.148865746364189</c:v>
                </c:pt>
                <c:pt idx="349">
                  <c:v>0.127258882362237</c:v>
                </c:pt>
                <c:pt idx="350">
                  <c:v>0.105673762842508</c:v>
                </c:pt>
                <c:pt idx="351">
                  <c:v>0.0841109504187371</c:v>
                </c:pt>
                <c:pt idx="352">
                  <c:v>0.0625709995735232</c:v>
                </c:pt>
                <c:pt idx="353">
                  <c:v>0.0410544572444544</c:v>
                </c:pt>
                <c:pt idx="354">
                  <c:v>0.0195618634073623</c:v>
                </c:pt>
                <c:pt idx="355">
                  <c:v>-0.00190624834349089</c:v>
                </c:pt>
                <c:pt idx="356">
                  <c:v>-0.0233493502184995</c:v>
                </c:pt>
                <c:pt idx="357">
                  <c:v>-0.0447669196592754</c:v>
                </c:pt>
                <c:pt idx="358">
                  <c:v>-0.0661584387688571</c:v>
                </c:pt>
                <c:pt idx="359">
                  <c:v>-0.0875233937457776</c:v>
                </c:pt>
                <c:pt idx="360">
                  <c:v>-0.108861274322144</c:v>
                </c:pt>
                <c:pt idx="361">
                  <c:v>-0.130171573205937</c:v>
                </c:pt>
                <c:pt idx="362">
                  <c:v>-0.151453785527669</c:v>
                </c:pt>
                <c:pt idx="363">
                  <c:v>-0.172707408291611</c:v>
                </c:pt>
                <c:pt idx="364">
                  <c:v>-0.193931939831716</c:v>
                </c:pt>
                <c:pt idx="365">
                  <c:v>-0.215126879272421</c:v>
                </c:pt>
                <c:pt idx="366">
                  <c:v>-0.236291725994501</c:v>
                </c:pt>
                <c:pt idx="367">
                  <c:v>-0.257425979106103</c:v>
                </c:pt>
                <c:pt idx="368">
                  <c:v>-0.278529136919134</c:v>
                </c:pt>
                <c:pt idx="369">
                  <c:v>-0.299600696431153</c:v>
                </c:pt>
                <c:pt idx="370">
                  <c:v>-0.320640152812923</c:v>
                </c:pt>
                <c:pt idx="371">
                  <c:v>-0.341646998901751</c:v>
                </c:pt>
                <c:pt idx="372">
                  <c:v>-0.362620724700801</c:v>
                </c:pt>
                <c:pt idx="373">
                  <c:v>-0.383560816884482</c:v>
                </c:pt>
                <c:pt idx="374">
                  <c:v>-0.404466758310095</c:v>
                </c:pt>
                <c:pt idx="375">
                  <c:v>-0.425338027535857</c:v>
                </c:pt>
                <c:pt idx="376">
                  <c:v>-0.446174098345459</c:v>
                </c:pt>
                <c:pt idx="377">
                  <c:v>-0.466974439279292</c:v>
                </c:pt>
                <c:pt idx="378">
                  <c:v>-0.487738513172486</c:v>
                </c:pt>
                <c:pt idx="379">
                  <c:v>-0.508465776699914</c:v>
                </c:pt>
                <c:pt idx="380">
                  <c:v>-0.529155679928279</c:v>
                </c:pt>
                <c:pt idx="381">
                  <c:v>-0.549807665875445</c:v>
                </c:pt>
                <c:pt idx="382">
                  <c:v>-0.570421170077151</c:v>
                </c:pt>
                <c:pt idx="383">
                  <c:v>-0.590995620161245</c:v>
                </c:pt>
                <c:pt idx="384">
                  <c:v>-0.611530435429568</c:v>
                </c:pt>
                <c:pt idx="385">
                  <c:v>-0.63202502644766</c:v>
                </c:pt>
                <c:pt idx="386">
                  <c:v>-0.652478794642404</c:v>
                </c:pt>
                <c:pt idx="387">
                  <c:v>-0.672891131907757</c:v>
                </c:pt>
                <c:pt idx="388">
                  <c:v>-0.69326142021873</c:v>
                </c:pt>
                <c:pt idx="389">
                  <c:v>-0.713589031253727</c:v>
                </c:pt>
                <c:pt idx="390">
                  <c:v>-0.733873326025424</c:v>
                </c:pt>
                <c:pt idx="391">
                  <c:v>-0.754113654520309</c:v>
                </c:pt>
                <c:pt idx="392">
                  <c:v>-0.774309355347041</c:v>
                </c:pt>
                <c:pt idx="393">
                  <c:v>-0.794459755393778</c:v>
                </c:pt>
                <c:pt idx="394">
                  <c:v>-0.814564169494611</c:v>
                </c:pt>
                <c:pt idx="395">
                  <c:v>-0.834621900105261</c:v>
                </c:pt>
                <c:pt idx="396">
                  <c:v>-0.854632236988201</c:v>
                </c:pt>
                <c:pt idx="397">
                  <c:v>-0.874594456907321</c:v>
                </c:pt>
                <c:pt idx="398">
                  <c:v>-0.894507823332334</c:v>
                </c:pt>
                <c:pt idx="399">
                  <c:v>-0.914371586153024</c:v>
                </c:pt>
                <c:pt idx="400">
                  <c:v>-0.93418498140354</c:v>
                </c:pt>
                <c:pt idx="401">
                  <c:v>-0.953947230996848</c:v>
                </c:pt>
                <c:pt idx="402">
                  <c:v>-0.973657542469529</c:v>
                </c:pt>
                <c:pt idx="403">
                  <c:v>-0.993315108737049</c:v>
                </c:pt>
                <c:pt idx="404">
                  <c:v>-1.01291910785969</c:v>
                </c:pt>
                <c:pt idx="405">
                  <c:v>-1.03246870281925</c:v>
                </c:pt>
                <c:pt idx="406">
                  <c:v>-1.05196304130673</c:v>
                </c:pt>
                <c:pt idx="407">
                  <c:v>-1.07140125552112</c:v>
                </c:pt>
                <c:pt idx="408">
                  <c:v>-1.09078246197942</c:v>
                </c:pt>
                <c:pt idx="409">
                  <c:v>-1.11010576133817</c:v>
                </c:pt>
                <c:pt idx="410">
                  <c:v>-1.12937023822642</c:v>
                </c:pt>
                <c:pt idx="411">
                  <c:v>-1.1485749610906</c:v>
                </c:pt>
                <c:pt idx="412">
                  <c:v>-1.16771898205114</c:v>
                </c:pt>
                <c:pt idx="413">
                  <c:v>-1.18680133677122</c:v>
                </c:pt>
                <c:pt idx="414">
                  <c:v>-1.20582104433766</c:v>
                </c:pt>
                <c:pt idx="415">
                  <c:v>-1.22477710715421</c:v>
                </c:pt>
                <c:pt idx="416">
                  <c:v>-1.24366851084729</c:v>
                </c:pt>
                <c:pt idx="417">
                  <c:v>-1.26249422418438</c:v>
                </c:pt>
                <c:pt idx="418">
                  <c:v>-1.28125319900527</c:v>
                </c:pt>
                <c:pt idx="419">
                  <c:v>-1.29994437016614</c:v>
                </c:pt>
                <c:pt idx="420">
                  <c:v>-1.3185666554968</c:v>
                </c:pt>
                <c:pt idx="421">
                  <c:v>-1.33711895577113</c:v>
                </c:pt>
                <c:pt idx="422">
                  <c:v>-1.35560015469085</c:v>
                </c:pt>
                <c:pt idx="423">
                  <c:v>-1.37400911888279</c:v>
                </c:pt>
                <c:pt idx="424">
                  <c:v>-1.39234469790979</c:v>
                </c:pt>
                <c:pt idx="425">
                  <c:v>-1.41060572429535</c:v>
                </c:pt>
                <c:pt idx="426">
                  <c:v>-1.42879101356211</c:v>
                </c:pt>
                <c:pt idx="427">
                  <c:v>-1.44689936428432</c:v>
                </c:pt>
                <c:pt idx="428">
                  <c:v>-1.46492955815447</c:v>
                </c:pt>
                <c:pt idx="429">
                  <c:v>-1.48288036006403</c:v>
                </c:pt>
                <c:pt idx="430">
                  <c:v>-1.50075051819855</c:v>
                </c:pt>
                <c:pt idx="431">
                  <c:v>-1.51853876414717</c:v>
                </c:pt>
                <c:pt idx="432">
                  <c:v>-1.53624381302659</c:v>
                </c:pt>
                <c:pt idx="433">
                  <c:v>-1.55386436361965</c:v>
                </c:pt>
                <c:pt idx="434">
                  <c:v>-1.57139909852855</c:v>
                </c:pt>
                <c:pt idx="435">
                  <c:v>-1.58884668434283</c:v>
                </c:pt>
                <c:pt idx="436">
                  <c:v>-1.60620577182209</c:v>
                </c:pt>
                <c:pt idx="437">
                  <c:v>-1.6234749960936</c:v>
                </c:pt>
                <c:pt idx="438">
                  <c:v>-1.64065297686481</c:v>
                </c:pt>
                <c:pt idx="439">
                  <c:v>-1.65773831865078</c:v>
                </c:pt>
                <c:pt idx="440">
                  <c:v>-1.67472961101659</c:v>
                </c:pt>
                <c:pt idx="441">
                  <c:v>-1.69162542883476</c:v>
                </c:pt>
                <c:pt idx="442">
                  <c:v>-1.7084243325576</c:v>
                </c:pt>
                <c:pt idx="443">
                  <c:v>-1.72512486850472</c:v>
                </c:pt>
                <c:pt idx="444">
                  <c:v>-1.74172556916536</c:v>
                </c:pt>
                <c:pt idx="445">
                  <c:v>-1.75822495351586</c:v>
                </c:pt>
                <c:pt idx="446">
                  <c:v>-1.77462152735203</c:v>
                </c:pt>
                <c:pt idx="447">
                  <c:v>-1.7909137836364</c:v>
                </c:pt>
                <c:pt idx="448">
                  <c:v>-1.80710020286042</c:v>
                </c:pt>
                <c:pt idx="449">
                  <c:v>-1.82317925342145</c:v>
                </c:pt>
                <c:pt idx="450">
                  <c:v>-1.83914939201444</c:v>
                </c:pt>
                <c:pt idx="451">
                  <c:v>-1.85500906403833</c:v>
                </c:pt>
                <c:pt idx="452">
                  <c:v>-1.87075670401697</c:v>
                </c:pt>
                <c:pt idx="453">
                  <c:v>-1.88639073603451</c:v>
                </c:pt>
                <c:pt idx="454">
                  <c:v>-1.9019095741851</c:v>
                </c:pt>
                <c:pt idx="455">
                  <c:v>-1.91731162303677</c:v>
                </c:pt>
                <c:pt idx="456">
                  <c:v>-1.93259527810937</c:v>
                </c:pt>
                <c:pt idx="457">
                  <c:v>-1.94775892636642</c:v>
                </c:pt>
                <c:pt idx="458">
                  <c:v>-1.96280094672057</c:v>
                </c:pt>
                <c:pt idx="459">
                  <c:v>-1.97771971055263</c:v>
                </c:pt>
                <c:pt idx="460">
                  <c:v>-1.99251358224395</c:v>
                </c:pt>
                <c:pt idx="461">
                  <c:v>-2.00718091972177</c:v>
                </c:pt>
                <c:pt idx="462">
                  <c:v>-2.02172007501756</c:v>
                </c:pt>
                <c:pt idx="463">
                  <c:v>-2.03612939483784</c:v>
                </c:pt>
                <c:pt idx="464">
                  <c:v>-2.05040722114742</c:v>
                </c:pt>
                <c:pt idx="465">
                  <c:v>-2.0645518917647</c:v>
                </c:pt>
                <c:pt idx="466">
                  <c:v>-2.07856174096873</c:v>
                </c:pt>
                <c:pt idx="467">
                  <c:v>-2.09243510011774</c:v>
                </c:pt>
                <c:pt idx="468">
                  <c:v>-2.10617029827879</c:v>
                </c:pt>
                <c:pt idx="469">
                  <c:v>-2.11976566286831</c:v>
                </c:pt>
                <c:pt idx="470">
                  <c:v>-2.13321952030301</c:v>
                </c:pt>
                <c:pt idx="471">
                  <c:v>-2.14653019666095</c:v>
                </c:pt>
                <c:pt idx="472">
                  <c:v>-2.15969601835224</c:v>
                </c:pt>
                <c:pt idx="473">
                  <c:v>-2.17271531279923</c:v>
                </c:pt>
                <c:pt idx="474">
                  <c:v>-2.18558640912536</c:v>
                </c:pt>
                <c:pt idx="475">
                  <c:v>-2.19830763885274</c:v>
                </c:pt>
                <c:pt idx="476">
                  <c:v>-2.21087733660764</c:v>
                </c:pt>
                <c:pt idx="477">
                  <c:v>-2.22329384083362</c:v>
                </c:pt>
                <c:pt idx="478">
                  <c:v>-2.23555549451178</c:v>
                </c:pt>
                <c:pt idx="479">
                  <c:v>-2.2476606458877</c:v>
                </c:pt>
                <c:pt idx="480">
                  <c:v>-2.25960764920451</c:v>
                </c:pt>
                <c:pt idx="481">
                  <c:v>-2.27139486544167</c:v>
                </c:pt>
                <c:pt idx="482">
                  <c:v>-2.28302066305884</c:v>
                </c:pt>
                <c:pt idx="483">
                  <c:v>-2.29448341874444</c:v>
                </c:pt>
                <c:pt idx="484">
                  <c:v>-2.30578151816822</c:v>
                </c:pt>
                <c:pt idx="485">
                  <c:v>-2.31691335673742</c:v>
                </c:pt>
                <c:pt idx="486">
                  <c:v>-2.3278773403559</c:v>
                </c:pt>
                <c:pt idx="487">
                  <c:v>-2.33867188618562</c:v>
                </c:pt>
                <c:pt idx="488">
                  <c:v>-2.34929542341001</c:v>
                </c:pt>
                <c:pt idx="489">
                  <c:v>-2.3597463939985</c:v>
                </c:pt>
                <c:pt idx="490">
                  <c:v>-2.37002325347177</c:v>
                </c:pt>
                <c:pt idx="491">
                  <c:v>-2.38012447166697</c:v>
                </c:pt>
                <c:pt idx="492">
                  <c:v>-2.39004853350234</c:v>
                </c:pt>
                <c:pt idx="493">
                  <c:v>-2.3997939397407</c:v>
                </c:pt>
                <c:pt idx="494">
                  <c:v>-2.40935920775103</c:v>
                </c:pt>
                <c:pt idx="495">
                  <c:v>-2.41874287226763</c:v>
                </c:pt>
                <c:pt idx="496">
                  <c:v>-2.42794348614621</c:v>
                </c:pt>
                <c:pt idx="497">
                  <c:v>-2.43695962111616</c:v>
                </c:pt>
                <c:pt idx="498">
                  <c:v>-2.44578986852851</c:v>
                </c:pt>
                <c:pt idx="499">
                  <c:v>-2.45443284009887</c:v>
                </c:pt>
                <c:pt idx="500">
                  <c:v>-2.46288716864463</c:v>
                </c:pt>
                <c:pt idx="501">
                  <c:v>-2.4711515088159</c:v>
                </c:pt>
                <c:pt idx="502">
                  <c:v>-2.47922453781943</c:v>
                </c:pt>
                <c:pt idx="503">
                  <c:v>-2.487104956135</c:v>
                </c:pt>
                <c:pt idx="504">
                  <c:v>-2.49479148822341</c:v>
                </c:pt>
                <c:pt idx="505">
                  <c:v>-2.50228288322569</c:v>
                </c:pt>
                <c:pt idx="506">
                  <c:v>-2.50957791565268</c:v>
                </c:pt>
                <c:pt idx="507">
                  <c:v>-2.51667538606448</c:v>
                </c:pt>
                <c:pt idx="508">
                  <c:v>-2.523574121739</c:v>
                </c:pt>
                <c:pt idx="509">
                  <c:v>-2.53027297732917</c:v>
                </c:pt>
                <c:pt idx="510">
                  <c:v>-2.53677083550799</c:v>
                </c:pt>
                <c:pt idx="511">
                  <c:v>-2.54306660760097</c:v>
                </c:pt>
                <c:pt idx="512">
                  <c:v>-2.54915923420523</c:v>
                </c:pt>
                <c:pt idx="513">
                  <c:v>-2.5550476857948</c:v>
                </c:pt>
                <c:pt idx="514">
                  <c:v>-2.56073096331135</c:v>
                </c:pt>
                <c:pt idx="515">
                  <c:v>-2.56620809873997</c:v>
                </c:pt>
                <c:pt idx="516">
                  <c:v>-2.57147815566934</c:v>
                </c:pt>
                <c:pt idx="517">
                  <c:v>-2.57654022983569</c:v>
                </c:pt>
                <c:pt idx="518">
                  <c:v>-2.58139344965013</c:v>
                </c:pt>
                <c:pt idx="519">
                  <c:v>-2.58603697670871</c:v>
                </c:pt>
                <c:pt idx="520">
                  <c:v>-2.59047000628485</c:v>
                </c:pt>
                <c:pt idx="521">
                  <c:v>-2.59469176780346</c:v>
                </c:pt>
                <c:pt idx="522">
                  <c:v>-2.5987015252964</c:v>
                </c:pt>
                <c:pt idx="523">
                  <c:v>-2.60249857783879</c:v>
                </c:pt>
                <c:pt idx="524">
                  <c:v>-2.60608225996577</c:v>
                </c:pt>
                <c:pt idx="525">
                  <c:v>-2.60945194206913</c:v>
                </c:pt>
                <c:pt idx="526">
                  <c:v>-2.61260703077363</c:v>
                </c:pt>
                <c:pt idx="527">
                  <c:v>-2.61554696929245</c:v>
                </c:pt>
                <c:pt idx="528">
                  <c:v>-2.61827123776147</c:v>
                </c:pt>
                <c:pt idx="529">
                  <c:v>-2.62077935355203</c:v>
                </c:pt>
                <c:pt idx="530">
                  <c:v>-2.62307087156189</c:v>
                </c:pt>
                <c:pt idx="531">
                  <c:v>-2.62514538448398</c:v>
                </c:pt>
                <c:pt idx="532">
                  <c:v>-2.62700252305277</c:v>
                </c:pt>
                <c:pt idx="533">
                  <c:v>-2.62864195626793</c:v>
                </c:pt>
                <c:pt idx="534">
                  <c:v>-2.63006339159512</c:v>
                </c:pt>
                <c:pt idx="535">
                  <c:v>-2.63126657514363</c:v>
                </c:pt>
                <c:pt idx="536">
                  <c:v>-2.63225129182071</c:v>
                </c:pt>
                <c:pt idx="537">
                  <c:v>-2.63301736546243</c:v>
                </c:pt>
                <c:pt idx="538">
                  <c:v>-2.63356465894096</c:v>
                </c:pt>
                <c:pt idx="539">
                  <c:v>-2.63389307424809</c:v>
                </c:pt>
                <c:pt idx="540">
                  <c:v>-2.634002552555</c:v>
                </c:pt>
                <c:pt idx="541">
                  <c:v>-2.63389307424809</c:v>
                </c:pt>
                <c:pt idx="542">
                  <c:v>-2.63356465894096</c:v>
                </c:pt>
                <c:pt idx="543">
                  <c:v>-2.63301736546243</c:v>
                </c:pt>
                <c:pt idx="544">
                  <c:v>-2.63225129182071</c:v>
                </c:pt>
                <c:pt idx="545">
                  <c:v>-2.63126657514363</c:v>
                </c:pt>
                <c:pt idx="546">
                  <c:v>-2.63006339159512</c:v>
                </c:pt>
                <c:pt idx="547">
                  <c:v>-2.62864195626793</c:v>
                </c:pt>
                <c:pt idx="548">
                  <c:v>-2.62700252305277</c:v>
                </c:pt>
                <c:pt idx="549">
                  <c:v>-2.62514538448399</c:v>
                </c:pt>
                <c:pt idx="550">
                  <c:v>-2.62307087156189</c:v>
                </c:pt>
                <c:pt idx="551">
                  <c:v>-2.62077935355203</c:v>
                </c:pt>
                <c:pt idx="552">
                  <c:v>-2.61827123776147</c:v>
                </c:pt>
                <c:pt idx="553">
                  <c:v>-2.61554696929245</c:v>
                </c:pt>
                <c:pt idx="554">
                  <c:v>-2.61260703077363</c:v>
                </c:pt>
                <c:pt idx="555">
                  <c:v>-2.60945194206913</c:v>
                </c:pt>
                <c:pt idx="556">
                  <c:v>-2.60608225996577</c:v>
                </c:pt>
                <c:pt idx="557">
                  <c:v>-2.6024985778388</c:v>
                </c:pt>
                <c:pt idx="558">
                  <c:v>-2.5987015252964</c:v>
                </c:pt>
                <c:pt idx="559">
                  <c:v>-2.59469176780346</c:v>
                </c:pt>
                <c:pt idx="560">
                  <c:v>-2.59047000628485</c:v>
                </c:pt>
                <c:pt idx="561">
                  <c:v>-2.58603697670871</c:v>
                </c:pt>
                <c:pt idx="562">
                  <c:v>-2.58139344965013</c:v>
                </c:pt>
                <c:pt idx="563">
                  <c:v>-2.5765402298357</c:v>
                </c:pt>
                <c:pt idx="564">
                  <c:v>-2.57147815566934</c:v>
                </c:pt>
                <c:pt idx="565">
                  <c:v>-2.56620809873997</c:v>
                </c:pt>
                <c:pt idx="566">
                  <c:v>-2.56073096331135</c:v>
                </c:pt>
                <c:pt idx="567">
                  <c:v>-2.5550476857948</c:v>
                </c:pt>
                <c:pt idx="568">
                  <c:v>-2.54915923420523</c:v>
                </c:pt>
                <c:pt idx="569">
                  <c:v>-2.54306660760097</c:v>
                </c:pt>
                <c:pt idx="570">
                  <c:v>-2.53677083550799</c:v>
                </c:pt>
                <c:pt idx="571">
                  <c:v>-2.53027297732917</c:v>
                </c:pt>
                <c:pt idx="572">
                  <c:v>-2.523574121739</c:v>
                </c:pt>
                <c:pt idx="573">
                  <c:v>-2.51667538606448</c:v>
                </c:pt>
                <c:pt idx="574">
                  <c:v>-2.50957791565268</c:v>
                </c:pt>
                <c:pt idx="575">
                  <c:v>-2.50228288322569</c:v>
                </c:pt>
                <c:pt idx="576">
                  <c:v>-2.49479148822341</c:v>
                </c:pt>
                <c:pt idx="577">
                  <c:v>-2.487104956135</c:v>
                </c:pt>
                <c:pt idx="578">
                  <c:v>-2.47922453781943</c:v>
                </c:pt>
                <c:pt idx="579">
                  <c:v>-2.4711515088159</c:v>
                </c:pt>
                <c:pt idx="580">
                  <c:v>-2.46288716864463</c:v>
                </c:pt>
                <c:pt idx="581">
                  <c:v>-2.45443284009887</c:v>
                </c:pt>
                <c:pt idx="582">
                  <c:v>-2.44578986852851</c:v>
                </c:pt>
                <c:pt idx="583">
                  <c:v>-2.43695962111616</c:v>
                </c:pt>
                <c:pt idx="584">
                  <c:v>-2.42794348614621</c:v>
                </c:pt>
                <c:pt idx="585">
                  <c:v>-2.41874287226763</c:v>
                </c:pt>
                <c:pt idx="586">
                  <c:v>-2.40935920775103</c:v>
                </c:pt>
                <c:pt idx="587">
                  <c:v>-2.3997939397407</c:v>
                </c:pt>
                <c:pt idx="588">
                  <c:v>-2.39004853350234</c:v>
                </c:pt>
                <c:pt idx="589">
                  <c:v>-2.38012447166697</c:v>
                </c:pt>
                <c:pt idx="590">
                  <c:v>-2.37002325347177</c:v>
                </c:pt>
                <c:pt idx="591">
                  <c:v>-2.3597463939985</c:v>
                </c:pt>
                <c:pt idx="592">
                  <c:v>-2.34929542341001</c:v>
                </c:pt>
                <c:pt idx="593">
                  <c:v>-2.33867188618562</c:v>
                </c:pt>
                <c:pt idx="594">
                  <c:v>-2.3278773403559</c:v>
                </c:pt>
                <c:pt idx="595">
                  <c:v>-2.31691335673742</c:v>
                </c:pt>
                <c:pt idx="596">
                  <c:v>-2.30578151816822</c:v>
                </c:pt>
                <c:pt idx="597">
                  <c:v>-2.29448341874444</c:v>
                </c:pt>
                <c:pt idx="598">
                  <c:v>-2.28302066305884</c:v>
                </c:pt>
                <c:pt idx="599">
                  <c:v>-2.27139486544167</c:v>
                </c:pt>
                <c:pt idx="600">
                  <c:v>-2.25960764920451</c:v>
                </c:pt>
                <c:pt idx="601">
                  <c:v>-2.2476606458877</c:v>
                </c:pt>
                <c:pt idx="602">
                  <c:v>-2.23555549451178</c:v>
                </c:pt>
                <c:pt idx="603">
                  <c:v>-2.22329384083362</c:v>
                </c:pt>
                <c:pt idx="604">
                  <c:v>-2.21087733660765</c:v>
                </c:pt>
                <c:pt idx="605">
                  <c:v>-2.19830763885274</c:v>
                </c:pt>
                <c:pt idx="606">
                  <c:v>-2.18558640912536</c:v>
                </c:pt>
                <c:pt idx="607">
                  <c:v>-2.17271531279923</c:v>
                </c:pt>
                <c:pt idx="608">
                  <c:v>-2.15969601835225</c:v>
                </c:pt>
                <c:pt idx="609">
                  <c:v>-2.14653019666095</c:v>
                </c:pt>
                <c:pt idx="610">
                  <c:v>-2.13321952030302</c:v>
                </c:pt>
                <c:pt idx="611">
                  <c:v>-2.11976566286831</c:v>
                </c:pt>
                <c:pt idx="612">
                  <c:v>-2.10617029827879</c:v>
                </c:pt>
                <c:pt idx="613">
                  <c:v>-2.09243510011774</c:v>
                </c:pt>
                <c:pt idx="614">
                  <c:v>-2.07856174096873</c:v>
                </c:pt>
                <c:pt idx="615">
                  <c:v>-2.0645518917647</c:v>
                </c:pt>
                <c:pt idx="616">
                  <c:v>-2.05040722114742</c:v>
                </c:pt>
                <c:pt idx="617">
                  <c:v>-2.03612939483784</c:v>
                </c:pt>
                <c:pt idx="618">
                  <c:v>-2.02172007501756</c:v>
                </c:pt>
                <c:pt idx="619">
                  <c:v>-2.00718091972177</c:v>
                </c:pt>
                <c:pt idx="620">
                  <c:v>-1.99251358224395</c:v>
                </c:pt>
                <c:pt idx="621">
                  <c:v>-1.97771971055263</c:v>
                </c:pt>
                <c:pt idx="622">
                  <c:v>-1.96280094672057</c:v>
                </c:pt>
                <c:pt idx="623">
                  <c:v>-1.94775892636642</c:v>
                </c:pt>
                <c:pt idx="624">
                  <c:v>-1.93259527810937</c:v>
                </c:pt>
                <c:pt idx="625">
                  <c:v>-1.91731162303677</c:v>
                </c:pt>
                <c:pt idx="626">
                  <c:v>-1.9019095741851</c:v>
                </c:pt>
                <c:pt idx="627">
                  <c:v>-1.88639073603451</c:v>
                </c:pt>
                <c:pt idx="628">
                  <c:v>-1.87075670401697</c:v>
                </c:pt>
                <c:pt idx="629">
                  <c:v>-1.85500906403833</c:v>
                </c:pt>
                <c:pt idx="630">
                  <c:v>-1.83914939201444</c:v>
                </c:pt>
                <c:pt idx="631">
                  <c:v>-1.82317925342145</c:v>
                </c:pt>
                <c:pt idx="632">
                  <c:v>-1.80710020286042</c:v>
                </c:pt>
                <c:pt idx="633">
                  <c:v>-1.7909137836364</c:v>
                </c:pt>
                <c:pt idx="634">
                  <c:v>-1.77462152735203</c:v>
                </c:pt>
                <c:pt idx="635">
                  <c:v>-1.75822495351586</c:v>
                </c:pt>
                <c:pt idx="636">
                  <c:v>-1.74172556916536</c:v>
                </c:pt>
                <c:pt idx="637">
                  <c:v>-1.72512486850472</c:v>
                </c:pt>
                <c:pt idx="638">
                  <c:v>-1.7084243325576</c:v>
                </c:pt>
                <c:pt idx="639">
                  <c:v>-1.69162542883476</c:v>
                </c:pt>
                <c:pt idx="640">
                  <c:v>-1.67472961101659</c:v>
                </c:pt>
                <c:pt idx="641">
                  <c:v>-1.65773831865078</c:v>
                </c:pt>
                <c:pt idx="642">
                  <c:v>-1.64065297686481</c:v>
                </c:pt>
                <c:pt idx="643">
                  <c:v>-1.6234749960936</c:v>
                </c:pt>
                <c:pt idx="644">
                  <c:v>-1.60620577182209</c:v>
                </c:pt>
                <c:pt idx="645">
                  <c:v>-1.58884668434283</c:v>
                </c:pt>
                <c:pt idx="646">
                  <c:v>-1.57139909852856</c:v>
                </c:pt>
                <c:pt idx="647">
                  <c:v>-1.55386436361965</c:v>
                </c:pt>
                <c:pt idx="648">
                  <c:v>-1.53624381302659</c:v>
                </c:pt>
                <c:pt idx="649">
                  <c:v>-1.51853876414717</c:v>
                </c:pt>
                <c:pt idx="650">
                  <c:v>-1.50075051819855</c:v>
                </c:pt>
                <c:pt idx="651">
                  <c:v>-1.48288036006403</c:v>
                </c:pt>
                <c:pt idx="652">
                  <c:v>-1.46492955815447</c:v>
                </c:pt>
                <c:pt idx="653">
                  <c:v>-1.44689936428432</c:v>
                </c:pt>
                <c:pt idx="654">
                  <c:v>-1.42879101356211</c:v>
                </c:pt>
                <c:pt idx="655">
                  <c:v>-1.41060572429535</c:v>
                </c:pt>
                <c:pt idx="656">
                  <c:v>-1.39234469790979</c:v>
                </c:pt>
                <c:pt idx="657">
                  <c:v>-1.37400911888279</c:v>
                </c:pt>
                <c:pt idx="658">
                  <c:v>-1.35560015469085</c:v>
                </c:pt>
                <c:pt idx="659">
                  <c:v>-1.33711895577114</c:v>
                </c:pt>
                <c:pt idx="660">
                  <c:v>-1.3185666554968</c:v>
                </c:pt>
                <c:pt idx="661">
                  <c:v>-1.29994437016614</c:v>
                </c:pt>
                <c:pt idx="662">
                  <c:v>-1.28125319900527</c:v>
                </c:pt>
                <c:pt idx="663">
                  <c:v>-1.26249422418438</c:v>
                </c:pt>
                <c:pt idx="664">
                  <c:v>-1.24366851084729</c:v>
                </c:pt>
                <c:pt idx="665">
                  <c:v>-1.22477710715421</c:v>
                </c:pt>
                <c:pt idx="666">
                  <c:v>-1.20582104433766</c:v>
                </c:pt>
                <c:pt idx="667">
                  <c:v>-1.18680133677122</c:v>
                </c:pt>
                <c:pt idx="668">
                  <c:v>-1.16771898205114</c:v>
                </c:pt>
                <c:pt idx="669">
                  <c:v>-1.1485749610906</c:v>
                </c:pt>
                <c:pt idx="670">
                  <c:v>-1.12937023822642</c:v>
                </c:pt>
                <c:pt idx="671">
                  <c:v>-1.11010576133817</c:v>
                </c:pt>
                <c:pt idx="672">
                  <c:v>-1.09078246197942</c:v>
                </c:pt>
                <c:pt idx="673">
                  <c:v>-1.07140125552112</c:v>
                </c:pt>
                <c:pt idx="674">
                  <c:v>-1.05196304130673</c:v>
                </c:pt>
                <c:pt idx="675">
                  <c:v>-1.03246870281925</c:v>
                </c:pt>
                <c:pt idx="676">
                  <c:v>-1.01291910785969</c:v>
                </c:pt>
                <c:pt idx="677">
                  <c:v>-0.993315108737049</c:v>
                </c:pt>
                <c:pt idx="678">
                  <c:v>-0.973657542469529</c:v>
                </c:pt>
                <c:pt idx="679">
                  <c:v>-0.953947230996849</c:v>
                </c:pt>
                <c:pt idx="680">
                  <c:v>-0.934184981403542</c:v>
                </c:pt>
                <c:pt idx="681">
                  <c:v>-0.914371586153025</c:v>
                </c:pt>
                <c:pt idx="682">
                  <c:v>-0.894507823332334</c:v>
                </c:pt>
                <c:pt idx="683">
                  <c:v>-0.874594456907322</c:v>
                </c:pt>
                <c:pt idx="684">
                  <c:v>-0.8546322369882</c:v>
                </c:pt>
                <c:pt idx="685">
                  <c:v>-0.834621900105262</c:v>
                </c:pt>
                <c:pt idx="686">
                  <c:v>-0.814564169494612</c:v>
                </c:pt>
                <c:pt idx="687">
                  <c:v>-0.794459755393779</c:v>
                </c:pt>
                <c:pt idx="688">
                  <c:v>-0.774309355347042</c:v>
                </c:pt>
                <c:pt idx="689">
                  <c:v>-0.75411365452031</c:v>
                </c:pt>
                <c:pt idx="690">
                  <c:v>-0.733873326025425</c:v>
                </c:pt>
                <c:pt idx="691">
                  <c:v>-0.713589031253727</c:v>
                </c:pt>
                <c:pt idx="692">
                  <c:v>-0.693261420218731</c:v>
                </c:pt>
                <c:pt idx="693">
                  <c:v>-0.672891131907757</c:v>
                </c:pt>
                <c:pt idx="694">
                  <c:v>-0.652478794642405</c:v>
                </c:pt>
                <c:pt idx="695">
                  <c:v>-0.632025026447661</c:v>
                </c:pt>
                <c:pt idx="696">
                  <c:v>-0.61153043542957</c:v>
                </c:pt>
                <c:pt idx="697">
                  <c:v>-0.590995620161246</c:v>
                </c:pt>
                <c:pt idx="698">
                  <c:v>-0.570421170077151</c:v>
                </c:pt>
                <c:pt idx="699">
                  <c:v>-0.549807665875445</c:v>
                </c:pt>
                <c:pt idx="700">
                  <c:v>-0.529155679928278</c:v>
                </c:pt>
                <c:pt idx="701">
                  <c:v>-0.508465776699916</c:v>
                </c:pt>
                <c:pt idx="702">
                  <c:v>-0.487738513172487</c:v>
                </c:pt>
                <c:pt idx="703">
                  <c:v>-0.466974439279294</c:v>
                </c:pt>
                <c:pt idx="704">
                  <c:v>-0.44617409834546</c:v>
                </c:pt>
                <c:pt idx="705">
                  <c:v>-0.425338027535857</c:v>
                </c:pt>
                <c:pt idx="706">
                  <c:v>-0.404466758310095</c:v>
                </c:pt>
                <c:pt idx="707">
                  <c:v>-0.383560816884481</c:v>
                </c:pt>
                <c:pt idx="708">
                  <c:v>-0.362620724700802</c:v>
                </c:pt>
                <c:pt idx="709">
                  <c:v>-0.341646998901751</c:v>
                </c:pt>
                <c:pt idx="710">
                  <c:v>-0.320640152812924</c:v>
                </c:pt>
                <c:pt idx="711">
                  <c:v>-0.299600696431154</c:v>
                </c:pt>
                <c:pt idx="712">
                  <c:v>-0.278529136919136</c:v>
                </c:pt>
                <c:pt idx="713">
                  <c:v>-0.257425979106104</c:v>
                </c:pt>
                <c:pt idx="714">
                  <c:v>-0.236291725994501</c:v>
                </c:pt>
                <c:pt idx="715">
                  <c:v>-0.215126879272421</c:v>
                </c:pt>
                <c:pt idx="716">
                  <c:v>-0.193931939831716</c:v>
                </c:pt>
                <c:pt idx="717">
                  <c:v>-0.172707408291614</c:v>
                </c:pt>
                <c:pt idx="718">
                  <c:v>-0.15145378552767</c:v>
                </c:pt>
                <c:pt idx="719">
                  <c:v>-0.130171573205939</c:v>
                </c:pt>
                <c:pt idx="720">
                  <c:v>-0.108861274322145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"10 posiciones (inciso e)"</c:f>
              <c:strCache>
                <c:ptCount val="1"/>
                <c:pt idx="0">
                  <c:v>10 posiciones (inciso e)</c:v>
                </c:pt>
              </c:strCache>
            </c:strRef>
          </c:tx>
          <c:spPr>
            <a:solidFill>
              <a:srgbClr val="eb6834"/>
            </a:solidFill>
            <a:ln w="63360">
              <a:noFill/>
            </a:ln>
          </c:spPr>
          <c:marker>
            <c:symbol val="circle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e) 10 posiciones'!$B$6:$B$15</c:f>
              <c:numCache>
                <c:formatCode>0.##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e) 10 posiciones'!$H$6:$H$15</c:f>
              <c:numCache>
                <c:formatCode>0.0000</c:formatCode>
                <c:ptCount val="10"/>
                <c:pt idx="0">
                  <c:v>-0.108861274322145</c:v>
                </c:pt>
                <c:pt idx="1">
                  <c:v>1.45445173130685</c:v>
                </c:pt>
                <c:pt idx="2">
                  <c:v>2.68544362102672</c:v>
                </c:pt>
                <c:pt idx="3">
                  <c:v>2.68544362102672</c:v>
                </c:pt>
                <c:pt idx="4">
                  <c:v>1.45445173130685</c:v>
                </c:pt>
                <c:pt idx="5">
                  <c:v>-0.108861274322144</c:v>
                </c:pt>
                <c:pt idx="6">
                  <c:v>-1.53624381302659</c:v>
                </c:pt>
                <c:pt idx="7">
                  <c:v>-2.49479148822341</c:v>
                </c:pt>
                <c:pt idx="8">
                  <c:v>-2.49479148822341</c:v>
                </c:pt>
                <c:pt idx="9">
                  <c:v>-1.53624381302659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"Simulación MATLAB (inciso f)"</c:f>
              <c:strCache>
                <c:ptCount val="1"/>
                <c:pt idx="0">
                  <c:v>Simulación MATLAB (inciso f)</c:v>
                </c:pt>
              </c:strCache>
            </c:strRef>
          </c:tx>
          <c:spPr>
            <a:solidFill>
              <a:srgbClr val="000000"/>
            </a:solidFill>
            <a:ln w="63360">
              <a:noFill/>
            </a:ln>
          </c:spPr>
          <c:marker>
            <c:symbol val="x"/>
            <c:size val="9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f) Validacion'!$B$95:$B$104</c:f>
              <c:numCache>
                <c:formatCode>General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f) Validacion'!$D$95:$D$104</c:f>
              <c:numCache>
                <c:formatCode>0.000000</c:formatCode>
                <c:ptCount val="10"/>
                <c:pt idx="0">
                  <c:v>-0.108858975798398</c:v>
                </c:pt>
                <c:pt idx="1">
                  <c:v>1.45444751193864</c:v>
                </c:pt>
                <c:pt idx="2">
                  <c:v>2.68542223980432</c:v>
                </c:pt>
                <c:pt idx="3">
                  <c:v>2.68542223980432</c:v>
                </c:pt>
                <c:pt idx="4">
                  <c:v>1.45444751188108</c:v>
                </c:pt>
                <c:pt idx="5">
                  <c:v>-0.108858975798398</c:v>
                </c:pt>
                <c:pt idx="6">
                  <c:v>-1.536236771598</c:v>
                </c:pt>
                <c:pt idx="7">
                  <c:v>-2.49477522662005</c:v>
                </c:pt>
                <c:pt idx="8">
                  <c:v>-2.4947752266776</c:v>
                </c:pt>
                <c:pt idx="9">
                  <c:v>-1.536236771598</c:v>
                </c:pt>
              </c:numCache>
            </c:numRef>
          </c:yVal>
          <c:smooth val="1"/>
        </c:ser>
        <c:axId val="65153389"/>
        <c:axId val="37358518"/>
      </c:scatterChart>
      <c:valAx>
        <c:axId val="65153389"/>
        <c:scaling>
          <c:orientation val="minMax"/>
          <c:max val="360"/>
          <c:min val="0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θ2, ángulo de la manivela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7358518"/>
        <c:crosses val="autoZero"/>
        <c:crossBetween val="midCat"/>
        <c:majorUnit val="36"/>
      </c:valAx>
      <c:valAx>
        <c:axId val="37358518"/>
        <c:scaling>
          <c:orientation val="minMax"/>
          <c:max val="3"/>
          <c:min val="-3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α3 (rad/s²)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51533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Posición del bloque 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"Analítico (vuelta completa)"</c:f>
              <c:strCache>
                <c:ptCount val="1"/>
                <c:pt idx="0">
                  <c:v>Analítico (vuelta completa)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Curva'!$A$6:$A$726</c:f>
              <c:numCache>
                <c:formatCode>0.0</c:formatCode>
                <c:ptCount val="7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</c:numCache>
            </c:numRef>
          </c:xVal>
          <c:yVal>
            <c:numRef>
              <c:f>'P2 Curva'!$C$6:$C$726</c:f>
              <c:numCache>
                <c:formatCode>0.000</c:formatCode>
                <c:ptCount val="721"/>
                <c:pt idx="0">
                  <c:v>165.476051442401</c:v>
                </c:pt>
                <c:pt idx="1">
                  <c:v>165.427535137898</c:v>
                </c:pt>
                <c:pt idx="2">
                  <c:v>165.375624659605</c:v>
                </c:pt>
                <c:pt idx="3">
                  <c:v>165.320323404136</c:v>
                </c:pt>
                <c:pt idx="4">
                  <c:v>165.261635180936</c:v>
                </c:pt>
                <c:pt idx="5">
                  <c:v>165.199564212386</c:v>
                </c:pt>
                <c:pt idx="6">
                  <c:v>165.134115133835</c:v>
                </c:pt>
                <c:pt idx="7">
                  <c:v>165.065292993566</c:v>
                </c:pt>
                <c:pt idx="8">
                  <c:v>164.993103252704</c:v>
                </c:pt>
                <c:pt idx="9">
                  <c:v>164.917551785053</c:v>
                </c:pt>
                <c:pt idx="10">
                  <c:v>164.838644876862</c:v>
                </c:pt>
                <c:pt idx="11">
                  <c:v>164.756389226542</c:v>
                </c:pt>
                <c:pt idx="12">
                  <c:v>164.670791944297</c:v>
                </c:pt>
                <c:pt idx="13">
                  <c:v>164.581860551699</c:v>
                </c:pt>
                <c:pt idx="14">
                  <c:v>164.4896029812</c:v>
                </c:pt>
                <c:pt idx="15">
                  <c:v>164.394027575565</c:v>
                </c:pt>
                <c:pt idx="16">
                  <c:v>164.295143087251</c:v>
                </c:pt>
                <c:pt idx="17">
                  <c:v>164.192958677707</c:v>
                </c:pt>
                <c:pt idx="18">
                  <c:v>164.087483916617</c:v>
                </c:pt>
                <c:pt idx="19">
                  <c:v>163.978728781069</c:v>
                </c:pt>
                <c:pt idx="20">
                  <c:v>163.866703654654</c:v>
                </c:pt>
                <c:pt idx="21">
                  <c:v>163.751419326507</c:v>
                </c:pt>
                <c:pt idx="22">
                  <c:v>163.632886990267</c:v>
                </c:pt>
                <c:pt idx="23">
                  <c:v>163.511118242977</c:v>
                </c:pt>
                <c:pt idx="24">
                  <c:v>163.386125083916</c:v>
                </c:pt>
                <c:pt idx="25">
                  <c:v>163.257919913352</c:v>
                </c:pt>
                <c:pt idx="26">
                  <c:v>163.126515531241</c:v>
                </c:pt>
                <c:pt idx="27">
                  <c:v>162.991925135842</c:v>
                </c:pt>
                <c:pt idx="28">
                  <c:v>162.854162322274</c:v>
                </c:pt>
                <c:pt idx="29">
                  <c:v>162.713241080997</c:v>
                </c:pt>
                <c:pt idx="30">
                  <c:v>162.569175796224</c:v>
                </c:pt>
                <c:pt idx="31">
                  <c:v>162.421981244264</c:v>
                </c:pt>
                <c:pt idx="32">
                  <c:v>162.271672591799</c:v>
                </c:pt>
                <c:pt idx="33">
                  <c:v>162.118265394081</c:v>
                </c:pt>
                <c:pt idx="34">
                  <c:v>161.961775593067</c:v>
                </c:pt>
                <c:pt idx="35">
                  <c:v>161.802219515481</c:v>
                </c:pt>
                <c:pt idx="36">
                  <c:v>161.639613870807</c:v>
                </c:pt>
                <c:pt idx="37">
                  <c:v>161.473975749203</c:v>
                </c:pt>
                <c:pt idx="38">
                  <c:v>161.305322619358</c:v>
                </c:pt>
                <c:pt idx="39">
                  <c:v>161.133672326264</c:v>
                </c:pt>
                <c:pt idx="40">
                  <c:v>160.95904308893</c:v>
                </c:pt>
                <c:pt idx="41">
                  <c:v>160.781453498012</c:v>
                </c:pt>
                <c:pt idx="42">
                  <c:v>160.60092251338</c:v>
                </c:pt>
                <c:pt idx="43">
                  <c:v>160.417469461612</c:v>
                </c:pt>
                <c:pt idx="44">
                  <c:v>160.231114033418</c:v>
                </c:pt>
                <c:pt idx="45">
                  <c:v>160.041876280986</c:v>
                </c:pt>
                <c:pt idx="46">
                  <c:v>159.849776615264</c:v>
                </c:pt>
                <c:pt idx="47">
                  <c:v>159.654835803168</c:v>
                </c:pt>
                <c:pt idx="48">
                  <c:v>159.457074964717</c:v>
                </c:pt>
                <c:pt idx="49">
                  <c:v>159.256515570098</c:v>
                </c:pt>
                <c:pt idx="50">
                  <c:v>159.053179436658</c:v>
                </c:pt>
                <c:pt idx="51">
                  <c:v>158.847088725827</c:v>
                </c:pt>
                <c:pt idx="52">
                  <c:v>158.638265939968</c:v>
                </c:pt>
                <c:pt idx="53">
                  <c:v>158.426733919154</c:v>
                </c:pt>
                <c:pt idx="54">
                  <c:v>158.212515837879</c:v>
                </c:pt>
                <c:pt idx="55">
                  <c:v>157.995635201688</c:v>
                </c:pt>
                <c:pt idx="56">
                  <c:v>157.776115843751</c:v>
                </c:pt>
                <c:pt idx="57">
                  <c:v>157.553981921348</c:v>
                </c:pt>
                <c:pt idx="58">
                  <c:v>157.3292579123</c:v>
                </c:pt>
                <c:pt idx="59">
                  <c:v>157.101968611317</c:v>
                </c:pt>
                <c:pt idx="60">
                  <c:v>156.872139126282</c:v>
                </c:pt>
                <c:pt idx="61">
                  <c:v>156.639794874464</c:v>
                </c:pt>
                <c:pt idx="62">
                  <c:v>156.404961578659</c:v>
                </c:pt>
                <c:pt idx="63">
                  <c:v>156.167665263261</c:v>
                </c:pt>
                <c:pt idx="64">
                  <c:v>155.927932250271</c:v>
                </c:pt>
                <c:pt idx="65">
                  <c:v>155.685789155223</c:v>
                </c:pt>
                <c:pt idx="66">
                  <c:v>155.441262883055</c:v>
                </c:pt>
                <c:pt idx="67">
                  <c:v>155.194380623903</c:v>
                </c:pt>
                <c:pt idx="68">
                  <c:v>154.945169848831</c:v>
                </c:pt>
                <c:pt idx="69">
                  <c:v>154.693658305492</c:v>
                </c:pt>
                <c:pt idx="70">
                  <c:v>154.43987401372</c:v>
                </c:pt>
                <c:pt idx="71">
                  <c:v>154.183845261059</c:v>
                </c:pt>
                <c:pt idx="72">
                  <c:v>153.925600598224</c:v>
                </c:pt>
                <c:pt idx="73">
                  <c:v>153.665168834495</c:v>
                </c:pt>
                <c:pt idx="74">
                  <c:v>153.40257903305</c:v>
                </c:pt>
                <c:pt idx="75">
                  <c:v>153.137860506227</c:v>
                </c:pt>
                <c:pt idx="76">
                  <c:v>152.871042810726</c:v>
                </c:pt>
                <c:pt idx="77">
                  <c:v>152.602155742752</c:v>
                </c:pt>
                <c:pt idx="78">
                  <c:v>152.331229333085</c:v>
                </c:pt>
                <c:pt idx="79">
                  <c:v>152.058293842099</c:v>
                </c:pt>
                <c:pt idx="80">
                  <c:v>151.783379754711</c:v>
                </c:pt>
                <c:pt idx="81">
                  <c:v>151.506517775277</c:v>
                </c:pt>
                <c:pt idx="82">
                  <c:v>151.227738822423</c:v>
                </c:pt>
                <c:pt idx="83">
                  <c:v>150.947074023822</c:v>
                </c:pt>
                <c:pt idx="84">
                  <c:v>150.664554710908</c:v>
                </c:pt>
                <c:pt idx="85">
                  <c:v>150.380212413541</c:v>
                </c:pt>
                <c:pt idx="86">
                  <c:v>150.094078854607</c:v>
                </c:pt>
                <c:pt idx="87">
                  <c:v>149.80618594457</c:v>
                </c:pt>
                <c:pt idx="88">
                  <c:v>149.51656577597</c:v>
                </c:pt>
                <c:pt idx="89">
                  <c:v>149.225250617862</c:v>
                </c:pt>
                <c:pt idx="90">
                  <c:v>148.932272910214</c:v>
                </c:pt>
                <c:pt idx="91">
                  <c:v>148.637665258246</c:v>
                </c:pt>
                <c:pt idx="92">
                  <c:v>148.341460426724</c:v>
                </c:pt>
                <c:pt idx="93">
                  <c:v>148.043691334205</c:v>
                </c:pt>
                <c:pt idx="94">
                  <c:v>147.744391047236</c:v>
                </c:pt>
                <c:pt idx="95">
                  <c:v>147.443592774508</c:v>
                </c:pt>
                <c:pt idx="96">
                  <c:v>147.141329860967</c:v>
                </c:pt>
                <c:pt idx="97">
                  <c:v>146.837635781882</c:v>
                </c:pt>
                <c:pt idx="98">
                  <c:v>146.532544136872</c:v>
                </c:pt>
                <c:pt idx="99">
                  <c:v>146.226088643891</c:v>
                </c:pt>
                <c:pt idx="100">
                  <c:v>145.918303133185</c:v>
                </c:pt>
                <c:pt idx="101">
                  <c:v>145.6092215412</c:v>
                </c:pt>
                <c:pt idx="102">
                  <c:v>145.298877904463</c:v>
                </c:pt>
                <c:pt idx="103">
                  <c:v>144.987306353431</c:v>
                </c:pt>
                <c:pt idx="104">
                  <c:v>144.674541106307</c:v>
                </c:pt>
                <c:pt idx="105">
                  <c:v>144.360616462824</c:v>
                </c:pt>
                <c:pt idx="106">
                  <c:v>144.045566798004</c:v>
                </c:pt>
                <c:pt idx="107">
                  <c:v>143.729426555895</c:v>
                </c:pt>
                <c:pt idx="108">
                  <c:v>143.412230243278</c:v>
                </c:pt>
                <c:pt idx="109">
                  <c:v>143.094012423357</c:v>
                </c:pt>
                <c:pt idx="110">
                  <c:v>142.774807709423</c:v>
                </c:pt>
                <c:pt idx="111">
                  <c:v>142.45465075851</c:v>
                </c:pt>
                <c:pt idx="112">
                  <c:v>142.133576265024</c:v>
                </c:pt>
                <c:pt idx="113">
                  <c:v>141.811618954367</c:v>
                </c:pt>
                <c:pt idx="114">
                  <c:v>141.488813576548</c:v>
                </c:pt>
                <c:pt idx="115">
                  <c:v>141.165194899776</c:v>
                </c:pt>
                <c:pt idx="116">
                  <c:v>140.840797704059</c:v>
                </c:pt>
                <c:pt idx="117">
                  <c:v>140.51565677479</c:v>
                </c:pt>
                <c:pt idx="118">
                  <c:v>140.189806896328</c:v>
                </c:pt>
                <c:pt idx="119">
                  <c:v>139.863282845588</c:v>
                </c:pt>
                <c:pt idx="120">
                  <c:v>139.536119385622</c:v>
                </c:pt>
                <c:pt idx="121">
                  <c:v>139.208351259211</c:v>
                </c:pt>
                <c:pt idx="122">
                  <c:v>138.880013182461</c:v>
                </c:pt>
                <c:pt idx="123">
                  <c:v>138.551139838411</c:v>
                </c:pt>
                <c:pt idx="124">
                  <c:v>138.221765870646</c:v>
                </c:pt>
                <c:pt idx="125">
                  <c:v>137.891925876931</c:v>
                </c:pt>
                <c:pt idx="126">
                  <c:v>137.561654402856</c:v>
                </c:pt>
                <c:pt idx="127">
                  <c:v>137.230985935502</c:v>
                </c:pt>
                <c:pt idx="128">
                  <c:v>136.899954897125</c:v>
                </c:pt>
                <c:pt idx="129">
                  <c:v>136.568595638875</c:v>
                </c:pt>
                <c:pt idx="130">
                  <c:v>136.23694243452</c:v>
                </c:pt>
                <c:pt idx="131">
                  <c:v>135.905029474225</c:v>
                </c:pt>
                <c:pt idx="132">
                  <c:v>135.572890858337</c:v>
                </c:pt>
                <c:pt idx="133">
                  <c:v>135.240560591223</c:v>
                </c:pt>
                <c:pt idx="134">
                  <c:v>134.908072575137</c:v>
                </c:pt>
                <c:pt idx="135">
                  <c:v>134.57546060412</c:v>
                </c:pt>
                <c:pt idx="136">
                  <c:v>134.242758357956</c:v>
                </c:pt>
                <c:pt idx="137">
                  <c:v>133.909999396158</c:v>
                </c:pt>
                <c:pt idx="138">
                  <c:v>133.57721715201</c:v>
                </c:pt>
                <c:pt idx="139">
                  <c:v>133.244444926652</c:v>
                </c:pt>
                <c:pt idx="140">
                  <c:v>132.911715883223</c:v>
                </c:pt>
                <c:pt idx="141">
                  <c:v>132.579063041052</c:v>
                </c:pt>
                <c:pt idx="142">
                  <c:v>132.246519269912</c:v>
                </c:pt>
                <c:pt idx="143">
                  <c:v>131.914117284327</c:v>
                </c:pt>
                <c:pt idx="144">
                  <c:v>131.581889637949</c:v>
                </c:pt>
                <c:pt idx="145">
                  <c:v>131.24986871799</c:v>
                </c:pt>
                <c:pt idx="146">
                  <c:v>130.918086739729</c:v>
                </c:pt>
                <c:pt idx="147">
                  <c:v>130.586575741081</c:v>
                </c:pt>
                <c:pt idx="148">
                  <c:v>130.255367577247</c:v>
                </c:pt>
                <c:pt idx="149">
                  <c:v>129.924493915429</c:v>
                </c:pt>
                <c:pt idx="150">
                  <c:v>129.593986229624</c:v>
                </c:pt>
                <c:pt idx="151">
                  <c:v>129.2638757955</c:v>
                </c:pt>
                <c:pt idx="152">
                  <c:v>128.934193685352</c:v>
                </c:pt>
                <c:pt idx="153">
                  <c:v>128.604970763135</c:v>
                </c:pt>
                <c:pt idx="154">
                  <c:v>128.276237679591</c:v>
                </c:pt>
                <c:pt idx="155">
                  <c:v>127.948024867459</c:v>
                </c:pt>
                <c:pt idx="156">
                  <c:v>127.620362536777</c:v>
                </c:pt>
                <c:pt idx="157">
                  <c:v>127.29328067027</c:v>
                </c:pt>
                <c:pt idx="158">
                  <c:v>126.966809018841</c:v>
                </c:pt>
                <c:pt idx="159">
                  <c:v>126.640977097147</c:v>
                </c:pt>
                <c:pt idx="160">
                  <c:v>126.315814179283</c:v>
                </c:pt>
                <c:pt idx="161">
                  <c:v>125.991349294559</c:v>
                </c:pt>
                <c:pt idx="162">
                  <c:v>125.667611223376</c:v>
                </c:pt>
                <c:pt idx="163">
                  <c:v>125.344628493216</c:v>
                </c:pt>
                <c:pt idx="164">
                  <c:v>125.022429374719</c:v>
                </c:pt>
                <c:pt idx="165">
                  <c:v>124.701041877886</c:v>
                </c:pt>
                <c:pt idx="166">
                  <c:v>124.380493748372</c:v>
                </c:pt>
                <c:pt idx="167">
                  <c:v>124.060812463899</c:v>
                </c:pt>
                <c:pt idx="168">
                  <c:v>123.742025230778</c:v>
                </c:pt>
                <c:pt idx="169">
                  <c:v>123.424158980536</c:v>
                </c:pt>
                <c:pt idx="170">
                  <c:v>123.107240366664</c:v>
                </c:pt>
                <c:pt idx="171">
                  <c:v>122.791295761476</c:v>
                </c:pt>
                <c:pt idx="172">
                  <c:v>122.476351253083</c:v>
                </c:pt>
                <c:pt idx="173">
                  <c:v>122.162432642481</c:v>
                </c:pt>
                <c:pt idx="174">
                  <c:v>121.849565440762</c:v>
                </c:pt>
                <c:pt idx="175">
                  <c:v>121.537774866437</c:v>
                </c:pt>
                <c:pt idx="176">
                  <c:v>121.227085842881</c:v>
                </c:pt>
                <c:pt idx="177">
                  <c:v>120.917522995895</c:v>
                </c:pt>
                <c:pt idx="178">
                  <c:v>120.609110651393</c:v>
                </c:pt>
                <c:pt idx="179">
                  <c:v>120.301872833203</c:v>
                </c:pt>
                <c:pt idx="180">
                  <c:v>119.995833260993</c:v>
                </c:pt>
                <c:pt idx="181">
                  <c:v>119.691015348317</c:v>
                </c:pt>
                <c:pt idx="182">
                  <c:v>119.387442200783</c:v>
                </c:pt>
                <c:pt idx="183">
                  <c:v>119.085136614344</c:v>
                </c:pt>
                <c:pt idx="184">
                  <c:v>118.784121073706</c:v>
                </c:pt>
                <c:pt idx="185">
                  <c:v>118.484417750864</c:v>
                </c:pt>
                <c:pt idx="186">
                  <c:v>118.186048503756</c:v>
                </c:pt>
                <c:pt idx="187">
                  <c:v>117.889034875041</c:v>
                </c:pt>
                <c:pt idx="188">
                  <c:v>117.593398090994</c:v>
                </c:pt>
                <c:pt idx="189">
                  <c:v>117.299159060527</c:v>
                </c:pt>
                <c:pt idx="190">
                  <c:v>117.006338374328</c:v>
                </c:pt>
                <c:pt idx="191">
                  <c:v>116.71495630412</c:v>
                </c:pt>
                <c:pt idx="192">
                  <c:v>116.425032802042</c:v>
                </c:pt>
                <c:pt idx="193">
                  <c:v>116.136587500146</c:v>
                </c:pt>
                <c:pt idx="194">
                  <c:v>115.849639710011</c:v>
                </c:pt>
                <c:pt idx="195">
                  <c:v>115.564208422482</c:v>
                </c:pt>
                <c:pt idx="196">
                  <c:v>115.280312307515</c:v>
                </c:pt>
                <c:pt idx="197">
                  <c:v>114.997969714143</c:v>
                </c:pt>
                <c:pt idx="198">
                  <c:v>114.71719867056</c:v>
                </c:pt>
                <c:pt idx="199">
                  <c:v>114.438016884311</c:v>
                </c:pt>
                <c:pt idx="200">
                  <c:v>114.160441742598</c:v>
                </c:pt>
                <c:pt idx="201">
                  <c:v>113.884490312697</c:v>
                </c:pt>
                <c:pt idx="202">
                  <c:v>113.610179342483</c:v>
                </c:pt>
                <c:pt idx="203">
                  <c:v>113.337525261067</c:v>
                </c:pt>
                <c:pt idx="204">
                  <c:v>113.066544179534</c:v>
                </c:pt>
                <c:pt idx="205">
                  <c:v>112.797251891792</c:v>
                </c:pt>
                <c:pt idx="206">
                  <c:v>112.52966387552</c:v>
                </c:pt>
                <c:pt idx="207">
                  <c:v>112.263795293221</c:v>
                </c:pt>
                <c:pt idx="208">
                  <c:v>111.999660993375</c:v>
                </c:pt>
                <c:pt idx="209">
                  <c:v>111.73727551169</c:v>
                </c:pt>
                <c:pt idx="210">
                  <c:v>111.476653072447</c:v>
                </c:pt>
                <c:pt idx="211">
                  <c:v>111.217807589951</c:v>
                </c:pt>
                <c:pt idx="212">
                  <c:v>110.960752670057</c:v>
                </c:pt>
                <c:pt idx="213">
                  <c:v>110.705501611806</c:v>
                </c:pt>
                <c:pt idx="214">
                  <c:v>110.452067409137</c:v>
                </c:pt>
                <c:pt idx="215">
                  <c:v>110.200462752691</c:v>
                </c:pt>
                <c:pt idx="216">
                  <c:v>109.950700031703</c:v>
                </c:pt>
                <c:pt idx="217">
                  <c:v>109.702791335971</c:v>
                </c:pt>
                <c:pt idx="218">
                  <c:v>109.456748457911</c:v>
                </c:pt>
                <c:pt idx="219">
                  <c:v>109.212582894688</c:v>
                </c:pt>
                <c:pt idx="220">
                  <c:v>108.970305850426</c:v>
                </c:pt>
                <c:pt idx="221">
                  <c:v>108.729928238489</c:v>
                </c:pt>
                <c:pt idx="222">
                  <c:v>108.491460683839</c:v>
                </c:pt>
                <c:pt idx="223">
                  <c:v>108.254913525457</c:v>
                </c:pt>
                <c:pt idx="224">
                  <c:v>108.020296818842</c:v>
                </c:pt>
                <c:pt idx="225">
                  <c:v>107.787620338564</c:v>
                </c:pt>
                <c:pt idx="226">
                  <c:v>107.556893580887</c:v>
                </c:pt>
                <c:pt idx="227">
                  <c:v>107.328125766456</c:v>
                </c:pt>
                <c:pt idx="228">
                  <c:v>107.101325843031</c:v>
                </c:pt>
                <c:pt idx="229">
                  <c:v>106.876502488288</c:v>
                </c:pt>
                <c:pt idx="230">
                  <c:v>106.653664112671</c:v>
                </c:pt>
                <c:pt idx="231">
                  <c:v>106.432818862294</c:v>
                </c:pt>
                <c:pt idx="232">
                  <c:v>106.21397462189</c:v>
                </c:pt>
                <c:pt idx="233">
                  <c:v>105.997139017815</c:v>
                </c:pt>
                <c:pt idx="234">
                  <c:v>105.782319421088</c:v>
                </c:pt>
                <c:pt idx="235">
                  <c:v>105.569522950479</c:v>
                </c:pt>
                <c:pt idx="236">
                  <c:v>105.358756475634</c:v>
                </c:pt>
                <c:pt idx="237">
                  <c:v>105.150026620238</c:v>
                </c:pt>
                <c:pt idx="238">
                  <c:v>104.943339765217</c:v>
                </c:pt>
                <c:pt idx="239">
                  <c:v>104.738702051968</c:v>
                </c:pt>
                <c:pt idx="240">
                  <c:v>104.536119385622</c:v>
                </c:pt>
                <c:pt idx="241">
                  <c:v>104.335597438339</c:v>
                </c:pt>
                <c:pt idx="242">
                  <c:v>104.137141652625</c:v>
                </c:pt>
                <c:pt idx="243">
                  <c:v>103.940757244673</c:v>
                </c:pt>
                <c:pt idx="244">
                  <c:v>103.746449207735</c:v>
                </c:pt>
                <c:pt idx="245">
                  <c:v>103.554222315498</c:v>
                </c:pt>
                <c:pt idx="246">
                  <c:v>103.364081125496</c:v>
                </c:pt>
                <c:pt idx="247">
                  <c:v>103.176029982523</c:v>
                </c:pt>
                <c:pt idx="248">
                  <c:v>102.990073022071</c:v>
                </c:pt>
                <c:pt idx="249">
                  <c:v>102.806214173772</c:v>
                </c:pt>
                <c:pt idx="250">
                  <c:v>102.62445716485</c:v>
                </c:pt>
                <c:pt idx="251">
                  <c:v>102.444805523591</c:v>
                </c:pt>
                <c:pt idx="252">
                  <c:v>102.267262582805</c:v>
                </c:pt>
                <c:pt idx="253">
                  <c:v>102.091831483301</c:v>
                </c:pt>
                <c:pt idx="254">
                  <c:v>101.91851517736</c:v>
                </c:pt>
                <c:pt idx="255">
                  <c:v>101.747316432213</c:v>
                </c:pt>
                <c:pt idx="256">
                  <c:v>101.578237833511</c:v>
                </c:pt>
                <c:pt idx="257">
                  <c:v>101.411281788798</c:v>
                </c:pt>
                <c:pt idx="258">
                  <c:v>101.246450530974</c:v>
                </c:pt>
                <c:pt idx="259">
                  <c:v>101.083746121756</c:v>
                </c:pt>
                <c:pt idx="260">
                  <c:v>100.923170455128</c:v>
                </c:pt>
                <c:pt idx="261">
                  <c:v>100.764725260779</c:v>
                </c:pt>
                <c:pt idx="262">
                  <c:v>100.608412107536</c:v>
                </c:pt>
                <c:pt idx="263">
                  <c:v>100.454232406781</c:v>
                </c:pt>
                <c:pt idx="264">
                  <c:v>100.302187415847</c:v>
                </c:pt>
                <c:pt idx="265">
                  <c:v>100.152278241411</c:v>
                </c:pt>
                <c:pt idx="266">
                  <c:v>100.004505842861</c:v>
                </c:pt>
                <c:pt idx="267">
                  <c:v>99.8588710356422</c:v>
                </c:pt>
                <c:pt idx="268">
                  <c:v>99.7153744945945</c:v>
                </c:pt>
                <c:pt idx="269">
                  <c:v>99.5740167572568</c:v>
                </c:pt>
                <c:pt idx="270">
                  <c:v>99.4347982271557</c:v>
                </c:pt>
                <c:pt idx="271">
                  <c:v>99.2977191770691</c:v>
                </c:pt>
                <c:pt idx="272">
                  <c:v>99.1627797522642</c:v>
                </c:pt>
                <c:pt idx="273">
                  <c:v>99.0299799737103</c:v>
                </c:pt>
                <c:pt idx="274">
                  <c:v>98.8993197412654</c:v>
                </c:pt>
                <c:pt idx="275">
                  <c:v>98.7707988368327</c:v>
                </c:pt>
                <c:pt idx="276">
                  <c:v>98.6444169274908</c:v>
                </c:pt>
                <c:pt idx="277">
                  <c:v>98.5201735685916</c:v>
                </c:pt>
                <c:pt idx="278">
                  <c:v>98.3980682068289</c:v>
                </c:pt>
                <c:pt idx="279">
                  <c:v>98.2781001832747</c:v>
                </c:pt>
                <c:pt idx="280">
                  <c:v>98.1602687363826</c:v>
                </c:pt>
                <c:pt idx="281">
                  <c:v>98.0445730049586</c:v>
                </c:pt>
                <c:pt idx="282">
                  <c:v>97.9310120310973</c:v>
                </c:pt>
                <c:pt idx="283">
                  <c:v>97.8195847630831</c:v>
                </c:pt>
                <c:pt idx="284">
                  <c:v>97.7102900582557</c:v>
                </c:pt>
                <c:pt idx="285">
                  <c:v>97.6031266858403</c:v>
                </c:pt>
                <c:pt idx="286">
                  <c:v>97.4980933297398</c:v>
                </c:pt>
                <c:pt idx="287">
                  <c:v>97.3951885912902</c:v>
                </c:pt>
                <c:pt idx="288">
                  <c:v>97.2944109919774</c:v>
                </c:pt>
                <c:pt idx="289">
                  <c:v>97.1957589761164</c:v>
                </c:pt>
                <c:pt idx="290">
                  <c:v>97.0992309134903</c:v>
                </c:pt>
                <c:pt idx="291">
                  <c:v>97.004825101951</c:v>
                </c:pt>
                <c:pt idx="292">
                  <c:v>96.9125397699785</c:v>
                </c:pt>
                <c:pt idx="293">
                  <c:v>96.8223730792013</c:v>
                </c:pt>
                <c:pt idx="294">
                  <c:v>96.7343231268751</c:v>
                </c:pt>
                <c:pt idx="295">
                  <c:v>96.6483879483208</c:v>
                </c:pt>
                <c:pt idx="296">
                  <c:v>96.564565519321</c:v>
                </c:pt>
                <c:pt idx="297">
                  <c:v>96.4828537584748</c:v>
                </c:pt>
                <c:pt idx="298">
                  <c:v>96.4032505295107</c:v>
                </c:pt>
                <c:pt idx="299">
                  <c:v>96.3257536435574</c:v>
                </c:pt>
                <c:pt idx="300">
                  <c:v>96.2503608613717</c:v>
                </c:pt>
                <c:pt idx="301">
                  <c:v>96.1770698955244</c:v>
                </c:pt>
                <c:pt idx="302">
                  <c:v>96.1058784125428</c:v>
                </c:pt>
                <c:pt idx="303">
                  <c:v>96.0367840350109</c:v>
                </c:pt>
                <c:pt idx="304">
                  <c:v>95.9697843436261</c:v>
                </c:pt>
                <c:pt idx="305">
                  <c:v>95.9048768792129</c:v>
                </c:pt>
                <c:pt idx="306">
                  <c:v>95.8420591446929</c:v>
                </c:pt>
                <c:pt idx="307">
                  <c:v>95.7813286070126</c:v>
                </c:pt>
                <c:pt idx="308">
                  <c:v>95.7226826990263</c:v>
                </c:pt>
                <c:pt idx="309">
                  <c:v>95.6661188213367</c:v>
                </c:pt>
                <c:pt idx="310">
                  <c:v>95.6116343440923</c:v>
                </c:pt>
                <c:pt idx="311">
                  <c:v>95.5592266087398</c:v>
                </c:pt>
                <c:pt idx="312">
                  <c:v>95.508892929735</c:v>
                </c:pt>
                <c:pt idx="313">
                  <c:v>95.4606305962092</c:v>
                </c:pt>
                <c:pt idx="314">
                  <c:v>95.4144368735929</c:v>
                </c:pt>
                <c:pt idx="315">
                  <c:v>95.3703090051955</c:v>
                </c:pt>
                <c:pt idx="316">
                  <c:v>95.3282442137428</c:v>
                </c:pt>
                <c:pt idx="317">
                  <c:v>95.2882397028704</c:v>
                </c:pt>
                <c:pt idx="318">
                  <c:v>95.2502926585754</c:v>
                </c:pt>
                <c:pt idx="319">
                  <c:v>95.2144002506238</c:v>
                </c:pt>
                <c:pt idx="320">
                  <c:v>95.1805596339166</c:v>
                </c:pt>
                <c:pt idx="321">
                  <c:v>95.1487679498117</c:v>
                </c:pt>
                <c:pt idx="322">
                  <c:v>95.1190223274053</c:v>
                </c:pt>
                <c:pt idx="323">
                  <c:v>95.0913198847689</c:v>
                </c:pt>
                <c:pt idx="324">
                  <c:v>95.065657730146</c:v>
                </c:pt>
                <c:pt idx="325">
                  <c:v>95.0420329631055</c:v>
                </c:pt>
                <c:pt idx="326">
                  <c:v>95.0204426756542</c:v>
                </c:pt>
                <c:pt idx="327">
                  <c:v>95.0008839533072</c:v>
                </c:pt>
                <c:pt idx="328">
                  <c:v>94.9833538761167</c:v>
                </c:pt>
                <c:pt idx="329">
                  <c:v>94.9678495196607</c:v>
                </c:pt>
                <c:pt idx="330">
                  <c:v>94.9543679559889</c:v>
                </c:pt>
                <c:pt idx="331">
                  <c:v>94.9429062545296</c:v>
                </c:pt>
                <c:pt idx="332">
                  <c:v>94.9334614829546</c:v>
                </c:pt>
                <c:pt idx="333">
                  <c:v>94.9260307080047</c:v>
                </c:pt>
                <c:pt idx="334">
                  <c:v>94.9206109962742</c:v>
                </c:pt>
                <c:pt idx="335">
                  <c:v>94.9171994149567</c:v>
                </c:pt>
                <c:pt idx="336">
                  <c:v>94.9157930325493</c:v>
                </c:pt>
                <c:pt idx="337">
                  <c:v>94.9163889195192</c:v>
                </c:pt>
                <c:pt idx="338">
                  <c:v>94.9189841489303</c:v>
                </c:pt>
                <c:pt idx="339">
                  <c:v>94.9235757970303</c:v>
                </c:pt>
                <c:pt idx="340">
                  <c:v>94.9301609437999</c:v>
                </c:pt>
                <c:pt idx="341">
                  <c:v>94.9387366734627</c:v>
                </c:pt>
                <c:pt idx="342">
                  <c:v>94.9493000749576</c:v>
                </c:pt>
                <c:pt idx="343">
                  <c:v>94.9618482423726</c:v>
                </c:pt>
                <c:pt idx="344">
                  <c:v>94.9763782753406</c:v>
                </c:pt>
                <c:pt idx="345">
                  <c:v>94.9928872793983</c:v>
                </c:pt>
                <c:pt idx="346">
                  <c:v>95.0113723663072</c:v>
                </c:pt>
                <c:pt idx="347">
                  <c:v>95.0318306543379</c:v>
                </c:pt>
                <c:pt idx="348">
                  <c:v>95.0542592685175</c:v>
                </c:pt>
                <c:pt idx="349">
                  <c:v>95.0786553408398</c:v>
                </c:pt>
                <c:pt idx="350">
                  <c:v>95.1050160104403</c:v>
                </c:pt>
                <c:pt idx="351">
                  <c:v>95.1333384237336</c:v>
                </c:pt>
                <c:pt idx="352">
                  <c:v>95.1636197345167</c:v>
                </c:pt>
                <c:pt idx="353">
                  <c:v>95.1958571040352</c:v>
                </c:pt>
                <c:pt idx="354">
                  <c:v>95.2300477010144</c:v>
                </c:pt>
                <c:pt idx="355">
                  <c:v>95.2661887016561</c:v>
                </c:pt>
                <c:pt idx="356">
                  <c:v>95.3042772895992</c:v>
                </c:pt>
                <c:pt idx="357">
                  <c:v>95.3443106558468</c:v>
                </c:pt>
                <c:pt idx="358">
                  <c:v>95.3862859986579</c:v>
                </c:pt>
                <c:pt idx="359">
                  <c:v>95.4302005234055</c:v>
                </c:pt>
                <c:pt idx="360">
                  <c:v>95.4760514424007</c:v>
                </c:pt>
                <c:pt idx="361">
                  <c:v>95.5238359746824</c:v>
                </c:pt>
                <c:pt idx="362">
                  <c:v>95.5735513457743</c:v>
                </c:pt>
                <c:pt idx="363">
                  <c:v>95.6251947874081</c:v>
                </c:pt>
                <c:pt idx="364">
                  <c:v>95.6787635372137</c:v>
                </c:pt>
                <c:pt idx="365">
                  <c:v>95.7342548383771</c:v>
                </c:pt>
                <c:pt idx="366">
                  <c:v>95.7916659392643</c:v>
                </c:pt>
                <c:pt idx="367">
                  <c:v>95.8509940930146</c:v>
                </c:pt>
                <c:pt idx="368">
                  <c:v>95.9122365571005</c:v>
                </c:pt>
                <c:pt idx="369">
                  <c:v>95.9753905928557</c:v>
                </c:pt>
                <c:pt idx="370">
                  <c:v>96.0404534649721</c:v>
                </c:pt>
                <c:pt idx="371">
                  <c:v>96.1074224409644</c:v>
                </c:pt>
                <c:pt idx="372">
                  <c:v>96.1762947906044</c:v>
                </c:pt>
                <c:pt idx="373">
                  <c:v>96.2470677853228</c:v>
                </c:pt>
                <c:pt idx="374">
                  <c:v>96.3197386975818</c:v>
                </c:pt>
                <c:pt idx="375">
                  <c:v>96.3943048002155</c:v>
                </c:pt>
                <c:pt idx="376">
                  <c:v>96.4707633657413</c:v>
                </c:pt>
                <c:pt idx="377">
                  <c:v>96.5491116656396</c:v>
                </c:pt>
                <c:pt idx="378">
                  <c:v>96.6293469696048</c:v>
                </c:pt>
                <c:pt idx="379">
                  <c:v>96.7114665447656</c:v>
                </c:pt>
                <c:pt idx="380">
                  <c:v>96.7954676548762</c:v>
                </c:pt>
                <c:pt idx="381">
                  <c:v>96.8813475594781</c:v>
                </c:pt>
                <c:pt idx="382">
                  <c:v>96.9691035130323</c:v>
                </c:pt>
                <c:pt idx="383">
                  <c:v>97.0587327640232</c:v>
                </c:pt>
                <c:pt idx="384">
                  <c:v>97.1502325540333</c:v>
                </c:pt>
                <c:pt idx="385">
                  <c:v>97.2436001167897</c:v>
                </c:pt>
                <c:pt idx="386">
                  <c:v>97.3388326771821</c:v>
                </c:pt>
                <c:pt idx="387">
                  <c:v>97.4359274502529</c:v>
                </c:pt>
                <c:pt idx="388">
                  <c:v>97.534881640159</c:v>
                </c:pt>
                <c:pt idx="389">
                  <c:v>97.6356924391071</c:v>
                </c:pt>
                <c:pt idx="390">
                  <c:v>97.7383570262601</c:v>
                </c:pt>
                <c:pt idx="391">
                  <c:v>97.8428725666174</c:v>
                </c:pt>
                <c:pt idx="392">
                  <c:v>97.9492362098681</c:v>
                </c:pt>
                <c:pt idx="393">
                  <c:v>98.057445089217</c:v>
                </c:pt>
                <c:pt idx="394">
                  <c:v>98.1674963201847</c:v>
                </c:pt>
                <c:pt idx="395">
                  <c:v>98.2793869993812</c:v>
                </c:pt>
                <c:pt idx="396">
                  <c:v>98.3931142032536</c:v>
                </c:pt>
                <c:pt idx="397">
                  <c:v>98.5086749868077</c:v>
                </c:pt>
                <c:pt idx="398">
                  <c:v>98.6260663823048</c:v>
                </c:pt>
                <c:pt idx="399">
                  <c:v>98.7452853979327</c:v>
                </c:pt>
                <c:pt idx="400">
                  <c:v>98.8663290164519</c:v>
                </c:pt>
                <c:pt idx="401">
                  <c:v>98.9891941938171</c:v>
                </c:pt>
                <c:pt idx="402">
                  <c:v>99.1138778577741</c:v>
                </c:pt>
                <c:pt idx="403">
                  <c:v>99.2403769064328</c:v>
                </c:pt>
                <c:pt idx="404">
                  <c:v>99.368688206816</c:v>
                </c:pt>
                <c:pt idx="405">
                  <c:v>99.498808593385</c:v>
                </c:pt>
                <c:pt idx="406">
                  <c:v>99.6307348665414</c:v>
                </c:pt>
                <c:pt idx="407">
                  <c:v>99.7644637911059</c:v>
                </c:pt>
                <c:pt idx="408">
                  <c:v>99.8999920947753</c:v>
                </c:pt>
                <c:pt idx="409">
                  <c:v>100.037316466555</c:v>
                </c:pt>
                <c:pt idx="410">
                  <c:v>100.176433555173</c:v>
                </c:pt>
                <c:pt idx="411">
                  <c:v>100.317339967468</c:v>
                </c:pt>
                <c:pt idx="412">
                  <c:v>100.460032266757</c:v>
                </c:pt>
                <c:pt idx="413">
                  <c:v>100.604506971187</c:v>
                </c:pt>
                <c:pt idx="414">
                  <c:v>100.750760552056</c:v>
                </c:pt>
                <c:pt idx="415">
                  <c:v>100.898789432126</c:v>
                </c:pt>
                <c:pt idx="416">
                  <c:v>101.048589983903</c:v>
                </c:pt>
                <c:pt idx="417">
                  <c:v>101.200158527907</c:v>
                </c:pt>
                <c:pt idx="418">
                  <c:v>101.353491330919</c:v>
                </c:pt>
                <c:pt idx="419">
                  <c:v>101.508584604209</c:v>
                </c:pt>
                <c:pt idx="420">
                  <c:v>101.665434501748</c:v>
                </c:pt>
                <c:pt idx="421">
                  <c:v>101.824037118397</c:v>
                </c:pt>
                <c:pt idx="422">
                  <c:v>101.984388488082</c:v>
                </c:pt>
                <c:pt idx="423">
                  <c:v>102.146484581956</c:v>
                </c:pt>
                <c:pt idx="424">
                  <c:v>102.310321306531</c:v>
                </c:pt>
                <c:pt idx="425">
                  <c:v>102.47589450181</c:v>
                </c:pt>
                <c:pt idx="426">
                  <c:v>102.643199939391</c:v>
                </c:pt>
                <c:pt idx="427">
                  <c:v>102.812233320561</c:v>
                </c:pt>
                <c:pt idx="428">
                  <c:v>102.982990274375</c:v>
                </c:pt>
                <c:pt idx="429">
                  <c:v>103.15546635572</c:v>
                </c:pt>
                <c:pt idx="430">
                  <c:v>103.329657043362</c:v>
                </c:pt>
                <c:pt idx="431">
                  <c:v>103.505557737987</c:v>
                </c:pt>
                <c:pt idx="432">
                  <c:v>103.683163760221</c:v>
                </c:pt>
                <c:pt idx="433">
                  <c:v>103.862470348645</c:v>
                </c:pt>
                <c:pt idx="434">
                  <c:v>104.043472657791</c:v>
                </c:pt>
                <c:pt idx="435">
                  <c:v>104.226165756137</c:v>
                </c:pt>
                <c:pt idx="436">
                  <c:v>104.410544624077</c:v>
                </c:pt>
                <c:pt idx="437">
                  <c:v>104.596604151898</c:v>
                </c:pt>
                <c:pt idx="438">
                  <c:v>104.784339137735</c:v>
                </c:pt>
                <c:pt idx="439">
                  <c:v>104.973744285519</c:v>
                </c:pt>
                <c:pt idx="440">
                  <c:v>105.164814202925</c:v>
                </c:pt>
                <c:pt idx="441">
                  <c:v>105.357543399305</c:v>
                </c:pt>
                <c:pt idx="442">
                  <c:v>105.551926283616</c:v>
                </c:pt>
                <c:pt idx="443">
                  <c:v>105.74795716234</c:v>
                </c:pt>
                <c:pt idx="444">
                  <c:v>105.945630237407</c:v>
                </c:pt>
                <c:pt idx="445">
                  <c:v>106.144939604104</c:v>
                </c:pt>
                <c:pt idx="446">
                  <c:v>106.345879248983</c:v>
                </c:pt>
                <c:pt idx="447">
                  <c:v>106.548443047768</c:v>
                </c:pt>
                <c:pt idx="448">
                  <c:v>106.752624763256</c:v>
                </c:pt>
                <c:pt idx="449">
                  <c:v>106.958418043225</c:v>
                </c:pt>
                <c:pt idx="450">
                  <c:v>107.165816418324</c:v>
                </c:pt>
                <c:pt idx="451">
                  <c:v>107.374813299983</c:v>
                </c:pt>
                <c:pt idx="452">
                  <c:v>107.585401978308</c:v>
                </c:pt>
                <c:pt idx="453">
                  <c:v>107.797575619989</c:v>
                </c:pt>
                <c:pt idx="454">
                  <c:v>108.0113272662</c:v>
                </c:pt>
                <c:pt idx="455">
                  <c:v>108.226649830512</c:v>
                </c:pt>
                <c:pt idx="456">
                  <c:v>108.443536096799</c:v>
                </c:pt>
                <c:pt idx="457">
                  <c:v>108.661978717165</c:v>
                </c:pt>
                <c:pt idx="458">
                  <c:v>108.881970209857</c:v>
                </c:pt>
                <c:pt idx="459">
                  <c:v>109.103502957202</c:v>
                </c:pt>
                <c:pt idx="460">
                  <c:v>109.32656920354</c:v>
                </c:pt>
                <c:pt idx="461">
                  <c:v>109.551161053173</c:v>
                </c:pt>
                <c:pt idx="462">
                  <c:v>109.777270468318</c:v>
                </c:pt>
                <c:pt idx="463">
                  <c:v>110.004889267075</c:v>
                </c:pt>
                <c:pt idx="464">
                  <c:v>110.234009121402</c:v>
                </c:pt>
                <c:pt idx="465">
                  <c:v>110.464621555104</c:v>
                </c:pt>
                <c:pt idx="466">
                  <c:v>110.696717941837</c:v>
                </c:pt>
                <c:pt idx="467">
                  <c:v>110.930289503126</c:v>
                </c:pt>
                <c:pt idx="468">
                  <c:v>111.165327306393</c:v>
                </c:pt>
                <c:pt idx="469">
                  <c:v>111.401822263008</c:v>
                </c:pt>
                <c:pt idx="470">
                  <c:v>111.639765126355</c:v>
                </c:pt>
                <c:pt idx="471">
                  <c:v>111.879146489911</c:v>
                </c:pt>
                <c:pt idx="472">
                  <c:v>112.119956785355</c:v>
                </c:pt>
                <c:pt idx="473">
                  <c:v>112.362186280686</c:v>
                </c:pt>
                <c:pt idx="474">
                  <c:v>112.605825078371</c:v>
                </c:pt>
                <c:pt idx="475">
                  <c:v>112.850863113508</c:v>
                </c:pt>
                <c:pt idx="476">
                  <c:v>113.097290152019</c:v>
                </c:pt>
                <c:pt idx="477">
                  <c:v>113.345095788863</c:v>
                </c:pt>
                <c:pt idx="478">
                  <c:v>113.594269446276</c:v>
                </c:pt>
                <c:pt idx="479">
                  <c:v>113.844800372038</c:v>
                </c:pt>
                <c:pt idx="480">
                  <c:v>114.096677637766</c:v>
                </c:pt>
                <c:pt idx="481">
                  <c:v>114.349890137238</c:v>
                </c:pt>
                <c:pt idx="482">
                  <c:v>114.604426584745</c:v>
                </c:pt>
                <c:pt idx="483">
                  <c:v>114.860275513472</c:v>
                </c:pt>
                <c:pt idx="484">
                  <c:v>115.117425273918</c:v>
                </c:pt>
                <c:pt idx="485">
                  <c:v>115.375864032339</c:v>
                </c:pt>
                <c:pt idx="486">
                  <c:v>115.635579769232</c:v>
                </c:pt>
                <c:pt idx="487">
                  <c:v>115.896560277853</c:v>
                </c:pt>
                <c:pt idx="488">
                  <c:v>116.158793162769</c:v>
                </c:pt>
                <c:pt idx="489">
                  <c:v>116.422265838449</c:v>
                </c:pt>
                <c:pt idx="490">
                  <c:v>116.686965527893</c:v>
                </c:pt>
                <c:pt idx="491">
                  <c:v>116.952879261297</c:v>
                </c:pt>
                <c:pt idx="492">
                  <c:v>117.219993874767</c:v>
                </c:pt>
                <c:pt idx="493">
                  <c:v>117.488296009063</c:v>
                </c:pt>
                <c:pt idx="494">
                  <c:v>117.757772108395</c:v>
                </c:pt>
                <c:pt idx="495">
                  <c:v>118.028408419257</c:v>
                </c:pt>
                <c:pt idx="496">
                  <c:v>118.300190989307</c:v>
                </c:pt>
                <c:pt idx="497">
                  <c:v>118.573105666295</c:v>
                </c:pt>
                <c:pt idx="498">
                  <c:v>118.847138097031</c:v>
                </c:pt>
                <c:pt idx="499">
                  <c:v>119.12227372641</c:v>
                </c:pt>
                <c:pt idx="500">
                  <c:v>119.398497796475</c:v>
                </c:pt>
                <c:pt idx="501">
                  <c:v>119.675795345538</c:v>
                </c:pt>
                <c:pt idx="502">
                  <c:v>119.954151207349</c:v>
                </c:pt>
                <c:pt idx="503">
                  <c:v>120.23355001031</c:v>
                </c:pt>
                <c:pt idx="504">
                  <c:v>120.513976176754</c:v>
                </c:pt>
                <c:pt idx="505">
                  <c:v>120.795413922265</c:v>
                </c:pt>
                <c:pt idx="506">
                  <c:v>121.077847255061</c:v>
                </c:pt>
                <c:pt idx="507">
                  <c:v>121.361259975422</c:v>
                </c:pt>
                <c:pt idx="508">
                  <c:v>121.645635675188</c:v>
                </c:pt>
                <c:pt idx="509">
                  <c:v>121.9309577373</c:v>
                </c:pt>
                <c:pt idx="510">
                  <c:v>122.217209335407</c:v>
                </c:pt>
                <c:pt idx="511">
                  <c:v>122.504373433528</c:v>
                </c:pt>
                <c:pt idx="512">
                  <c:v>122.792432785772</c:v>
                </c:pt>
                <c:pt idx="513">
                  <c:v>123.081369936125</c:v>
                </c:pt>
                <c:pt idx="514">
                  <c:v>123.371167218286</c:v>
                </c:pt>
                <c:pt idx="515">
                  <c:v>123.661806755576</c:v>
                </c:pt>
                <c:pt idx="516">
                  <c:v>123.9532704609</c:v>
                </c:pt>
                <c:pt idx="517">
                  <c:v>124.245540036781</c:v>
                </c:pt>
                <c:pt idx="518">
                  <c:v>124.538596975446</c:v>
                </c:pt>
                <c:pt idx="519">
                  <c:v>124.832422558985</c:v>
                </c:pt>
                <c:pt idx="520">
                  <c:v>125.126997859573</c:v>
                </c:pt>
                <c:pt idx="521">
                  <c:v>125.422303739756</c:v>
                </c:pt>
                <c:pt idx="522">
                  <c:v>125.718320852801</c:v>
                </c:pt>
                <c:pt idx="523">
                  <c:v>126.015029643113</c:v>
                </c:pt>
                <c:pt idx="524">
                  <c:v>126.312410346726</c:v>
                </c:pt>
                <c:pt idx="525">
                  <c:v>126.610442991848</c:v>
                </c:pt>
                <c:pt idx="526">
                  <c:v>126.909107399486</c:v>
                </c:pt>
                <c:pt idx="527">
                  <c:v>127.208383184131</c:v>
                </c:pt>
                <c:pt idx="528">
                  <c:v>127.508249754518</c:v>
                </c:pt>
                <c:pt idx="529">
                  <c:v>127.808686314444</c:v>
                </c:pt>
                <c:pt idx="530">
                  <c:v>128.109671863673</c:v>
                </c:pt>
                <c:pt idx="531">
                  <c:v>128.411185198888</c:v>
                </c:pt>
                <c:pt idx="532">
                  <c:v>128.713204914736</c:v>
                </c:pt>
                <c:pt idx="533">
                  <c:v>129.015709404921</c:v>
                </c:pt>
                <c:pt idx="534">
                  <c:v>129.318676863383</c:v>
                </c:pt>
                <c:pt idx="535">
                  <c:v>129.622085285543</c:v>
                </c:pt>
                <c:pt idx="536">
                  <c:v>129.925912469609</c:v>
                </c:pt>
                <c:pt idx="537">
                  <c:v>130.23013601797</c:v>
                </c:pt>
                <c:pt idx="538">
                  <c:v>130.534733338642</c:v>
                </c:pt>
                <c:pt idx="539">
                  <c:v>130.839681646799</c:v>
                </c:pt>
                <c:pt idx="540">
                  <c:v>131.144957966366</c:v>
                </c:pt>
                <c:pt idx="541">
                  <c:v>131.450539131685</c:v>
                </c:pt>
                <c:pt idx="542">
                  <c:v>131.756401789252</c:v>
                </c:pt>
                <c:pt idx="543">
                  <c:v>132.062522399521</c:v>
                </c:pt>
                <c:pt idx="544">
                  <c:v>132.368877238784</c:v>
                </c:pt>
                <c:pt idx="545">
                  <c:v>132.675442401116</c:v>
                </c:pt>
                <c:pt idx="546">
                  <c:v>132.98219380039</c:v>
                </c:pt>
                <c:pt idx="547">
                  <c:v>133.289107172361</c:v>
                </c:pt>
                <c:pt idx="548">
                  <c:v>133.596158076825</c:v>
                </c:pt>
                <c:pt idx="549">
                  <c:v>133.903321899837</c:v>
                </c:pt>
                <c:pt idx="550">
                  <c:v>134.210573856009</c:v>
                </c:pt>
                <c:pt idx="551">
                  <c:v>134.51788899086</c:v>
                </c:pt>
                <c:pt idx="552">
                  <c:v>134.825242183253</c:v>
                </c:pt>
                <c:pt idx="553">
                  <c:v>135.132608147885</c:v>
                </c:pt>
                <c:pt idx="554">
                  <c:v>135.439961437846</c:v>
                </c:pt>
                <c:pt idx="555">
                  <c:v>135.747276447251</c:v>
                </c:pt>
                <c:pt idx="556">
                  <c:v>136.05452741393</c:v>
                </c:pt>
                <c:pt idx="557">
                  <c:v>136.361688422186</c:v>
                </c:pt>
                <c:pt idx="558">
                  <c:v>136.668733405617</c:v>
                </c:pt>
                <c:pt idx="559">
                  <c:v>136.975636150004</c:v>
                </c:pt>
                <c:pt idx="560">
                  <c:v>137.282370296258</c:v>
                </c:pt>
                <c:pt idx="561">
                  <c:v>137.588909343435</c:v>
                </c:pt>
                <c:pt idx="562">
                  <c:v>137.895226651804</c:v>
                </c:pt>
                <c:pt idx="563">
                  <c:v>138.201295445985</c:v>
                </c:pt>
                <c:pt idx="564">
                  <c:v>138.507088818144</c:v>
                </c:pt>
                <c:pt idx="565">
                  <c:v>138.812579731243</c:v>
                </c:pt>
                <c:pt idx="566">
                  <c:v>139.117741022356</c:v>
                </c:pt>
                <c:pt idx="567">
                  <c:v>139.422545406038</c:v>
                </c:pt>
                <c:pt idx="568">
                  <c:v>139.726965477749</c:v>
                </c:pt>
                <c:pt idx="569">
                  <c:v>140.030973717339</c:v>
                </c:pt>
                <c:pt idx="570">
                  <c:v>140.334542492584</c:v>
                </c:pt>
                <c:pt idx="571">
                  <c:v>140.637644062778</c:v>
                </c:pt>
                <c:pt idx="572">
                  <c:v>140.940250582378</c:v>
                </c:pt>
                <c:pt idx="573">
                  <c:v>141.242334104696</c:v>
                </c:pt>
                <c:pt idx="574">
                  <c:v>141.543866585652</c:v>
                </c:pt>
                <c:pt idx="575">
                  <c:v>141.844819887564</c:v>
                </c:pt>
                <c:pt idx="576">
                  <c:v>142.145165783</c:v>
                </c:pt>
                <c:pt idx="577">
                  <c:v>142.444875958666</c:v>
                </c:pt>
                <c:pt idx="578">
                  <c:v>142.74392201935</c:v>
                </c:pt>
                <c:pt idx="579">
                  <c:v>143.042275491902</c:v>
                </c:pt>
                <c:pt idx="580">
                  <c:v>143.339907829272</c:v>
                </c:pt>
                <c:pt idx="581">
                  <c:v>143.636790414573</c:v>
                </c:pt>
                <c:pt idx="582">
                  <c:v>143.932894565202</c:v>
                </c:pt>
                <c:pt idx="583">
                  <c:v>144.228191536996</c:v>
                </c:pt>
                <c:pt idx="584">
                  <c:v>144.522652528421</c:v>
                </c:pt>
                <c:pt idx="585">
                  <c:v>144.816248684813</c:v>
                </c:pt>
                <c:pt idx="586">
                  <c:v>145.108951102644</c:v>
                </c:pt>
                <c:pt idx="587">
                  <c:v>145.40073083383</c:v>
                </c:pt>
                <c:pt idx="588">
                  <c:v>145.691558890073</c:v>
                </c:pt>
                <c:pt idx="589">
                  <c:v>145.981406247234</c:v>
                </c:pt>
                <c:pt idx="590">
                  <c:v>146.270243849742</c:v>
                </c:pt>
                <c:pt idx="591">
                  <c:v>146.55804261503</c:v>
                </c:pt>
                <c:pt idx="592">
                  <c:v>146.844773438004</c:v>
                </c:pt>
                <c:pt idx="593">
                  <c:v>147.130407195539</c:v>
                </c:pt>
                <c:pt idx="594">
                  <c:v>147.414914751</c:v>
                </c:pt>
                <c:pt idx="595">
                  <c:v>147.698266958791</c:v>
                </c:pt>
                <c:pt idx="596">
                  <c:v>147.98043466893</c:v>
                </c:pt>
                <c:pt idx="597">
                  <c:v>148.261388731645</c:v>
                </c:pt>
                <c:pt idx="598">
                  <c:v>148.541100001989</c:v>
                </c:pt>
                <c:pt idx="599">
                  <c:v>148.819539344481</c:v>
                </c:pt>
                <c:pt idx="600">
                  <c:v>149.096677637766</c:v>
                </c:pt>
                <c:pt idx="601">
                  <c:v>149.372485779288</c:v>
                </c:pt>
                <c:pt idx="602">
                  <c:v>149.64693468998</c:v>
                </c:pt>
                <c:pt idx="603">
                  <c:v>149.91999531898</c:v>
                </c:pt>
                <c:pt idx="604">
                  <c:v>150.191638648344</c:v>
                </c:pt>
                <c:pt idx="605">
                  <c:v>150.461835697786</c:v>
                </c:pt>
                <c:pt idx="606">
                  <c:v>150.730557529423</c:v>
                </c:pt>
                <c:pt idx="607">
                  <c:v>150.99777525253</c:v>
                </c:pt>
                <c:pt idx="608">
                  <c:v>151.263460028307</c:v>
                </c:pt>
                <c:pt idx="609">
                  <c:v>151.527583074649</c:v>
                </c:pt>
                <c:pt idx="610">
                  <c:v>151.790115670928</c:v>
                </c:pt>
                <c:pt idx="611">
                  <c:v>152.051029162774</c:v>
                </c:pt>
                <c:pt idx="612">
                  <c:v>152.310294966866</c:v>
                </c:pt>
                <c:pt idx="613">
                  <c:v>152.56788457572</c:v>
                </c:pt>
                <c:pt idx="614">
                  <c:v>152.823769562481</c:v>
                </c:pt>
                <c:pt idx="615">
                  <c:v>153.077921585714</c:v>
                </c:pt>
                <c:pt idx="616">
                  <c:v>153.330312394198</c:v>
                </c:pt>
                <c:pt idx="617">
                  <c:v>153.580913831709</c:v>
                </c:pt>
                <c:pt idx="618">
                  <c:v>153.829697841807</c:v>
                </c:pt>
                <c:pt idx="619">
                  <c:v>154.076636472617</c:v>
                </c:pt>
                <c:pt idx="620">
                  <c:v>154.321701881598</c:v>
                </c:pt>
                <c:pt idx="621">
                  <c:v>154.564866340315</c:v>
                </c:pt>
                <c:pt idx="622">
                  <c:v>154.806102239193</c:v>
                </c:pt>
                <c:pt idx="623">
                  <c:v>155.045382092267</c:v>
                </c:pt>
                <c:pt idx="624">
                  <c:v>155.28267854192</c:v>
                </c:pt>
                <c:pt idx="625">
                  <c:v>155.517964363608</c:v>
                </c:pt>
                <c:pt idx="626">
                  <c:v>155.751212470575</c:v>
                </c:pt>
                <c:pt idx="627">
                  <c:v>155.982395918552</c:v>
                </c:pt>
                <c:pt idx="628">
                  <c:v>156.211487910438</c:v>
                </c:pt>
                <c:pt idx="629">
                  <c:v>156.438461800972</c:v>
                </c:pt>
                <c:pt idx="630">
                  <c:v>156.663291101382</c:v>
                </c:pt>
                <c:pt idx="631">
                  <c:v>156.885949484018</c:v>
                </c:pt>
                <c:pt idx="632">
                  <c:v>157.106410786962</c:v>
                </c:pt>
                <c:pt idx="633">
                  <c:v>157.324649018628</c:v>
                </c:pt>
                <c:pt idx="634">
                  <c:v>157.540638362325</c:v>
                </c:pt>
                <c:pt idx="635">
                  <c:v>157.754353180813</c:v>
                </c:pt>
                <c:pt idx="636">
                  <c:v>157.965768020825</c:v>
                </c:pt>
                <c:pt idx="637">
                  <c:v>158.17485761757</c:v>
                </c:pt>
                <c:pt idx="638">
                  <c:v>158.38159689921</c:v>
                </c:pt>
                <c:pt idx="639">
                  <c:v>158.585960991308</c:v>
                </c:pt>
                <c:pt idx="640">
                  <c:v>158.787925221254</c:v>
                </c:pt>
                <c:pt idx="641">
                  <c:v>158.987465122659</c:v>
                </c:pt>
                <c:pt idx="642">
                  <c:v>159.184556439723</c:v>
                </c:pt>
                <c:pt idx="643">
                  <c:v>159.379175131567</c:v>
                </c:pt>
                <c:pt idx="644">
                  <c:v>159.571297376548</c:v>
                </c:pt>
                <c:pt idx="645">
                  <c:v>159.760899576523</c:v>
                </c:pt>
                <c:pt idx="646">
                  <c:v>159.947958361102</c:v>
                </c:pt>
                <c:pt idx="647">
                  <c:v>160.13245059185</c:v>
                </c:pt>
                <c:pt idx="648">
                  <c:v>160.314353366468</c:v>
                </c:pt>
                <c:pt idx="649">
                  <c:v>160.49364402293</c:v>
                </c:pt>
                <c:pt idx="650">
                  <c:v>160.670300143592</c:v>
                </c:pt>
                <c:pt idx="651">
                  <c:v>160.844299559261</c:v>
                </c:pt>
                <c:pt idx="652">
                  <c:v>161.015620353228</c:v>
                </c:pt>
                <c:pt idx="653">
                  <c:v>161.184240865263</c:v>
                </c:pt>
                <c:pt idx="654">
                  <c:v>161.35013969557</c:v>
                </c:pt>
                <c:pt idx="655">
                  <c:v>161.513295708712</c:v>
                </c:pt>
                <c:pt idx="656">
                  <c:v>161.673688037481</c:v>
                </c:pt>
                <c:pt idx="657">
                  <c:v>161.831296086742</c:v>
                </c:pt>
                <c:pt idx="658">
                  <c:v>161.98609953723</c:v>
                </c:pt>
                <c:pt idx="659">
                  <c:v>162.138078349303</c:v>
                </c:pt>
                <c:pt idx="660">
                  <c:v>162.287212766659</c:v>
                </c:pt>
                <c:pt idx="661">
                  <c:v>162.433483320002</c:v>
                </c:pt>
                <c:pt idx="662">
                  <c:v>162.576870830676</c:v>
                </c:pt>
                <c:pt idx="663">
                  <c:v>162.717356414244</c:v>
                </c:pt>
                <c:pt idx="664">
                  <c:v>162.854921484028</c:v>
                </c:pt>
                <c:pt idx="665">
                  <c:v>162.989547754602</c:v>
                </c:pt>
                <c:pt idx="666">
                  <c:v>163.121217245242</c:v>
                </c:pt>
                <c:pt idx="667">
                  <c:v>163.249912283328</c:v>
                </c:pt>
                <c:pt idx="668">
                  <c:v>163.375615507699</c:v>
                </c:pt>
                <c:pt idx="669">
                  <c:v>163.498309871958</c:v>
                </c:pt>
                <c:pt idx="670">
                  <c:v>163.617978647739</c:v>
                </c:pt>
                <c:pt idx="671">
                  <c:v>163.734605427913</c:v>
                </c:pt>
                <c:pt idx="672">
                  <c:v>163.848174129757</c:v>
                </c:pt>
                <c:pt idx="673">
                  <c:v>163.958668998065</c:v>
                </c:pt>
                <c:pt idx="674">
                  <c:v>164.066074608212</c:v>
                </c:pt>
                <c:pt idx="675">
                  <c:v>164.170375869175</c:v>
                </c:pt>
                <c:pt idx="676">
                  <c:v>164.271558026491</c:v>
                </c:pt>
                <c:pt idx="677">
                  <c:v>164.369606665174</c:v>
                </c:pt>
                <c:pt idx="678">
                  <c:v>164.464507712578</c:v>
                </c:pt>
                <c:pt idx="679">
                  <c:v>164.556247441205</c:v>
                </c:pt>
                <c:pt idx="680">
                  <c:v>164.644812471466</c:v>
                </c:pt>
                <c:pt idx="681">
                  <c:v>164.730189774385</c:v>
                </c:pt>
                <c:pt idx="682">
                  <c:v>164.812366674257</c:v>
                </c:pt>
                <c:pt idx="683">
                  <c:v>164.891330851242</c:v>
                </c:pt>
                <c:pt idx="684">
                  <c:v>164.967070343914</c:v>
                </c:pt>
                <c:pt idx="685">
                  <c:v>165.039573551757</c:v>
                </c:pt>
                <c:pt idx="686">
                  <c:v>165.108829237597</c:v>
                </c:pt>
                <c:pt idx="687">
                  <c:v>165.174826529991</c:v>
                </c:pt>
                <c:pt idx="688">
                  <c:v>165.23755492555</c:v>
                </c:pt>
                <c:pt idx="689">
                  <c:v>165.297004291221</c:v>
                </c:pt>
                <c:pt idx="690">
                  <c:v>165.353164866495</c:v>
                </c:pt>
                <c:pt idx="691">
                  <c:v>165.406027265575</c:v>
                </c:pt>
                <c:pt idx="692">
                  <c:v>165.455582479479</c:v>
                </c:pt>
                <c:pt idx="693">
                  <c:v>165.50182187809</c:v>
                </c:pt>
                <c:pt idx="694">
                  <c:v>165.544737212149</c:v>
                </c:pt>
                <c:pt idx="695">
                  <c:v>165.584320615185</c:v>
                </c:pt>
                <c:pt idx="696">
                  <c:v>165.6205646054</c:v>
                </c:pt>
                <c:pt idx="697">
                  <c:v>165.653462087481</c:v>
                </c:pt>
                <c:pt idx="698">
                  <c:v>165.683006354369</c:v>
                </c:pt>
                <c:pt idx="699">
                  <c:v>165.709191088955</c:v>
                </c:pt>
                <c:pt idx="700">
                  <c:v>165.732010365731</c:v>
                </c:pt>
                <c:pt idx="701">
                  <c:v>165.751458652372</c:v>
                </c:pt>
                <c:pt idx="702">
                  <c:v>165.767530811264</c:v>
                </c:pt>
                <c:pt idx="703">
                  <c:v>165.780222100974</c:v>
                </c:pt>
                <c:pt idx="704">
                  <c:v>165.789528177651</c:v>
                </c:pt>
                <c:pt idx="705">
                  <c:v>165.795445096382</c:v>
                </c:pt>
                <c:pt idx="706">
                  <c:v>165.797969312474</c:v>
                </c:pt>
                <c:pt idx="707">
                  <c:v>165.797097682684</c:v>
                </c:pt>
                <c:pt idx="708">
                  <c:v>165.792827466384</c:v>
                </c:pt>
                <c:pt idx="709">
                  <c:v>165.785156326667</c:v>
                </c:pt>
                <c:pt idx="710">
                  <c:v>165.774082331394</c:v>
                </c:pt>
                <c:pt idx="711">
                  <c:v>165.759603954175</c:v>
                </c:pt>
                <c:pt idx="712">
                  <c:v>165.741720075288</c:v>
                </c:pt>
                <c:pt idx="713">
                  <c:v>165.720429982545</c:v>
                </c:pt>
                <c:pt idx="714">
                  <c:v>165.695733372084</c:v>
                </c:pt>
                <c:pt idx="715">
                  <c:v>165.667630349107</c:v>
                </c:pt>
                <c:pt idx="716">
                  <c:v>165.63612142855</c:v>
                </c:pt>
                <c:pt idx="717">
                  <c:v>165.601207535697</c:v>
                </c:pt>
                <c:pt idx="718">
                  <c:v>165.562890006722</c:v>
                </c:pt>
                <c:pt idx="719">
                  <c:v>165.521170589174</c:v>
                </c:pt>
                <c:pt idx="720">
                  <c:v>165.476051442401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"10 posiciones (inciso e)"</c:f>
              <c:strCache>
                <c:ptCount val="1"/>
                <c:pt idx="0">
                  <c:v>10 posiciones (inciso e)</c:v>
                </c:pt>
              </c:strCache>
            </c:strRef>
          </c:tx>
          <c:spPr>
            <a:solidFill>
              <a:srgbClr val="eb6834"/>
            </a:solidFill>
            <a:ln w="63360">
              <a:noFill/>
            </a:ln>
          </c:spPr>
          <c:marker>
            <c:symbol val="circle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e) 10 posiciones'!$B$6:$B$15</c:f>
              <c:numCache>
                <c:formatCode>0.##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e) 10 posiciones'!$D$6:$D$15</c:f>
              <c:numCache>
                <c:formatCode>0.0000</c:formatCode>
                <c:ptCount val="10"/>
                <c:pt idx="0">
                  <c:v>165.476051442401</c:v>
                </c:pt>
                <c:pt idx="1">
                  <c:v>153.925600598224</c:v>
                </c:pt>
                <c:pt idx="2">
                  <c:v>131.581889637949</c:v>
                </c:pt>
                <c:pt idx="3">
                  <c:v>109.950700031703</c:v>
                </c:pt>
                <c:pt idx="4">
                  <c:v>97.2944109919774</c:v>
                </c:pt>
                <c:pt idx="5">
                  <c:v>95.4760514424007</c:v>
                </c:pt>
                <c:pt idx="6">
                  <c:v>103.683163760221</c:v>
                </c:pt>
                <c:pt idx="7">
                  <c:v>120.513976176754</c:v>
                </c:pt>
                <c:pt idx="8">
                  <c:v>142.145165783</c:v>
                </c:pt>
                <c:pt idx="9">
                  <c:v>160.314353366468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"Simulación MATLAB (inciso f)"</c:f>
              <c:strCache>
                <c:ptCount val="1"/>
                <c:pt idx="0">
                  <c:v>Simulación MATLAB (inciso f)</c:v>
                </c:pt>
              </c:strCache>
            </c:strRef>
          </c:tx>
          <c:spPr>
            <a:solidFill>
              <a:srgbClr val="000000"/>
            </a:solidFill>
            <a:ln w="63360">
              <a:noFill/>
            </a:ln>
          </c:spPr>
          <c:marker>
            <c:symbol val="x"/>
            <c:size val="9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f) Validacion'!$B$53:$B$62</c:f>
              <c:numCache>
                <c:formatCode>General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f) Validacion'!$D$53:$D$62</c:f>
              <c:numCache>
                <c:formatCode>0.0000</c:formatCode>
                <c:ptCount val="10"/>
                <c:pt idx="0">
                  <c:v>165.476051442401</c:v>
                </c:pt>
                <c:pt idx="1">
                  <c:v>153.925600598224</c:v>
                </c:pt>
                <c:pt idx="2">
                  <c:v>131.581889637949</c:v>
                </c:pt>
                <c:pt idx="3">
                  <c:v>109.950700031703</c:v>
                </c:pt>
                <c:pt idx="4">
                  <c:v>97.2944109919774</c:v>
                </c:pt>
                <c:pt idx="5">
                  <c:v>95.4760514424007</c:v>
                </c:pt>
                <c:pt idx="6">
                  <c:v>103.683163760221</c:v>
                </c:pt>
                <c:pt idx="7">
                  <c:v>120.513976176754</c:v>
                </c:pt>
                <c:pt idx="8">
                  <c:v>142.145165783</c:v>
                </c:pt>
                <c:pt idx="9">
                  <c:v>160.314353366468</c:v>
                </c:pt>
              </c:numCache>
            </c:numRef>
          </c:yVal>
          <c:smooth val="1"/>
        </c:ser>
        <c:axId val="51360035"/>
        <c:axId val="31908042"/>
      </c:scatterChart>
      <c:valAx>
        <c:axId val="51360035"/>
        <c:scaling>
          <c:orientation val="minMax"/>
          <c:max val="360"/>
          <c:min val="0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θ2, ángulo de la manivela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1908042"/>
        <c:crosses val="autoZero"/>
        <c:crossBetween val="midCat"/>
        <c:majorUnit val="36"/>
      </c:valAx>
      <c:valAx>
        <c:axId val="31908042"/>
        <c:scaling>
          <c:orientation val="minMax"/>
          <c:max val="180"/>
          <c:min val="8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d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136003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Velocidad del bloque V_B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"Analítico (vuelta completa)"</c:f>
              <c:strCache>
                <c:ptCount val="1"/>
                <c:pt idx="0">
                  <c:v>Analítico (vuelta completa)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Curva'!$A$6:$A$726</c:f>
              <c:numCache>
                <c:formatCode>0.0</c:formatCode>
                <c:ptCount val="7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</c:numCache>
            </c:numRef>
          </c:xVal>
          <c:yVal>
            <c:numRef>
              <c:f>'P2 Curva'!$F$6:$F$726</c:f>
              <c:numCache>
                <c:formatCode>0.000</c:formatCode>
                <c:ptCount val="721"/>
                <c:pt idx="0">
                  <c:v>-16.8545478898376</c:v>
                </c:pt>
                <c:pt idx="1">
                  <c:v>-18.0770123174055</c:v>
                </c:pt>
                <c:pt idx="2">
                  <c:v>-19.2983282573003</c:v>
                </c:pt>
                <c:pt idx="3">
                  <c:v>-20.5183471145048</c:v>
                </c:pt>
                <c:pt idx="4">
                  <c:v>-21.7369202467792</c:v>
                </c:pt>
                <c:pt idx="5">
                  <c:v>-22.9538989879813</c:v>
                </c:pt>
                <c:pt idx="6">
                  <c:v>-24.1691346714668</c:v>
                </c:pt>
                <c:pt idx="7">
                  <c:v>-25.3824786535697</c:v>
                </c:pt>
                <c:pt idx="8">
                  <c:v>-26.5937823371629</c:v>
                </c:pt>
                <c:pt idx="9">
                  <c:v>-27.8028971952987</c:v>
                </c:pt>
                <c:pt idx="10">
                  <c:v>-29.009674794928</c:v>
                </c:pt>
                <c:pt idx="11">
                  <c:v>-30.2139668206983</c:v>
                </c:pt>
                <c:pt idx="12">
                  <c:v>-31.4156250988302</c:v>
                </c:pt>
                <c:pt idx="13">
                  <c:v>-32.6145016210719</c:v>
                </c:pt>
                <c:pt idx="14">
                  <c:v>-33.8104485687301</c:v>
                </c:pt>
                <c:pt idx="15">
                  <c:v>-35.0033183367783</c:v>
                </c:pt>
                <c:pt idx="16">
                  <c:v>-36.1929635580408</c:v>
                </c:pt>
                <c:pt idx="17">
                  <c:v>-37.3792371274525</c:v>
                </c:pt>
                <c:pt idx="18">
                  <c:v>-38.5619922263926</c:v>
                </c:pt>
                <c:pt idx="19">
                  <c:v>-39.7410823470931</c:v>
                </c:pt>
                <c:pt idx="20">
                  <c:v>-40.9163613171192</c:v>
                </c:pt>
                <c:pt idx="21">
                  <c:v>-42.0876833239226</c:v>
                </c:pt>
                <c:pt idx="22">
                  <c:v>-43.2549029394659</c:v>
                </c:pt>
                <c:pt idx="23">
                  <c:v>-44.4178751449163</c:v>
                </c:pt>
                <c:pt idx="24">
                  <c:v>-45.5764553554089</c:v>
                </c:pt>
                <c:pt idx="25">
                  <c:v>-46.7304994448769</c:v>
                </c:pt>
                <c:pt idx="26">
                  <c:v>-47.8798637709486</c:v>
                </c:pt>
                <c:pt idx="27">
                  <c:v>-49.0244051999089</c:v>
                </c:pt>
                <c:pt idx="28">
                  <c:v>-50.1639811317241</c:v>
                </c:pt>
                <c:pt idx="29">
                  <c:v>-51.298449525128</c:v>
                </c:pt>
                <c:pt idx="30">
                  <c:v>-52.4276689227682</c:v>
                </c:pt>
                <c:pt idx="31">
                  <c:v>-53.5514984764098</c:v>
                </c:pt>
                <c:pt idx="32">
                  <c:v>-54.6697979721951</c:v>
                </c:pt>
                <c:pt idx="33">
                  <c:v>-55.7824278559576</c:v>
                </c:pt>
                <c:pt idx="34">
                  <c:v>-56.8892492585859</c:v>
                </c:pt>
                <c:pt idx="35">
                  <c:v>-57.9901240214379</c:v>
                </c:pt>
                <c:pt idx="36">
                  <c:v>-59.0849147218008</c:v>
                </c:pt>
                <c:pt idx="37">
                  <c:v>-60.1734846983939</c:v>
                </c:pt>
                <c:pt idx="38">
                  <c:v>-61.2556980769139</c:v>
                </c:pt>
                <c:pt idx="39">
                  <c:v>-62.3314197956157</c:v>
                </c:pt>
                <c:pt idx="40">
                  <c:v>-63.4005156309288</c:v>
                </c:pt>
                <c:pt idx="41">
                  <c:v>-64.4628522231046</c:v>
                </c:pt>
                <c:pt idx="42">
                  <c:v>-65.51829710189</c:v>
                </c:pt>
                <c:pt idx="43">
                  <c:v>-66.5667187122258</c:v>
                </c:pt>
                <c:pt idx="44">
                  <c:v>-67.6079864399639</c:v>
                </c:pt>
                <c:pt idx="45">
                  <c:v>-68.6419706375999</c:v>
                </c:pt>
                <c:pt idx="46">
                  <c:v>-69.6685426500169</c:v>
                </c:pt>
                <c:pt idx="47">
                  <c:v>-70.6875748402362</c:v>
                </c:pt>
                <c:pt idx="48">
                  <c:v>-71.6989406151681</c:v>
                </c:pt>
                <c:pt idx="49">
                  <c:v>-72.7025144513615</c:v>
                </c:pt>
                <c:pt idx="50">
                  <c:v>-73.6981719207431</c:v>
                </c:pt>
                <c:pt idx="51">
                  <c:v>-74.6857897163434</c:v>
                </c:pt>
                <c:pt idx="52">
                  <c:v>-75.6652456780031</c:v>
                </c:pt>
                <c:pt idx="53">
                  <c:v>-76.6364188180537</c:v>
                </c:pt>
                <c:pt idx="54">
                  <c:v>-77.5991893469662</c:v>
                </c:pt>
                <c:pt idx="55">
                  <c:v>-78.553438698962</c:v>
                </c:pt>
                <c:pt idx="56">
                  <c:v>-79.4990495575792</c:v>
                </c:pt>
                <c:pt idx="57">
                  <c:v>-80.4359058811864</c:v>
                </c:pt>
                <c:pt idx="58">
                  <c:v>-81.3638929284394</c:v>
                </c:pt>
                <c:pt idx="59">
                  <c:v>-82.2828972836702</c:v>
                </c:pt>
                <c:pt idx="60">
                  <c:v>-83.1928068822033</c:v>
                </c:pt>
                <c:pt idx="61">
                  <c:v>-84.0935110355903</c:v>
                </c:pt>
                <c:pt idx="62">
                  <c:v>-84.9849004567543</c:v>
                </c:pt>
                <c:pt idx="63">
                  <c:v>-85.8668672850369</c:v>
                </c:pt>
                <c:pt idx="64">
                  <c:v>-86.7393051111383</c:v>
                </c:pt>
                <c:pt idx="65">
                  <c:v>-87.602109001941</c:v>
                </c:pt>
                <c:pt idx="66">
                  <c:v>-88.4551755252095</c:v>
                </c:pt>
                <c:pt idx="67">
                  <c:v>-89.2984027741561</c:v>
                </c:pt>
                <c:pt idx="68">
                  <c:v>-90.1316903918609</c:v>
                </c:pt>
                <c:pt idx="69">
                  <c:v>-90.9549395955399</c:v>
                </c:pt>
                <c:pt idx="70">
                  <c:v>-91.7680532006474</c:v>
                </c:pt>
                <c:pt idx="71">
                  <c:v>-92.5709356448047</c:v>
                </c:pt>
                <c:pt idx="72">
                  <c:v>-93.3634930115428</c:v>
                </c:pt>
                <c:pt idx="73">
                  <c:v>-94.1456330538486</c:v>
                </c:pt>
                <c:pt idx="74">
                  <c:v>-94.9172652175039</c:v>
                </c:pt>
                <c:pt idx="75">
                  <c:v>-95.6783006642043</c:v>
                </c:pt>
                <c:pt idx="76">
                  <c:v>-96.4286522944484</c:v>
                </c:pt>
                <c:pt idx="77">
                  <c:v>-97.1682347701823</c:v>
                </c:pt>
                <c:pt idx="78">
                  <c:v>-97.8969645371902</c:v>
                </c:pt>
                <c:pt idx="79">
                  <c:v>-98.6147598472169</c:v>
                </c:pt>
                <c:pt idx="80">
                  <c:v>-99.3215407798094</c:v>
                </c:pt>
                <c:pt idx="81">
                  <c:v>-100.017229263866</c:v>
                </c:pt>
                <c:pt idx="82">
                  <c:v>-100.701749098876</c:v>
                </c:pt>
                <c:pt idx="83">
                  <c:v>-101.375025975847</c:v>
                </c:pt>
                <c:pt idx="84">
                  <c:v>-102.036987497888</c:v>
                </c:pt>
                <c:pt idx="85">
                  <c:v>-102.687563200454</c:v>
                </c:pt>
                <c:pt idx="86">
                  <c:v>-103.326684571225</c:v>
                </c:pt>
                <c:pt idx="87">
                  <c:v>-103.954285069612</c:v>
                </c:pt>
                <c:pt idx="88">
                  <c:v>-104.570300145873</c:v>
                </c:pt>
                <c:pt idx="89">
                  <c:v>-105.174667259823</c:v>
                </c:pt>
                <c:pt idx="90">
                  <c:v>-105.76732589913</c:v>
                </c:pt>
                <c:pt idx="91">
                  <c:v>-106.348217597173</c:v>
                </c:pt>
                <c:pt idx="92">
                  <c:v>-106.917285950456</c:v>
                </c:pt>
                <c:pt idx="93">
                  <c:v>-107.474476635556</c:v>
                </c:pt>
                <c:pt idx="94">
                  <c:v>-108.019737425596</c:v>
                </c:pt>
                <c:pt idx="95">
                  <c:v>-108.553018206222</c:v>
                </c:pt>
                <c:pt idx="96">
                  <c:v>-109.074270991078</c:v>
                </c:pt>
                <c:pt idx="97">
                  <c:v>-109.583449936748</c:v>
                </c:pt>
                <c:pt idx="98">
                  <c:v>-110.080511357173</c:v>
                </c:pt>
                <c:pt idx="99">
                  <c:v>-110.565413737499</c:v>
                </c:pt>
                <c:pt idx="100">
                  <c:v>-111.038117747372</c:v>
                </c:pt>
                <c:pt idx="101">
                  <c:v>-111.498586253637</c:v>
                </c:pt>
                <c:pt idx="102">
                  <c:v>-111.946784332445</c:v>
                </c:pt>
                <c:pt idx="103">
                  <c:v>-112.382679280747</c:v>
                </c:pt>
                <c:pt idx="104">
                  <c:v>-112.80624062715</c:v>
                </c:pt>
                <c:pt idx="105">
                  <c:v>-113.217440142142</c:v>
                </c:pt>
                <c:pt idx="106">
                  <c:v>-113.616251847651</c:v>
                </c:pt>
                <c:pt idx="107">
                  <c:v>-114.002652025931</c:v>
                </c:pt>
                <c:pt idx="108">
                  <c:v>-114.376619227766</c:v>
                </c:pt>
                <c:pt idx="109">
                  <c:v>-114.738134279968</c:v>
                </c:pt>
                <c:pt idx="110">
                  <c:v>-115.087180292162</c:v>
                </c:pt>
                <c:pt idx="111">
                  <c:v>-115.42374266284</c:v>
                </c:pt>
                <c:pt idx="112">
                  <c:v>-115.747809084676</c:v>
                </c:pt>
                <c:pt idx="113">
                  <c:v>-116.059369549082</c:v>
                </c:pt>
                <c:pt idx="114">
                  <c:v>-116.358416349998</c:v>
                </c:pt>
                <c:pt idx="115">
                  <c:v>-116.644944086899</c:v>
                </c:pt>
                <c:pt idx="116">
                  <c:v>-116.918949667012</c:v>
                </c:pt>
                <c:pt idx="117">
                  <c:v>-117.180432306725</c:v>
                </c:pt>
                <c:pt idx="118">
                  <c:v>-117.429393532181</c:v>
                </c:pt>
                <c:pt idx="119">
                  <c:v>-117.665837179047</c:v>
                </c:pt>
                <c:pt idx="120">
                  <c:v>-117.889769391441</c:v>
                </c:pt>
                <c:pt idx="121">
                  <c:v>-118.101198620017</c:v>
                </c:pt>
                <c:pt idx="122">
                  <c:v>-118.300135619186</c:v>
                </c:pt>
                <c:pt idx="123">
                  <c:v>-118.48659344348</c:v>
                </c:pt>
                <c:pt idx="124">
                  <c:v>-118.660587443032</c:v>
                </c:pt>
                <c:pt idx="125">
                  <c:v>-118.822135258182</c:v>
                </c:pt>
                <c:pt idx="126">
                  <c:v>-118.971256813189</c:v>
                </c:pt>
                <c:pt idx="127">
                  <c:v>-119.107974309044</c:v>
                </c:pt>
                <c:pt idx="128">
                  <c:v>-119.232312215394</c:v>
                </c:pt>
                <c:pt idx="129">
                  <c:v>-119.344297261538</c:v>
                </c:pt>
                <c:pt idx="130">
                  <c:v>-119.443958426531</c:v>
                </c:pt>
                <c:pt idx="131">
                  <c:v>-119.531326928362</c:v>
                </c:pt>
                <c:pt idx="132">
                  <c:v>-119.606436212209</c:v>
                </c:pt>
                <c:pt idx="133">
                  <c:v>-119.669321937787</c:v>
                </c:pt>
                <c:pt idx="134">
                  <c:v>-119.720021965754</c:v>
                </c:pt>
                <c:pt idx="135">
                  <c:v>-119.758576343207</c:v>
                </c:pt>
                <c:pt idx="136">
                  <c:v>-119.78502728825</c:v>
                </c:pt>
                <c:pt idx="137">
                  <c:v>-119.799419173632</c:v>
                </c:pt>
                <c:pt idx="138">
                  <c:v>-119.801798509473</c:v>
                </c:pt>
                <c:pt idx="139">
                  <c:v>-119.79221392506</c:v>
                </c:pt>
                <c:pt idx="140">
                  <c:v>-119.770716149733</c:v>
                </c:pt>
                <c:pt idx="141">
                  <c:v>-119.737357992856</c:v>
                </c:pt>
                <c:pt idx="142">
                  <c:v>-119.69219432288</c:v>
                </c:pt>
                <c:pt idx="143">
                  <c:v>-119.635282045501</c:v>
                </c:pt>
                <c:pt idx="144">
                  <c:v>-119.566680080929</c:v>
                </c:pt>
                <c:pt idx="145">
                  <c:v>-119.486449340261</c:v>
                </c:pt>
                <c:pt idx="146">
                  <c:v>-119.394652700982</c:v>
                </c:pt>
                <c:pt idx="147">
                  <c:v>-119.291354981588</c:v>
                </c:pt>
                <c:pt idx="148">
                  <c:v>-119.176622915355</c:v>
                </c:pt>
                <c:pt idx="149">
                  <c:v>-119.050525123252</c:v>
                </c:pt>
                <c:pt idx="150">
                  <c:v>-118.913132086028</c:v>
                </c:pt>
                <c:pt idx="151">
                  <c:v>-118.764516115459</c:v>
                </c:pt>
                <c:pt idx="152">
                  <c:v>-118.604751324797</c:v>
                </c:pt>
                <c:pt idx="153">
                  <c:v>-118.433913598416</c:v>
                </c:pt>
                <c:pt idx="154">
                  <c:v>-118.252080560681</c:v>
                </c:pt>
                <c:pt idx="155">
                  <c:v>-118.059331544048</c:v>
                </c:pt>
                <c:pt idx="156">
                  <c:v>-117.855747556424</c:v>
                </c:pt>
                <c:pt idx="157">
                  <c:v>-117.641411247785</c:v>
                </c:pt>
                <c:pt idx="158">
                  <c:v>-117.416406876099</c:v>
                </c:pt>
                <c:pt idx="159">
                  <c:v>-117.180820272544</c:v>
                </c:pt>
                <c:pt idx="160">
                  <c:v>-116.934738806066</c:v>
                </c:pt>
                <c:pt idx="161">
                  <c:v>-116.678251347277</c:v>
                </c:pt>
                <c:pt idx="162">
                  <c:v>-116.411448231734</c:v>
                </c:pt>
                <c:pt idx="163">
                  <c:v>-116.134421222609</c:v>
                </c:pt>
                <c:pt idx="164">
                  <c:v>-115.847263472777</c:v>
                </c:pt>
                <c:pt idx="165">
                  <c:v>-115.550069486345</c:v>
                </c:pt>
                <c:pt idx="166">
                  <c:v>-115.242935079648</c:v>
                </c:pt>
                <c:pt idx="167">
                  <c:v>-114.925957341742</c:v>
                </c:pt>
                <c:pt idx="168">
                  <c:v>-114.599234594402</c:v>
                </c:pt>
                <c:pt idx="169">
                  <c:v>-114.262866351679</c:v>
                </c:pt>
                <c:pt idx="170">
                  <c:v>-113.916953279014</c:v>
                </c:pt>
                <c:pt idx="171">
                  <c:v>-113.56159715196</c:v>
                </c:pt>
                <c:pt idx="172">
                  <c:v>-113.196900814522</c:v>
                </c:pt>
                <c:pt idx="173">
                  <c:v>-112.822968137159</c:v>
                </c:pt>
                <c:pt idx="174">
                  <c:v>-112.439903974459</c:v>
                </c:pt>
                <c:pt idx="175">
                  <c:v>-112.047814122536</c:v>
                </c:pt>
                <c:pt idx="176">
                  <c:v>-111.646805276158</c:v>
                </c:pt>
                <c:pt idx="177">
                  <c:v>-111.236984985653</c:v>
                </c:pt>
                <c:pt idx="178">
                  <c:v>-110.818461613611</c:v>
                </c:pt>
                <c:pt idx="179">
                  <c:v>-110.391344291416</c:v>
                </c:pt>
                <c:pt idx="180">
                  <c:v>-109.955742875643</c:v>
                </c:pt>
                <c:pt idx="181">
                  <c:v>-109.511767904339</c:v>
                </c:pt>
                <c:pt idx="182">
                  <c:v>-109.05953055323</c:v>
                </c:pt>
                <c:pt idx="183">
                  <c:v>-108.599142591877</c:v>
                </c:pt>
                <c:pt idx="184">
                  <c:v>-108.130716339817</c:v>
                </c:pt>
                <c:pt idx="185">
                  <c:v>-107.65436462271</c:v>
                </c:pt>
                <c:pt idx="186">
                  <c:v>-107.170200728534</c:v>
                </c:pt>
                <c:pt idx="187">
                  <c:v>-106.678338363854</c:v>
                </c:pt>
                <c:pt idx="188">
                  <c:v>-106.178891610185</c:v>
                </c:pt>
                <c:pt idx="189">
                  <c:v>-105.671974880502</c:v>
                </c:pt>
                <c:pt idx="190">
                  <c:v>-105.157702875895</c:v>
                </c:pt>
                <c:pt idx="191">
                  <c:v>-104.636190542428</c:v>
                </c:pt>
                <c:pt idx="192">
                  <c:v>-104.107553028219</c:v>
                </c:pt>
                <c:pt idx="193">
                  <c:v>-103.571905640758</c:v>
                </c:pt>
                <c:pt idx="194">
                  <c:v>-103.029363804516</c:v>
                </c:pt>
                <c:pt idx="195">
                  <c:v>-102.480043018847</c:v>
                </c:pt>
                <c:pt idx="196">
                  <c:v>-101.924058816238</c:v>
                </c:pt>
                <c:pt idx="197">
                  <c:v>-101.3615267209</c:v>
                </c:pt>
                <c:pt idx="198">
                  <c:v>-100.792562207765</c:v>
                </c:pt>
                <c:pt idx="199">
                  <c:v>-100.217280661876</c:v>
                </c:pt>
                <c:pt idx="200">
                  <c:v>-99.6357973382338</c:v>
                </c:pt>
                <c:pt idx="201">
                  <c:v>-99.0482273220878</c:v>
                </c:pt>
                <c:pt idx="202">
                  <c:v>-98.4546854897267</c:v>
                </c:pt>
                <c:pt idx="203">
                  <c:v>-97.8552864697714</c:v>
                </c:pt>
                <c:pt idx="204">
                  <c:v>-97.2501446050028</c:v>
                </c:pt>
                <c:pt idx="205">
                  <c:v>-96.6393739147439</c:v>
                </c:pt>
                <c:pt idx="206">
                  <c:v>-96.0230880578168</c:v>
                </c:pt>
                <c:pt idx="207">
                  <c:v>-95.4014002960964</c:v>
                </c:pt>
                <c:pt idx="208">
                  <c:v>-94.7744234586801</c:v>
                </c:pt>
                <c:pt idx="209">
                  <c:v>-94.1422699066916</c:v>
                </c:pt>
                <c:pt idx="210">
                  <c:v>-93.5050514987387</c:v>
                </c:pt>
                <c:pt idx="211">
                  <c:v>-92.8628795570404</c:v>
                </c:pt>
                <c:pt idx="212">
                  <c:v>-92.2158648342416</c:v>
                </c:pt>
                <c:pt idx="213">
                  <c:v>-91.56411748093</c:v>
                </c:pt>
                <c:pt idx="214">
                  <c:v>-90.9077470138697</c:v>
                </c:pt>
                <c:pt idx="215">
                  <c:v>-90.2468622849672</c:v>
                </c:pt>
                <c:pt idx="216">
                  <c:v>-89.5815714509803</c:v>
                </c:pt>
                <c:pt idx="217">
                  <c:v>-88.9119819439841</c:v>
                </c:pt>
                <c:pt idx="218">
                  <c:v>-88.238200442605</c:v>
                </c:pt>
                <c:pt idx="219">
                  <c:v>-87.5603328440318</c:v>
                </c:pt>
                <c:pt idx="220">
                  <c:v>-86.8784842368154</c:v>
                </c:pt>
                <c:pt idx="221">
                  <c:v>-86.1927588744645</c:v>
                </c:pt>
                <c:pt idx="222">
                  <c:v>-85.5032601498455</c:v>
                </c:pt>
                <c:pt idx="223">
                  <c:v>-84.8100905703926</c:v>
                </c:pt>
                <c:pt idx="224">
                  <c:v>-84.1133517341363</c:v>
                </c:pt>
                <c:pt idx="225">
                  <c:v>-83.4131443065531</c:v>
                </c:pt>
                <c:pt idx="226">
                  <c:v>-82.7095679982419</c:v>
                </c:pt>
                <c:pt idx="227">
                  <c:v>-82.0027215434301</c:v>
                </c:pt>
                <c:pt idx="228">
                  <c:v>-81.292702679313</c:v>
                </c:pt>
                <c:pt idx="229">
                  <c:v>-80.579608126227</c:v>
                </c:pt>
                <c:pt idx="230">
                  <c:v>-79.8635335686582</c:v>
                </c:pt>
                <c:pt idx="231">
                  <c:v>-79.1445736370867</c:v>
                </c:pt>
                <c:pt idx="232">
                  <c:v>-78.4228218906659</c:v>
                </c:pt>
                <c:pt idx="233">
                  <c:v>-77.6983708007351</c:v>
                </c:pt>
                <c:pt idx="234">
                  <c:v>-76.9713117351641</c:v>
                </c:pt>
                <c:pt idx="235">
                  <c:v>-76.2417349435261</c:v>
                </c:pt>
                <c:pt idx="236">
                  <c:v>-75.5097295430958</c:v>
                </c:pt>
                <c:pt idx="237">
                  <c:v>-74.775383505668</c:v>
                </c:pt>
                <c:pt idx="238">
                  <c:v>-74.0387836451928</c:v>
                </c:pt>
                <c:pt idx="239">
                  <c:v>-73.3000156062207</c:v>
                </c:pt>
                <c:pt idx="240">
                  <c:v>-72.5591638531517</c:v>
                </c:pt>
                <c:pt idx="241">
                  <c:v>-71.8163116602818</c:v>
                </c:pt>
                <c:pt idx="242">
                  <c:v>-71.0715411026394</c:v>
                </c:pt>
                <c:pt idx="243">
                  <c:v>-70.324933047604</c:v>
                </c:pt>
                <c:pt idx="244">
                  <c:v>-69.5765671472968</c:v>
                </c:pt>
                <c:pt idx="245">
                  <c:v>-68.8265218317375</c:v>
                </c:pt>
                <c:pt idx="246">
                  <c:v>-68.0748743027547</c:v>
                </c:pt>
                <c:pt idx="247">
                  <c:v>-67.3217005286409</c:v>
                </c:pt>
                <c:pt idx="248">
                  <c:v>-66.5670752395422</c:v>
                </c:pt>
                <c:pt idx="249">
                  <c:v>-65.8110719235715</c:v>
                </c:pt>
                <c:pt idx="250">
                  <c:v>-65.053762823633</c:v>
                </c:pt>
                <c:pt idx="251">
                  <c:v>-64.295218934948</c:v>
                </c:pt>
                <c:pt idx="252">
                  <c:v>-63.5355100032682</c:v>
                </c:pt>
                <c:pt idx="253">
                  <c:v>-62.7747045237656</c:v>
                </c:pt>
                <c:pt idx="254">
                  <c:v>-62.0128697405851</c:v>
                </c:pt>
                <c:pt idx="255">
                  <c:v>-61.2500716470485</c:v>
                </c:pt>
                <c:pt idx="256">
                  <c:v>-60.4863749864942</c:v>
                </c:pt>
                <c:pt idx="257">
                  <c:v>-59.7218432537423</c:v>
                </c:pt>
                <c:pt idx="258">
                  <c:v>-58.9565386971683</c:v>
                </c:pt>
                <c:pt idx="259">
                  <c:v>-58.1905223213735</c:v>
                </c:pt>
                <c:pt idx="260">
                  <c:v>-57.423853890439</c:v>
                </c:pt>
                <c:pt idx="261">
                  <c:v>-56.6565919317449</c:v>
                </c:pt>
                <c:pt idx="262">
                  <c:v>-55.8887937403461</c:v>
                </c:pt>
                <c:pt idx="263">
                  <c:v>-55.1205153838861</c:v>
                </c:pt>
                <c:pt idx="264">
                  <c:v>-54.3518117080358</c:v>
                </c:pt>
                <c:pt idx="265">
                  <c:v>-53.582736342443</c:v>
                </c:pt>
                <c:pt idx="266">
                  <c:v>-52.8133417071781</c:v>
                </c:pt>
                <c:pt idx="267">
                  <c:v>-52.04367901966</c:v>
                </c:pt>
                <c:pt idx="268">
                  <c:v>-51.2737983020495</c:v>
                </c:pt>
                <c:pt idx="269">
                  <c:v>-50.5037483890944</c:v>
                </c:pt>
                <c:pt idx="270">
                  <c:v>-49.7335769364128</c:v>
                </c:pt>
                <c:pt idx="271">
                  <c:v>-48.9633304291978</c:v>
                </c:pt>
                <c:pt idx="272">
                  <c:v>-48.1930541913323</c:v>
                </c:pt>
                <c:pt idx="273">
                  <c:v>-47.4227923948971</c:v>
                </c:pt>
                <c:pt idx="274">
                  <c:v>-46.6525880700592</c:v>
                </c:pt>
                <c:pt idx="275">
                  <c:v>-45.882483115325</c:v>
                </c:pt>
                <c:pt idx="276">
                  <c:v>-45.1125183081466</c:v>
                </c:pt>
                <c:pt idx="277">
                  <c:v>-44.3427333158638</c:v>
                </c:pt>
                <c:pt idx="278">
                  <c:v>-43.5731667069718</c:v>
                </c:pt>
                <c:pt idx="279">
                  <c:v>-42.8038559626978</c:v>
                </c:pt>
                <c:pt idx="280">
                  <c:v>-42.0348374888749</c:v>
                </c:pt>
                <c:pt idx="281">
                  <c:v>-41.2661466280997</c:v>
                </c:pt>
                <c:pt idx="282">
                  <c:v>-40.4978176721595</c:v>
                </c:pt>
                <c:pt idx="283">
                  <c:v>-39.7298838747183</c:v>
                </c:pt>
                <c:pt idx="284">
                  <c:v>-38.9623774642455</c:v>
                </c:pt>
                <c:pt idx="285">
                  <c:v>-38.1953296571791</c:v>
                </c:pt>
                <c:pt idx="286">
                  <c:v>-37.4287706713074</c:v>
                </c:pt>
                <c:pt idx="287">
                  <c:v>-36.6627297393589</c:v>
                </c:pt>
                <c:pt idx="288">
                  <c:v>-35.8972351227891</c:v>
                </c:pt>
                <c:pt idx="289">
                  <c:v>-35.132314125751</c:v>
                </c:pt>
                <c:pt idx="290">
                  <c:v>-34.3679931092387</c:v>
                </c:pt>
                <c:pt idx="291">
                  <c:v>-33.6042975053947</c:v>
                </c:pt>
                <c:pt idx="292">
                  <c:v>-32.8412518319662</c:v>
                </c:pt>
                <c:pt idx="293">
                  <c:v>-32.0788797069041</c:v>
                </c:pt>
                <c:pt idx="294">
                  <c:v>-31.3172038630915</c:v>
                </c:pt>
                <c:pt idx="295">
                  <c:v>-30.5562461631929</c:v>
                </c:pt>
                <c:pt idx="296">
                  <c:v>-29.7960276146139</c:v>
                </c:pt>
                <c:pt idx="297">
                  <c:v>-29.0365683845616</c:v>
                </c:pt>
                <c:pt idx="298">
                  <c:v>-28.2778878151977</c:v>
                </c:pt>
                <c:pt idx="299">
                  <c:v>-27.5200044388733</c:v>
                </c:pt>
                <c:pt idx="300">
                  <c:v>-26.7629359934394</c:v>
                </c:pt>
                <c:pt idx="301">
                  <c:v>-26.0066994376207</c:v>
                </c:pt>
                <c:pt idx="302">
                  <c:v>-25.2513109664491</c:v>
                </c:pt>
                <c:pt idx="303">
                  <c:v>-24.4967860267455</c:v>
                </c:pt>
                <c:pt idx="304">
                  <c:v>-23.7431393326439</c:v>
                </c:pt>
                <c:pt idx="305">
                  <c:v>-22.99038488115</c:v>
                </c:pt>
                <c:pt idx="306">
                  <c:v>-22.2385359677261</c:v>
                </c:pt>
                <c:pt idx="307">
                  <c:v>-21.4876052018988</c:v>
                </c:pt>
                <c:pt idx="308">
                  <c:v>-20.7376045228778</c:v>
                </c:pt>
                <c:pt idx="309">
                  <c:v>-19.9885452151843</c:v>
                </c:pt>
                <c:pt idx="310">
                  <c:v>-19.2404379242798</c:v>
                </c:pt>
                <c:pt idx="311">
                  <c:v>-18.4932926721904</c:v>
                </c:pt>
                <c:pt idx="312">
                  <c:v>-17.7471188731214</c:v>
                </c:pt>
                <c:pt idx="313">
                  <c:v>-17.0019253490564</c:v>
                </c:pt>
                <c:pt idx="314">
                  <c:v>-16.2577203453357</c:v>
                </c:pt>
                <c:pt idx="315">
                  <c:v>-15.5145115462086</c:v>
                </c:pt>
                <c:pt idx="316">
                  <c:v>-14.7723060903571</c:v>
                </c:pt>
                <c:pt idx="317">
                  <c:v>-14.0311105863832</c:v>
                </c:pt>
                <c:pt idx="318">
                  <c:v>-13.2909311282587</c:v>
                </c:pt>
                <c:pt idx="319">
                  <c:v>-12.5517733107318</c:v>
                </c:pt>
                <c:pt idx="320">
                  <c:v>-11.8136422446866</c:v>
                </c:pt>
                <c:pt idx="321">
                  <c:v>-11.0765425724531</c:v>
                </c:pt>
                <c:pt idx="322">
                  <c:v>-10.3404784830634</c:v>
                </c:pt>
                <c:pt idx="323">
                  <c:v>-9.60545372745104</c:v>
                </c:pt>
                <c:pt idx="324">
                  <c:v>-8.87147163359057</c:v>
                </c:pt>
                <c:pt idx="325">
                  <c:v>-8.13853512157489</c:v>
                </c:pt>
                <c:pt idx="326">
                  <c:v>-7.4066467186273</c:v>
                </c:pt>
                <c:pt idx="327">
                  <c:v>-6.67580857404554</c:v>
                </c:pt>
                <c:pt idx="328">
                  <c:v>-5.94602247407696</c:v>
                </c:pt>
                <c:pt idx="329">
                  <c:v>-5.21728985672053</c:v>
                </c:pt>
                <c:pt idx="330">
                  <c:v>-4.48961182645618</c:v>
                </c:pt>
                <c:pt idx="331">
                  <c:v>-3.76298916889712</c:v>
                </c:pt>
                <c:pt idx="332">
                  <c:v>-3.03742236536623</c:v>
                </c:pt>
                <c:pt idx="333">
                  <c:v>-2.31291160739267</c:v>
                </c:pt>
                <c:pt idx="334">
                  <c:v>-1.58945681112894</c:v>
                </c:pt>
                <c:pt idx="335">
                  <c:v>-0.86705763168597</c:v>
                </c:pt>
                <c:pt idx="336">
                  <c:v>-0.145713477386472</c:v>
                </c:pt>
                <c:pt idx="337">
                  <c:v>0.574576476065655</c:v>
                </c:pt>
                <c:pt idx="338">
                  <c:v>1.29381327149977</c:v>
                </c:pt>
                <c:pt idx="339">
                  <c:v>2.01199815627816</c:v>
                </c:pt>
                <c:pt idx="340">
                  <c:v>2.72913256838127</c:v>
                </c:pt>
                <c:pt idx="341">
                  <c:v>3.4452181225789</c:v>
                </c:pt>
                <c:pt idx="342">
                  <c:v>4.16025659668792</c:v>
                </c:pt>
                <c:pt idx="343">
                  <c:v>4.87424991791717</c:v>
                </c:pt>
                <c:pt idx="344">
                  <c:v>5.58720014929916</c:v>
                </c:pt>
                <c:pt idx="345">
                  <c:v>6.29910947620883</c:v>
                </c:pt>
                <c:pt idx="346">
                  <c:v>7.0099801929705</c:v>
                </c:pt>
                <c:pt idx="347">
                  <c:v>7.71981468955116</c:v>
                </c:pt>
                <c:pt idx="348">
                  <c:v>8.42861543834184</c:v>
                </c:pt>
                <c:pt idx="349">
                  <c:v>9.1363849810258</c:v>
                </c:pt>
                <c:pt idx="350">
                  <c:v>9.84312591553366</c:v>
                </c:pt>
                <c:pt idx="351">
                  <c:v>10.548840883086</c:v>
                </c:pt>
                <c:pt idx="352">
                  <c:v>11.2535325553218</c:v>
                </c:pt>
                <c:pt idx="353">
                  <c:v>11.9572036215132</c:v>
                </c:pt>
                <c:pt idx="354">
                  <c:v>12.6598567758668</c:v>
                </c:pt>
                <c:pt idx="355">
                  <c:v>13.3614947049094</c:v>
                </c:pt>
                <c:pt idx="356">
                  <c:v>14.0621200749601</c:v>
                </c:pt>
                <c:pt idx="357">
                  <c:v>14.7617355196858</c:v>
                </c:pt>
                <c:pt idx="358">
                  <c:v>15.460343627742</c:v>
                </c:pt>
                <c:pt idx="359">
                  <c:v>16.1579469304968</c:v>
                </c:pt>
                <c:pt idx="360">
                  <c:v>16.8545478898376</c:v>
                </c:pt>
                <c:pt idx="361">
                  <c:v>17.5501488860625</c:v>
                </c:pt>
                <c:pt idx="362">
                  <c:v>18.2447522058516</c:v>
                </c:pt>
                <c:pt idx="363">
                  <c:v>18.9383600303216</c:v>
                </c:pt>
                <c:pt idx="364">
                  <c:v>19.6309744231617</c:v>
                </c:pt>
                <c:pt idx="365">
                  <c:v>20.3225973188491</c:v>
                </c:pt>
                <c:pt idx="366">
                  <c:v>21.0132305109467</c:v>
                </c:pt>
                <c:pt idx="367">
                  <c:v>21.7028756404795</c:v>
                </c:pt>
                <c:pt idx="368">
                  <c:v>22.3915341843903</c:v>
                </c:pt>
                <c:pt idx="369">
                  <c:v>23.0792074440759</c:v>
                </c:pt>
                <c:pt idx="370">
                  <c:v>23.7658965340003</c:v>
                </c:pt>
                <c:pt idx="371">
                  <c:v>24.4516023703877</c:v>
                </c:pt>
                <c:pt idx="372">
                  <c:v>25.1363256599925</c:v>
                </c:pt>
                <c:pt idx="373">
                  <c:v>25.8200668889479</c:v>
                </c:pt>
                <c:pt idx="374">
                  <c:v>26.5028263116918</c:v>
                </c:pt>
                <c:pt idx="375">
                  <c:v>27.1846039399693</c:v>
                </c:pt>
                <c:pt idx="376">
                  <c:v>27.865399531914</c:v>
                </c:pt>
                <c:pt idx="377">
                  <c:v>28.5452125812048</c:v>
                </c:pt>
                <c:pt idx="378">
                  <c:v>29.2240423063006</c:v>
                </c:pt>
                <c:pt idx="379">
                  <c:v>29.9018876397523</c:v>
                </c:pt>
                <c:pt idx="380">
                  <c:v>30.578747217591</c:v>
                </c:pt>
                <c:pt idx="381">
                  <c:v>31.2546193687943</c:v>
                </c:pt>
                <c:pt idx="382">
                  <c:v>31.9295021048297</c:v>
                </c:pt>
                <c:pt idx="383">
                  <c:v>32.6033931092762</c:v>
                </c:pt>
                <c:pt idx="384">
                  <c:v>33.2762897275226</c:v>
                </c:pt>
                <c:pt idx="385">
                  <c:v>33.948188956546</c:v>
                </c:pt>
                <c:pt idx="386">
                  <c:v>34.619087434768</c:v>
                </c:pt>
                <c:pt idx="387">
                  <c:v>35.28898143199</c:v>
                </c:pt>
                <c:pt idx="388">
                  <c:v>35.9578668394101</c:v>
                </c:pt>
                <c:pt idx="389">
                  <c:v>36.625739159719</c:v>
                </c:pt>
                <c:pt idx="390">
                  <c:v>37.2925934972787</c:v>
                </c:pt>
                <c:pt idx="391">
                  <c:v>37.9584245483821</c:v>
                </c:pt>
                <c:pt idx="392">
                  <c:v>38.6232265915977</c:v>
                </c:pt>
                <c:pt idx="393">
                  <c:v>39.2869934781967</c:v>
                </c:pt>
                <c:pt idx="394">
                  <c:v>39.9497186226672</c:v>
                </c:pt>
                <c:pt idx="395">
                  <c:v>40.6113949933131</c:v>
                </c:pt>
                <c:pt idx="396">
                  <c:v>41.2720151029432</c:v>
                </c:pt>
                <c:pt idx="397">
                  <c:v>41.9315709996475</c:v>
                </c:pt>
                <c:pt idx="398">
                  <c:v>42.5900542576651</c:v>
                </c:pt>
                <c:pt idx="399">
                  <c:v>43.2474559683443</c:v>
                </c:pt>
                <c:pt idx="400">
                  <c:v>43.9037667311968</c:v>
                </c:pt>
                <c:pt idx="401">
                  <c:v>44.5589766450469</c:v>
                </c:pt>
                <c:pt idx="402">
                  <c:v>45.2130752992792</c:v>
                </c:pt>
                <c:pt idx="403">
                  <c:v>45.8660517651845</c:v>
                </c:pt>
                <c:pt idx="404">
                  <c:v>46.5178945874088</c:v>
                </c:pt>
                <c:pt idx="405">
                  <c:v>47.1685917755041</c:v>
                </c:pt>
                <c:pt idx="406">
                  <c:v>47.8181307955864</c:v>
                </c:pt>
                <c:pt idx="407">
                  <c:v>48.4664985621014</c:v>
                </c:pt>
                <c:pt idx="408">
                  <c:v>49.1136814297004</c:v>
                </c:pt>
                <c:pt idx="409">
                  <c:v>49.7596651852303</c:v>
                </c:pt>
                <c:pt idx="410">
                  <c:v>50.4044350398379</c:v>
                </c:pt>
                <c:pt idx="411">
                  <c:v>51.047975621194</c:v>
                </c:pt>
                <c:pt idx="412">
                  <c:v>51.6902709658381</c:v>
                </c:pt>
                <c:pt idx="413">
                  <c:v>52.3313045116469</c:v>
                </c:pt>
                <c:pt idx="414">
                  <c:v>52.971059090431</c:v>
                </c:pt>
                <c:pt idx="415">
                  <c:v>53.6095169206605</c:v>
                </c:pt>
                <c:pt idx="416">
                  <c:v>54.2466596003252</c:v>
                </c:pt>
                <c:pt idx="417">
                  <c:v>54.882468099931</c:v>
                </c:pt>
                <c:pt idx="418">
                  <c:v>55.5169227556359</c:v>
                </c:pt>
                <c:pt idx="419">
                  <c:v>56.1500032625308</c:v>
                </c:pt>
                <c:pt idx="420">
                  <c:v>56.7816886680662</c:v>
                </c:pt>
                <c:pt idx="421">
                  <c:v>57.41195736563</c:v>
                </c:pt>
                <c:pt idx="422">
                  <c:v>58.0407870882802</c:v>
                </c:pt>
                <c:pt idx="423">
                  <c:v>58.6681549026349</c:v>
                </c:pt>
                <c:pt idx="424">
                  <c:v>59.2940372029259</c:v>
                </c:pt>
                <c:pt idx="425">
                  <c:v>59.9184097052165</c:v>
                </c:pt>
                <c:pt idx="426">
                  <c:v>60.5412474417912</c:v>
                </c:pt>
                <c:pt idx="427">
                  <c:v>61.1625247557186</c:v>
                </c:pt>
                <c:pt idx="428">
                  <c:v>61.7822152955931</c:v>
                </c:pt>
                <c:pt idx="429">
                  <c:v>62.4002920104597</c:v>
                </c:pt>
                <c:pt idx="430">
                  <c:v>63.0167271449247</c:v>
                </c:pt>
                <c:pt idx="431">
                  <c:v>63.6314922344591</c:v>
                </c:pt>
                <c:pt idx="432">
                  <c:v>64.2445581008968</c:v>
                </c:pt>
                <c:pt idx="433">
                  <c:v>64.8558948481341</c:v>
                </c:pt>
                <c:pt idx="434">
                  <c:v>65.4654718580334</c:v>
                </c:pt>
                <c:pt idx="435">
                  <c:v>66.0732577865365</c:v>
                </c:pt>
                <c:pt idx="436">
                  <c:v>66.6792205599924</c:v>
                </c:pt>
                <c:pt idx="437">
                  <c:v>67.2833273717039</c:v>
                </c:pt>
                <c:pt idx="438">
                  <c:v>67.8855446786967</c:v>
                </c:pt>
                <c:pt idx="439">
                  <c:v>68.485838198719</c:v>
                </c:pt>
                <c:pt idx="440">
                  <c:v>69.0841729074717</c:v>
                </c:pt>
                <c:pt idx="441">
                  <c:v>69.6805130360788</c:v>
                </c:pt>
                <c:pt idx="442">
                  <c:v>70.2748220687983</c:v>
                </c:pt>
                <c:pt idx="443">
                  <c:v>70.8670627409831</c:v>
                </c:pt>
                <c:pt idx="444">
                  <c:v>71.4571970372918</c:v>
                </c:pt>
                <c:pt idx="445">
                  <c:v>72.0451861901591</c:v>
                </c:pt>
                <c:pt idx="446">
                  <c:v>72.6309906785268</c:v>
                </c:pt>
                <c:pt idx="447">
                  <c:v>73.2145702268422</c:v>
                </c:pt>
                <c:pt idx="448">
                  <c:v>73.7958838043287</c:v>
                </c:pt>
                <c:pt idx="449">
                  <c:v>74.3748896245325</c:v>
                </c:pt>
                <c:pt idx="450">
                  <c:v>74.9515451451514</c:v>
                </c:pt>
                <c:pt idx="451">
                  <c:v>75.5258070681486</c:v>
                </c:pt>
                <c:pt idx="452">
                  <c:v>76.0976313401591</c:v>
                </c:pt>
                <c:pt idx="453">
                  <c:v>76.66697315319</c:v>
                </c:pt>
                <c:pt idx="454">
                  <c:v>77.2337869456226</c:v>
                </c:pt>
                <c:pt idx="455">
                  <c:v>77.798026403518</c:v>
                </c:pt>
                <c:pt idx="456">
                  <c:v>78.3596444622329</c:v>
                </c:pt>
                <c:pt idx="457">
                  <c:v>78.9185933083493</c:v>
                </c:pt>
                <c:pt idx="458">
                  <c:v>79.4748243819217</c:v>
                </c:pt>
                <c:pt idx="459">
                  <c:v>80.0282883790473</c:v>
                </c:pt>
                <c:pt idx="460">
                  <c:v>80.5789352547632</c:v>
                </c:pt>
                <c:pt idx="461">
                  <c:v>81.1267142262735</c:v>
                </c:pt>
                <c:pt idx="462">
                  <c:v>81.6715737765129</c:v>
                </c:pt>
                <c:pt idx="463">
                  <c:v>82.2134616580469</c:v>
                </c:pt>
                <c:pt idx="464">
                  <c:v>82.7523248973174</c:v>
                </c:pt>
                <c:pt idx="465">
                  <c:v>83.2881097992318</c:v>
                </c:pt>
                <c:pt idx="466">
                  <c:v>83.8207619521039</c:v>
                </c:pt>
                <c:pt idx="467">
                  <c:v>84.3502262329477</c:v>
                </c:pt>
                <c:pt idx="468">
                  <c:v>84.876446813127</c:v>
                </c:pt>
                <c:pt idx="469">
                  <c:v>85.3993671643662</c:v>
                </c:pt>
                <c:pt idx="470">
                  <c:v>85.9189300651218</c:v>
                </c:pt>
                <c:pt idx="471">
                  <c:v>86.4350776073222</c:v>
                </c:pt>
                <c:pt idx="472">
                  <c:v>86.9477512034729</c:v>
                </c:pt>
                <c:pt idx="473">
                  <c:v>87.4568915941343</c:v>
                </c:pt>
                <c:pt idx="474">
                  <c:v>87.962438855772</c:v>
                </c:pt>
                <c:pt idx="475">
                  <c:v>88.4643324089818</c:v>
                </c:pt>
                <c:pt idx="476">
                  <c:v>88.9625110270927</c:v>
                </c:pt>
                <c:pt idx="477">
                  <c:v>89.4569128451476</c:v>
                </c:pt>
                <c:pt idx="478">
                  <c:v>89.9474753692656</c:v>
                </c:pt>
                <c:pt idx="479">
                  <c:v>90.4341354863847</c:v>
                </c:pt>
                <c:pt idx="480">
                  <c:v>90.9168294743881</c:v>
                </c:pt>
                <c:pt idx="481">
                  <c:v>91.395493012614</c:v>
                </c:pt>
                <c:pt idx="482">
                  <c:v>91.8700611927493</c:v>
                </c:pt>
                <c:pt idx="483">
                  <c:v>92.3404685301087</c:v>
                </c:pt>
                <c:pt idx="484">
                  <c:v>92.8066489752978</c:v>
                </c:pt>
                <c:pt idx="485">
                  <c:v>93.2685359262619</c:v>
                </c:pt>
                <c:pt idx="486">
                  <c:v>93.7260622407186</c:v>
                </c:pt>
                <c:pt idx="487">
                  <c:v>94.1791602489749</c:v>
                </c:pt>
                <c:pt idx="488">
                  <c:v>94.6277617671272</c:v>
                </c:pt>
                <c:pt idx="489">
                  <c:v>95.0717981106431</c:v>
                </c:pt>
                <c:pt idx="490">
                  <c:v>95.5112001083247</c:v>
                </c:pt>
                <c:pt idx="491">
                  <c:v>95.9458981166497</c:v>
                </c:pt>
                <c:pt idx="492">
                  <c:v>96.3758220344914</c:v>
                </c:pt>
                <c:pt idx="493">
                  <c:v>96.800901318212</c:v>
                </c:pt>
                <c:pt idx="494">
                  <c:v>97.2210649971302</c:v>
                </c:pt>
                <c:pt idx="495">
                  <c:v>97.6362416893573</c:v>
                </c:pt>
                <c:pt idx="496">
                  <c:v>98.0463596180011</c:v>
                </c:pt>
                <c:pt idx="497">
                  <c:v>98.4513466277337</c:v>
                </c:pt>
                <c:pt idx="498">
                  <c:v>98.8511302017177</c:v>
                </c:pt>
                <c:pt idx="499">
                  <c:v>99.2456374788916</c:v>
                </c:pt>
                <c:pt idx="500">
                  <c:v>99.6347952716039</c:v>
                </c:pt>
                <c:pt idx="501">
                  <c:v>100.018530083598</c:v>
                </c:pt>
                <c:pt idx="502">
                  <c:v>100.396768128339</c:v>
                </c:pt>
                <c:pt idx="503">
                  <c:v>100.769435347676</c:v>
                </c:pt>
                <c:pt idx="504">
                  <c:v>101.136457430841</c:v>
                </c:pt>
                <c:pt idx="505">
                  <c:v>101.497759833777</c:v>
                </c:pt>
                <c:pt idx="506">
                  <c:v>101.853267798776</c:v>
                </c:pt>
                <c:pt idx="507">
                  <c:v>102.202906374449</c:v>
                </c:pt>
                <c:pt idx="508">
                  <c:v>102.546600435988</c:v>
                </c:pt>
                <c:pt idx="509">
                  <c:v>102.884274705746</c:v>
                </c:pt>
                <c:pt idx="510">
                  <c:v>103.215853774097</c:v>
                </c:pt>
                <c:pt idx="511">
                  <c:v>103.541262120599</c:v>
                </c:pt>
                <c:pt idx="512">
                  <c:v>103.860424135423</c:v>
                </c:pt>
                <c:pt idx="513">
                  <c:v>104.173264141069</c:v>
                </c:pt>
                <c:pt idx="514">
                  <c:v>104.479706414331</c:v>
                </c:pt>
                <c:pt idx="515">
                  <c:v>104.779675208536</c:v>
                </c:pt>
                <c:pt idx="516">
                  <c:v>105.073094776017</c:v>
                </c:pt>
                <c:pt idx="517">
                  <c:v>105.359889390831</c:v>
                </c:pt>
                <c:pt idx="518">
                  <c:v>105.639983371707</c:v>
                </c:pt>
                <c:pt idx="519">
                  <c:v>105.913301105216</c:v>
                </c:pt>
                <c:pt idx="520">
                  <c:v>106.179767069151</c:v>
                </c:pt>
                <c:pt idx="521">
                  <c:v>106.439305856106</c:v>
                </c:pt>
                <c:pt idx="522">
                  <c:v>106.691842197256</c:v>
                </c:pt>
                <c:pt idx="523">
                  <c:v>106.93730098631</c:v>
                </c:pt>
                <c:pt idx="524">
                  <c:v>107.175607303637</c:v>
                </c:pt>
                <c:pt idx="525">
                  <c:v>107.406686440562</c:v>
                </c:pt>
                <c:pt idx="526">
                  <c:v>107.630463923797</c:v>
                </c:pt>
                <c:pt idx="527">
                  <c:v>107.84686554003</c:v>
                </c:pt>
                <c:pt idx="528">
                  <c:v>108.055817360627</c:v>
                </c:pt>
                <c:pt idx="529">
                  <c:v>108.25724576646</c:v>
                </c:pt>
                <c:pt idx="530">
                  <c:v>108.451077472842</c:v>
                </c:pt>
                <c:pt idx="531">
                  <c:v>108.637239554552</c:v>
                </c:pt>
                <c:pt idx="532">
                  <c:v>108.815659470948</c:v>
                </c:pt>
                <c:pt idx="533">
                  <c:v>108.986265091147</c:v>
                </c:pt>
                <c:pt idx="534">
                  <c:v>109.148984719273</c:v>
                </c:pt>
                <c:pt idx="535">
                  <c:v>109.303747119746</c:v>
                </c:pt>
                <c:pt idx="536">
                  <c:v>109.45048154261</c:v>
                </c:pt>
                <c:pt idx="537">
                  <c:v>109.589117748883</c:v>
                </c:pt>
                <c:pt idx="538">
                  <c:v>109.719586035926</c:v>
                </c:pt>
                <c:pt idx="539">
                  <c:v>109.841817262805</c:v>
                </c:pt>
                <c:pt idx="540">
                  <c:v>109.955742875643</c:v>
                </c:pt>
                <c:pt idx="541">
                  <c:v>110.06129493295</c:v>
                </c:pt>
                <c:pt idx="542">
                  <c:v>110.158406130914</c:v>
                </c:pt>
                <c:pt idx="543">
                  <c:v>110.247009828647</c:v>
                </c:pt>
                <c:pt idx="544">
                  <c:v>110.327040073366</c:v>
                </c:pt>
                <c:pt idx="545">
                  <c:v>110.398431625499</c:v>
                </c:pt>
                <c:pt idx="546">
                  <c:v>110.46111998372</c:v>
                </c:pt>
                <c:pt idx="547">
                  <c:v>110.515041409866</c:v>
                </c:pt>
                <c:pt idx="548">
                  <c:v>110.56013295376</c:v>
                </c:pt>
                <c:pt idx="549">
                  <c:v>110.59633247791</c:v>
                </c:pt>
                <c:pt idx="550">
                  <c:v>110.623578682067</c:v>
                </c:pt>
                <c:pt idx="551">
                  <c:v>110.641811127647</c:v>
                </c:pt>
                <c:pt idx="552">
                  <c:v>110.650970261995</c:v>
                </c:pt>
                <c:pt idx="553">
                  <c:v>110.65099744247</c:v>
                </c:pt>
                <c:pt idx="554">
                  <c:v>110.641834960367</c:v>
                </c:pt>
                <c:pt idx="555">
                  <c:v>110.62342606463</c:v>
                </c:pt>
                <c:pt idx="556">
                  <c:v>110.595714985377</c:v>
                </c:pt>
                <c:pt idx="557">
                  <c:v>110.5586469572</c:v>
                </c:pt>
                <c:pt idx="558">
                  <c:v>110.512168242242</c:v>
                </c:pt>
                <c:pt idx="559">
                  <c:v>110.456226153047</c:v>
                </c:pt>
                <c:pt idx="560">
                  <c:v>110.390769075149</c:v>
                </c:pt>
                <c:pt idx="561">
                  <c:v>110.315746489416</c:v>
                </c:pt>
                <c:pt idx="562">
                  <c:v>110.231108994119</c:v>
                </c:pt>
                <c:pt idx="563">
                  <c:v>110.136808326726</c:v>
                </c:pt>
                <c:pt idx="564">
                  <c:v>110.032797385409</c:v>
                </c:pt>
                <c:pt idx="565">
                  <c:v>109.919030250256</c:v>
                </c:pt>
                <c:pt idx="566">
                  <c:v>109.795462204166</c:v>
                </c:pt>
                <c:pt idx="567">
                  <c:v>109.662049753444</c:v>
                </c:pt>
                <c:pt idx="568">
                  <c:v>109.518750648054</c:v>
                </c:pt>
                <c:pt idx="569">
                  <c:v>109.365523901552</c:v>
                </c:pt>
                <c:pt idx="570">
                  <c:v>109.20232981067</c:v>
                </c:pt>
                <c:pt idx="571">
                  <c:v>109.029129974547</c:v>
                </c:pt>
                <c:pt idx="572">
                  <c:v>108.845887313608</c:v>
                </c:pt>
                <c:pt idx="573">
                  <c:v>108.652566088069</c:v>
                </c:pt>
                <c:pt idx="574">
                  <c:v>108.449131916075</c:v>
                </c:pt>
                <c:pt idx="575">
                  <c:v>108.235551791451</c:v>
                </c:pt>
                <c:pt idx="576">
                  <c:v>108.011794101067</c:v>
                </c:pt>
                <c:pt idx="577">
                  <c:v>107.777828641809</c:v>
                </c:pt>
                <c:pt idx="578">
                  <c:v>107.533626637146</c:v>
                </c:pt>
                <c:pt idx="579">
                  <c:v>107.27916075329</c:v>
                </c:pt>
                <c:pt idx="580">
                  <c:v>107.014405114944</c:v>
                </c:pt>
                <c:pt idx="581">
                  <c:v>106.739335320633</c:v>
                </c:pt>
                <c:pt idx="582">
                  <c:v>106.453928457601</c:v>
                </c:pt>
                <c:pt idx="583">
                  <c:v>106.158163116291</c:v>
                </c:pt>
                <c:pt idx="584">
                  <c:v>105.852019404385</c:v>
                </c:pt>
                <c:pt idx="585">
                  <c:v>105.535478960403</c:v>
                </c:pt>
                <c:pt idx="586">
                  <c:v>105.208524966865</c:v>
                </c:pt>
                <c:pt idx="587">
                  <c:v>104.871142163005</c:v>
                </c:pt>
                <c:pt idx="588">
                  <c:v>104.523316857031</c:v>
                </c:pt>
                <c:pt idx="589">
                  <c:v>104.165036937939</c:v>
                </c:pt>
                <c:pt idx="590">
                  <c:v>103.796291886865</c:v>
                </c:pt>
                <c:pt idx="591">
                  <c:v>103.417072787981</c:v>
                </c:pt>
                <c:pt idx="592">
                  <c:v>103.027372338932</c:v>
                </c:pt>
                <c:pt idx="593">
                  <c:v>102.627184860805</c:v>
                </c:pt>
                <c:pt idx="594">
                  <c:v>102.216506307634</c:v>
                </c:pt>
                <c:pt idx="595">
                  <c:v>101.795334275447</c:v>
                </c:pt>
                <c:pt idx="596">
                  <c:v>101.36366801083</c:v>
                </c:pt>
                <c:pt idx="597">
                  <c:v>100.921508419039</c:v>
                </c:pt>
                <c:pt idx="598">
                  <c:v>100.468858071629</c:v>
                </c:pt>
                <c:pt idx="599">
                  <c:v>100.005721213623</c:v>
                </c:pt>
                <c:pt idx="600">
                  <c:v>99.5321037702047</c:v>
                </c:pt>
                <c:pt idx="601">
                  <c:v>99.0480133529439</c:v>
                </c:pt>
                <c:pt idx="602">
                  <c:v>98.5534592655548</c:v>
                </c:pt>
                <c:pt idx="603">
                  <c:v>98.048452509181</c:v>
                </c:pt>
                <c:pt idx="604">
                  <c:v>97.533005787216</c:v>
                </c:pt>
                <c:pt idx="605">
                  <c:v>97.0071335096547</c:v>
                </c:pt>
                <c:pt idx="606">
                  <c:v>96.4708517969807</c:v>
                </c:pt>
                <c:pt idx="607">
                  <c:v>95.9241784835888</c:v>
                </c:pt>
                <c:pt idx="608">
                  <c:v>95.3671331207455</c:v>
                </c:pt>
                <c:pt idx="609">
                  <c:v>94.7997369790894</c:v>
                </c:pt>
                <c:pt idx="610">
                  <c:v>94.2220130506732</c:v>
                </c:pt>
                <c:pt idx="611">
                  <c:v>93.63398605055</c:v>
                </c:pt>
                <c:pt idx="612">
                  <c:v>93.035682417907</c:v>
                </c:pt>
                <c:pt idx="613">
                  <c:v>92.4271303167486</c:v>
                </c:pt>
                <c:pt idx="614">
                  <c:v>91.8083596361319</c:v>
                </c:pt>
                <c:pt idx="615">
                  <c:v>91.1794019899589</c:v>
                </c:pt>
                <c:pt idx="616">
                  <c:v>90.540290716327</c:v>
                </c:pt>
                <c:pt idx="617">
                  <c:v>89.8910608764425</c:v>
                </c:pt>
                <c:pt idx="618">
                  <c:v>89.2317492531009</c:v>
                </c:pt>
                <c:pt idx="619">
                  <c:v>88.5623943487366</c:v>
                </c:pt>
                <c:pt idx="620">
                  <c:v>87.8830363830474</c:v>
                </c:pt>
                <c:pt idx="621">
                  <c:v>87.1937172901963</c:v>
                </c:pt>
                <c:pt idx="622">
                  <c:v>86.4944807155971</c:v>
                </c:pt>
                <c:pt idx="623">
                  <c:v>85.785372012285</c:v>
                </c:pt>
                <c:pt idx="624">
                  <c:v>85.0664382368806</c:v>
                </c:pt>
                <c:pt idx="625">
                  <c:v>84.3377281451474</c:v>
                </c:pt>
                <c:pt idx="626">
                  <c:v>83.5992921871515</c:v>
                </c:pt>
                <c:pt idx="627">
                  <c:v>82.8511825020263</c:v>
                </c:pt>
                <c:pt idx="628">
                  <c:v>82.0934529123467</c:v>
                </c:pt>
                <c:pt idx="629">
                  <c:v>81.3261589181192</c:v>
                </c:pt>
                <c:pt idx="630">
                  <c:v>80.5493576903914</c:v>
                </c:pt>
                <c:pt idx="631">
                  <c:v>79.7631080644881</c:v>
                </c:pt>
                <c:pt idx="632">
                  <c:v>78.9674705328764</c:v>
                </c:pt>
                <c:pt idx="633">
                  <c:v>78.162507237667</c:v>
                </c:pt>
                <c:pt idx="634">
                  <c:v>77.3482819627575</c:v>
                </c:pt>
                <c:pt idx="635">
                  <c:v>76.5248601256202</c:v>
                </c:pt>
                <c:pt idx="636">
                  <c:v>75.6923087687434</c:v>
                </c:pt>
                <c:pt idx="637">
                  <c:v>74.8506965507282</c:v>
                </c:pt>
                <c:pt idx="638">
                  <c:v>74.0000937370498</c:v>
                </c:pt>
                <c:pt idx="639">
                  <c:v>73.1405721904847</c:v>
                </c:pt>
                <c:pt idx="640">
                  <c:v>72.2722053612125</c:v>
                </c:pt>
                <c:pt idx="641">
                  <c:v>71.3950682765976</c:v>
                </c:pt>
                <c:pt idx="642">
                  <c:v>70.509237530653</c:v>
                </c:pt>
                <c:pt idx="643">
                  <c:v>69.6147912731966</c:v>
                </c:pt>
                <c:pt idx="644">
                  <c:v>68.7118091987014</c:v>
                </c:pt>
                <c:pt idx="645">
                  <c:v>67.800372534847</c:v>
                </c:pt>
                <c:pt idx="646">
                  <c:v>66.8805640307778</c:v>
                </c:pt>
                <c:pt idx="647">
                  <c:v>65.9524679450733</c:v>
                </c:pt>
                <c:pt idx="648">
                  <c:v>65.0161700334352</c:v>
                </c:pt>
                <c:pt idx="649">
                  <c:v>64.0717575360966</c:v>
                </c:pt>
                <c:pt idx="650">
                  <c:v>63.1193191649615</c:v>
                </c:pt>
                <c:pt idx="651">
                  <c:v>62.1589450904748</c:v>
                </c:pt>
                <c:pt idx="652">
                  <c:v>61.190726928234</c:v>
                </c:pt>
                <c:pt idx="653">
                  <c:v>60.2147577253416</c:v>
                </c:pt>
                <c:pt idx="654">
                  <c:v>59.2311319465098</c:v>
                </c:pt>
                <c:pt idx="655">
                  <c:v>58.2399454599174</c:v>
                </c:pt>
                <c:pt idx="656">
                  <c:v>57.2412955228262</c:v>
                </c:pt>
                <c:pt idx="657">
                  <c:v>56.2352807669637</c:v>
                </c:pt>
                <c:pt idx="658">
                  <c:v>55.2220011836717</c:v>
                </c:pt>
                <c:pt idx="659">
                  <c:v>54.2015581088338</c:v>
                </c:pt>
                <c:pt idx="660">
                  <c:v>53.1740542075766</c:v>
                </c:pt>
                <c:pt idx="661">
                  <c:v>52.1395934587601</c:v>
                </c:pt>
                <c:pt idx="662">
                  <c:v>51.0982811392527</c:v>
                </c:pt>
                <c:pt idx="663">
                  <c:v>50.050223808001</c:v>
                </c:pt>
                <c:pt idx="664">
                  <c:v>48.9955292898979</c:v>
                </c:pt>
                <c:pt idx="665">
                  <c:v>47.9343066594514</c:v>
                </c:pt>
                <c:pt idx="666">
                  <c:v>46.8666662242613</c:v>
                </c:pt>
                <c:pt idx="667">
                  <c:v>45.7927195083055</c:v>
                </c:pt>
                <c:pt idx="668">
                  <c:v>44.7125792350429</c:v>
                </c:pt>
                <c:pt idx="669">
                  <c:v>43.6263593103337</c:v>
                </c:pt>
                <c:pt idx="670">
                  <c:v>42.534174805185</c:v>
                </c:pt>
                <c:pt idx="671">
                  <c:v>41.4361419383216</c:v>
                </c:pt>
                <c:pt idx="672">
                  <c:v>40.3323780585891</c:v>
                </c:pt>
                <c:pt idx="673">
                  <c:v>39.2230016271913</c:v>
                </c:pt>
                <c:pt idx="674">
                  <c:v>38.1081321997662</c:v>
                </c:pt>
                <c:pt idx="675">
                  <c:v>36.9878904083045</c:v>
                </c:pt>
                <c:pt idx="676">
                  <c:v>35.8623979429122</c:v>
                </c:pt>
                <c:pt idx="677">
                  <c:v>34.7317775334244</c:v>
                </c:pt>
                <c:pt idx="678">
                  <c:v>33.5961529308696</c:v>
                </c:pt>
                <c:pt idx="679">
                  <c:v>32.4556488887895</c:v>
                </c:pt>
                <c:pt idx="680">
                  <c:v>31.3103911444187</c:v>
                </c:pt>
                <c:pt idx="681">
                  <c:v>30.1605063997245</c:v>
                </c:pt>
                <c:pt idx="682">
                  <c:v>29.0061223023122</c:v>
                </c:pt>
                <c:pt idx="683">
                  <c:v>27.8473674261975</c:v>
                </c:pt>
                <c:pt idx="684">
                  <c:v>26.6843712524481</c:v>
                </c:pt>
                <c:pt idx="685">
                  <c:v>25.5172641496999</c:v>
                </c:pt>
                <c:pt idx="686">
                  <c:v>24.3461773545461</c:v>
                </c:pt>
                <c:pt idx="687">
                  <c:v>23.1712429518064</c:v>
                </c:pt>
                <c:pt idx="688">
                  <c:v>21.9925938546743</c:v>
                </c:pt>
                <c:pt idx="689">
                  <c:v>20.8103637847481</c:v>
                </c:pt>
                <c:pt idx="690">
                  <c:v>19.6246872519456</c:v>
                </c:pt>
                <c:pt idx="691">
                  <c:v>18.435699534306</c:v>
                </c:pt>
                <c:pt idx="692">
                  <c:v>17.2435366576802</c:v>
                </c:pt>
                <c:pt idx="693">
                  <c:v>16.0483353753116</c:v>
                </c:pt>
                <c:pt idx="694">
                  <c:v>14.8502331473096</c:v>
                </c:pt>
                <c:pt idx="695">
                  <c:v>13.6493681200168</c:v>
                </c:pt>
                <c:pt idx="696">
                  <c:v>12.4458791052728</c:v>
                </c:pt>
                <c:pt idx="697">
                  <c:v>11.2399055595745</c:v>
                </c:pt>
                <c:pt idx="698">
                  <c:v>10.0315875631364</c:v>
                </c:pt>
                <c:pt idx="699">
                  <c:v>8.82106579885023</c:v>
                </c:pt>
                <c:pt idx="700">
                  <c:v>7.60848153114688</c:v>
                </c:pt>
                <c:pt idx="701">
                  <c:v>6.39397658476196</c:v>
                </c:pt>
                <c:pt idx="702">
                  <c:v>5.17769332340408</c:v>
                </c:pt>
                <c:pt idx="703">
                  <c:v>3.95977462833056</c:v>
                </c:pt>
                <c:pt idx="704">
                  <c:v>2.74036387682772</c:v>
                </c:pt>
                <c:pt idx="705">
                  <c:v>1.51960492060014</c:v>
                </c:pt>
                <c:pt idx="706">
                  <c:v>0.297642064067968</c:v>
                </c:pt>
                <c:pt idx="707">
                  <c:v>-0.925379957427127</c:v>
                </c:pt>
                <c:pt idx="708">
                  <c:v>-2.14931599950399</c:v>
                </c:pt>
                <c:pt idx="709">
                  <c:v>-3.37402053071528</c:v>
                </c:pt>
                <c:pt idx="710">
                  <c:v>-4.59934765460601</c:v>
                </c:pt>
                <c:pt idx="711">
                  <c:v>-5.82515113186322</c:v>
                </c:pt>
                <c:pt idx="712">
                  <c:v>-7.05128440254913</c:v>
                </c:pt>
                <c:pt idx="713">
                  <c:v>-8.27760060842299</c:v>
                </c:pt>
                <c:pt idx="714">
                  <c:v>-9.50395261534675</c:v>
                </c:pt>
                <c:pt idx="715">
                  <c:v>-10.7301930357772</c:v>
                </c:pt>
                <c:pt idx="716">
                  <c:v>-11.9561742513426</c:v>
                </c:pt>
                <c:pt idx="717">
                  <c:v>-13.1817484355026</c:v>
                </c:pt>
                <c:pt idx="718">
                  <c:v>-14.4067675762933</c:v>
                </c:pt>
                <c:pt idx="719">
                  <c:v>-15.6310834991537</c:v>
                </c:pt>
                <c:pt idx="720">
                  <c:v>-16.8545478898376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"10 posiciones (inciso e)"</c:f>
              <c:strCache>
                <c:ptCount val="1"/>
                <c:pt idx="0">
                  <c:v>10 posiciones (inciso e)</c:v>
                </c:pt>
              </c:strCache>
            </c:strRef>
          </c:tx>
          <c:spPr>
            <a:solidFill>
              <a:srgbClr val="eb6834"/>
            </a:solidFill>
            <a:ln w="63360">
              <a:noFill/>
            </a:ln>
          </c:spPr>
          <c:marker>
            <c:symbol val="circle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e) 10 posiciones'!$B$6:$B$15</c:f>
              <c:numCache>
                <c:formatCode>0.##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e) 10 posiciones'!$G$6:$G$15</c:f>
              <c:numCache>
                <c:formatCode>0.000</c:formatCode>
                <c:ptCount val="10"/>
                <c:pt idx="0">
                  <c:v>-16.8545478898376</c:v>
                </c:pt>
                <c:pt idx="1">
                  <c:v>-93.3634930115428</c:v>
                </c:pt>
                <c:pt idx="2">
                  <c:v>-119.566680080929</c:v>
                </c:pt>
                <c:pt idx="3">
                  <c:v>-89.5815714509803</c:v>
                </c:pt>
                <c:pt idx="4">
                  <c:v>-35.8972351227891</c:v>
                </c:pt>
                <c:pt idx="5">
                  <c:v>16.8545478898376</c:v>
                </c:pt>
                <c:pt idx="6">
                  <c:v>64.2445581008968</c:v>
                </c:pt>
                <c:pt idx="7">
                  <c:v>101.136457430841</c:v>
                </c:pt>
                <c:pt idx="8">
                  <c:v>108.011794101067</c:v>
                </c:pt>
                <c:pt idx="9">
                  <c:v>65.0161700334352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"Simulación MATLAB (inciso f)"</c:f>
              <c:strCache>
                <c:ptCount val="1"/>
                <c:pt idx="0">
                  <c:v>Simulación MATLAB (inciso f)</c:v>
                </c:pt>
              </c:strCache>
            </c:strRef>
          </c:tx>
          <c:spPr>
            <a:solidFill>
              <a:srgbClr val="000000"/>
            </a:solidFill>
            <a:ln w="63360">
              <a:noFill/>
            </a:ln>
          </c:spPr>
          <c:marker>
            <c:symbol val="x"/>
            <c:size val="9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f) Validacion'!$B$81:$B$90</c:f>
              <c:numCache>
                <c:formatCode>General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f) Validacion'!$D$81:$D$90</c:f>
              <c:numCache>
                <c:formatCode>0.0000</c:formatCode>
                <c:ptCount val="10"/>
                <c:pt idx="0">
                  <c:v>-16.8543812298361</c:v>
                </c:pt>
                <c:pt idx="1">
                  <c:v>-93.3617567813997</c:v>
                </c:pt>
                <c:pt idx="2">
                  <c:v>-119.564741940654</c:v>
                </c:pt>
                <c:pt idx="3">
                  <c:v>-89.5808550096683</c:v>
                </c:pt>
                <c:pt idx="4">
                  <c:v>-35.8973307312837</c:v>
                </c:pt>
                <c:pt idx="5">
                  <c:v>16.8543812298361</c:v>
                </c:pt>
                <c:pt idx="6">
                  <c:v>64.2442699183735</c:v>
                </c:pt>
                <c:pt idx="7">
                  <c:v>101.135504151995</c:v>
                </c:pt>
                <c:pt idx="8">
                  <c:v>108.010092798327</c:v>
                </c:pt>
                <c:pt idx="9">
                  <c:v>65.0148175943099</c:v>
                </c:pt>
              </c:numCache>
            </c:numRef>
          </c:yVal>
          <c:smooth val="1"/>
        </c:ser>
        <c:axId val="23266001"/>
        <c:axId val="6034075"/>
      </c:scatterChart>
      <c:valAx>
        <c:axId val="23266001"/>
        <c:scaling>
          <c:orientation val="minMax"/>
          <c:max val="360"/>
          <c:min val="0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θ2, ángulo de la manivela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034075"/>
        <c:crosses val="autoZero"/>
        <c:crossBetween val="midCat"/>
        <c:majorUnit val="36"/>
      </c:valAx>
      <c:valAx>
        <c:axId val="603407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V_B (mm/s)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326600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Aceleración del bloque A_B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"Analítico (vuelta completa)"</c:f>
              <c:strCache>
                <c:ptCount val="1"/>
                <c:pt idx="0">
                  <c:v>Analítico (vuelta completa)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Curva'!$A$6:$A$726</c:f>
              <c:numCache>
                <c:formatCode>0.0</c:formatCode>
                <c:ptCount val="7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</c:numCache>
            </c:numRef>
          </c:xVal>
          <c:yVal>
            <c:numRef>
              <c:f>'P2 Curva'!$H$6:$H$726</c:f>
              <c:numCache>
                <c:formatCode>0.000</c:formatCode>
                <c:ptCount val="721"/>
                <c:pt idx="0">
                  <c:v>-440.27609622758</c:v>
                </c:pt>
                <c:pt idx="1">
                  <c:v>-439.889380008899</c:v>
                </c:pt>
                <c:pt idx="2">
                  <c:v>-439.449180874945</c:v>
                </c:pt>
                <c:pt idx="3">
                  <c:v>-438.955477637962</c:v>
                </c:pt>
                <c:pt idx="4">
                  <c:v>-438.40825749066</c:v>
                </c:pt>
                <c:pt idx="5">
                  <c:v>-437.807516035344</c:v>
                </c:pt>
                <c:pt idx="6">
                  <c:v>-437.153257312909</c:v>
                </c:pt>
                <c:pt idx="7">
                  <c:v>-436.445493831701</c:v>
                </c:pt>
                <c:pt idx="8">
                  <c:v>-435.684246596241</c:v>
                </c:pt>
                <c:pt idx="9">
                  <c:v>-434.869545135804</c:v>
                </c:pt>
                <c:pt idx="10">
                  <c:v>-434.001427532843</c:v>
                </c:pt>
                <c:pt idx="11">
                  <c:v>-433.079940451253</c:v>
                </c:pt>
                <c:pt idx="12">
                  <c:v>-432.105139164459</c:v>
                </c:pt>
                <c:pt idx="13">
                  <c:v>-431.077087583327</c:v>
                </c:pt>
                <c:pt idx="14">
                  <c:v>-429.995858283863</c:v>
                </c:pt>
                <c:pt idx="15">
                  <c:v>-428.861532534708</c:v>
                </c:pt>
                <c:pt idx="16">
                  <c:v>-427.674200324392</c:v>
                </c:pt>
                <c:pt idx="17">
                  <c:v>-426.433960388341</c:v>
                </c:pt>
                <c:pt idx="18">
                  <c:v>-425.140920235613</c:v>
                </c:pt>
                <c:pt idx="19">
                  <c:v>-423.795196175327</c:v>
                </c:pt>
                <c:pt idx="20">
                  <c:v>-422.396913342791</c:v>
                </c:pt>
                <c:pt idx="21">
                  <c:v>-420.946205725266</c:v>
                </c:pt>
                <c:pt idx="22">
                  <c:v>-419.443216187367</c:v>
                </c:pt>
                <c:pt idx="23">
                  <c:v>-417.888096496055</c:v>
                </c:pt>
                <c:pt idx="24">
                  <c:v>-416.2810073452</c:v>
                </c:pt>
                <c:pt idx="25">
                  <c:v>-414.622118379668</c:v>
                </c:pt>
                <c:pt idx="26">
                  <c:v>-412.911608218909</c:v>
                </c:pt>
                <c:pt idx="27">
                  <c:v>-411.149664479998</c:v>
                </c:pt>
                <c:pt idx="28">
                  <c:v>-409.336483800106</c:v>
                </c:pt>
                <c:pt idx="29">
                  <c:v>-407.472271858338</c:v>
                </c:pt>
                <c:pt idx="30">
                  <c:v>-405.557243396917</c:v>
                </c:pt>
                <c:pt idx="31">
                  <c:v>-403.591622241647</c:v>
                </c:pt>
                <c:pt idx="32">
                  <c:v>-401.575641321635</c:v>
                </c:pt>
                <c:pt idx="33">
                  <c:v>-399.509542688196</c:v>
                </c:pt>
                <c:pt idx="34">
                  <c:v>-397.39357753291</c:v>
                </c:pt>
                <c:pt idx="35">
                  <c:v>-395.228006204766</c:v>
                </c:pt>
                <c:pt idx="36">
                  <c:v>-393.013098226353</c:v>
                </c:pt>
                <c:pt idx="37">
                  <c:v>-390.749132309019</c:v>
                </c:pt>
                <c:pt idx="38">
                  <c:v>-388.436396366967</c:v>
                </c:pt>
                <c:pt idx="39">
                  <c:v>-386.075187530205</c:v>
                </c:pt>
                <c:pt idx="40">
                  <c:v>-383.665812156301</c:v>
                </c:pt>
                <c:pt idx="41">
                  <c:v>-381.208585840872</c:v>
                </c:pt>
                <c:pt idx="42">
                  <c:v>-378.703833426749</c:v>
                </c:pt>
                <c:pt idx="43">
                  <c:v>-376.151889011741</c:v>
                </c:pt>
                <c:pt idx="44">
                  <c:v>-373.553095954932</c:v>
                </c:pt>
                <c:pt idx="45">
                  <c:v>-370.907806881448</c:v>
                </c:pt>
                <c:pt idx="46">
                  <c:v>-368.216383685606</c:v>
                </c:pt>
                <c:pt idx="47">
                  <c:v>-365.479197532382</c:v>
                </c:pt>
                <c:pt idx="48">
                  <c:v>-362.696628857117</c:v>
                </c:pt>
                <c:pt idx="49">
                  <c:v>-359.869067363383</c:v>
                </c:pt>
                <c:pt idx="50">
                  <c:v>-356.99691201893</c:v>
                </c:pt>
                <c:pt idx="51">
                  <c:v>-354.080571049634</c:v>
                </c:pt>
                <c:pt idx="52">
                  <c:v>-351.12046193136</c:v>
                </c:pt>
                <c:pt idx="53">
                  <c:v>-348.117011379661</c:v>
                </c:pt>
                <c:pt idx="54">
                  <c:v>-345.070655337222</c:v>
                </c:pt>
                <c:pt idx="55">
                  <c:v>-341.981838958969</c:v>
                </c:pt>
                <c:pt idx="56">
                  <c:v>-338.851016594743</c:v>
                </c:pt>
                <c:pt idx="57">
                  <c:v>-335.678651769468</c:v>
                </c:pt>
                <c:pt idx="58">
                  <c:v>-332.465217160707</c:v>
                </c:pt>
                <c:pt idx="59">
                  <c:v>-329.211194573522</c:v>
                </c:pt>
                <c:pt idx="60">
                  <c:v>-325.917074912544</c:v>
                </c:pt>
                <c:pt idx="61">
                  <c:v>-322.583358151168</c:v>
                </c:pt>
                <c:pt idx="62">
                  <c:v>-319.21055329776</c:v>
                </c:pt>
                <c:pt idx="63">
                  <c:v>-315.799178358808</c:v>
                </c:pt>
                <c:pt idx="64">
                  <c:v>-312.349760298906</c:v>
                </c:pt>
                <c:pt idx="65">
                  <c:v>-308.862834997471</c:v>
                </c:pt>
                <c:pt idx="66">
                  <c:v>-305.338947202126</c:v>
                </c:pt>
                <c:pt idx="67">
                  <c:v>-301.778650478613</c:v>
                </c:pt>
                <c:pt idx="68">
                  <c:v>-298.182507157186</c:v>
                </c:pt>
                <c:pt idx="69">
                  <c:v>-294.551088275347</c:v>
                </c:pt>
                <c:pt idx="70">
                  <c:v>-290.884973516868</c:v>
                </c:pt>
                <c:pt idx="71">
                  <c:v>-287.184751146974</c:v>
                </c:pt>
                <c:pt idx="72">
                  <c:v>-283.451017943619</c:v>
                </c:pt>
                <c:pt idx="73">
                  <c:v>-279.684379124744</c:v>
                </c:pt>
                <c:pt idx="74">
                  <c:v>-275.885448271443</c:v>
                </c:pt>
                <c:pt idx="75">
                  <c:v>-272.054847246926</c:v>
                </c:pt>
                <c:pt idx="76">
                  <c:v>-268.193206111217</c:v>
                </c:pt>
                <c:pt idx="77">
                  <c:v>-264.301163031473</c:v>
                </c:pt>
                <c:pt idx="78">
                  <c:v>-260.379364187858</c:v>
                </c:pt>
                <c:pt idx="79">
                  <c:v>-256.428463674881</c:v>
                </c:pt>
                <c:pt idx="80">
                  <c:v>-252.449123398121</c:v>
                </c:pt>
                <c:pt idx="81">
                  <c:v>-248.442012966248</c:v>
                </c:pt>
                <c:pt idx="82">
                  <c:v>-244.407809578287</c:v>
                </c:pt>
                <c:pt idx="83">
                  <c:v>-240.347197906028</c:v>
                </c:pt>
                <c:pt idx="84">
                  <c:v>-236.260869971521</c:v>
                </c:pt>
                <c:pt idx="85">
                  <c:v>-232.149525019598</c:v>
                </c:pt>
                <c:pt idx="86">
                  <c:v>-228.01386938534</c:v>
                </c:pt>
                <c:pt idx="87">
                  <c:v>-223.854616356441</c:v>
                </c:pt>
                <c:pt idx="88">
                  <c:v>-219.672486030418</c:v>
                </c:pt>
                <c:pt idx="89">
                  <c:v>-215.46820516659</c:v>
                </c:pt>
                <c:pt idx="90">
                  <c:v>-211.242507032814</c:v>
                </c:pt>
                <c:pt idx="91">
                  <c:v>-206.9961312469</c:v>
                </c:pt>
                <c:pt idx="92">
                  <c:v>-202.729823612692</c:v>
                </c:pt>
                <c:pt idx="93">
                  <c:v>-198.444335950765</c:v>
                </c:pt>
                <c:pt idx="94">
                  <c:v>-194.140425923724</c:v>
                </c:pt>
                <c:pt idx="95">
                  <c:v>-189.818856856063</c:v>
                </c:pt>
                <c:pt idx="96">
                  <c:v>-185.480397548589</c:v>
                </c:pt>
                <c:pt idx="97">
                  <c:v>-181.12582208738</c:v>
                </c:pt>
                <c:pt idx="98">
                  <c:v>-176.75590964729</c:v>
                </c:pt>
                <c:pt idx="99">
                  <c:v>-172.371444289979</c:v>
                </c:pt>
                <c:pt idx="100">
                  <c:v>-167.973214756503</c:v>
                </c:pt>
                <c:pt idx="101">
                  <c:v>-163.562014254455</c:v>
                </c:pt>
                <c:pt idx="102">
                  <c:v>-159.13864023969</c:v>
                </c:pt>
                <c:pt idx="103">
                  <c:v>-154.703894192663</c:v>
                </c:pt>
                <c:pt idx="104">
                  <c:v>-150.258581389407</c:v>
                </c:pt>
                <c:pt idx="105">
                  <c:v>-145.803510667206</c:v>
                </c:pt>
                <c:pt idx="106">
                  <c:v>-141.339494184997</c:v>
                </c:pt>
                <c:pt idx="107">
                  <c:v>-136.867347178585</c:v>
                </c:pt>
                <c:pt idx="108">
                  <c:v>-132.387887710706</c:v>
                </c:pt>
                <c:pt idx="109">
                  <c:v>-127.901936416042</c:v>
                </c:pt>
                <c:pt idx="110">
                  <c:v>-123.410316241247</c:v>
                </c:pt>
                <c:pt idx="111">
                  <c:v>-118.913852180094</c:v>
                </c:pt>
                <c:pt idx="112">
                  <c:v>-114.413371003823</c:v>
                </c:pt>
                <c:pt idx="113">
                  <c:v>-109.909700986824</c:v>
                </c:pt>
                <c:pt idx="114">
                  <c:v>-105.403671627739</c:v>
                </c:pt>
                <c:pt idx="115">
                  <c:v>-100.89611336614</c:v>
                </c:pt>
                <c:pt idx="116">
                  <c:v>-96.3878572948873</c:v>
                </c:pt>
                <c:pt idx="117">
                  <c:v>-91.8797348683387</c:v>
                </c:pt>
                <c:pt idx="118">
                  <c:v>-87.3725776065375</c:v>
                </c:pt>
                <c:pt idx="119">
                  <c:v>-82.8672167955518</c:v>
                </c:pt>
                <c:pt idx="120">
                  <c:v>-78.3644831841298</c:v>
                </c:pt>
                <c:pt idx="121">
                  <c:v>-73.8652066768482</c:v>
                </c:pt>
                <c:pt idx="122">
                  <c:v>-69.3702160239393</c:v>
                </c:pt>
                <c:pt idx="123">
                  <c:v>-64.8803385079916</c:v>
                </c:pt>
                <c:pt idx="124">
                  <c:v>-60.3963996277233</c:v>
                </c:pt>
                <c:pt idx="125">
                  <c:v>-55.9192227790444</c:v>
                </c:pt>
                <c:pt idx="126">
                  <c:v>-51.4496289336222</c:v>
                </c:pt>
                <c:pt idx="127">
                  <c:v>-46.9884363151764</c:v>
                </c:pt>
                <c:pt idx="128">
                  <c:v>-42.5364600737411</c:v>
                </c:pt>
                <c:pt idx="129">
                  <c:v>-38.0945119581331</c:v>
                </c:pt>
                <c:pt idx="130">
                  <c:v>-33.6633999868774</c:v>
                </c:pt>
                <c:pt idx="131">
                  <c:v>-29.2439281178448</c:v>
                </c:pt>
                <c:pt idx="132">
                  <c:v>-24.836895916865</c:v>
                </c:pt>
                <c:pt idx="133">
                  <c:v>-20.4430982255858</c:v>
                </c:pt>
                <c:pt idx="134">
                  <c:v>-16.0633248288517</c:v>
                </c:pt>
                <c:pt idx="135">
                  <c:v>-11.6983601218881</c:v>
                </c:pt>
                <c:pt idx="136">
                  <c:v>-7.34898277757249</c:v>
                </c:pt>
                <c:pt idx="137">
                  <c:v>-3.01596541408903</c:v>
                </c:pt>
                <c:pt idx="138">
                  <c:v>1.299925736736</c:v>
                </c:pt>
                <c:pt idx="139">
                  <c:v>5.59793116011961</c:v>
                </c:pt>
                <c:pt idx="140">
                  <c:v>9.87729838772091</c:v>
                </c:pt>
                <c:pt idx="141">
                  <c:v>14.1372823254426</c:v>
                </c:pt>
                <c:pt idx="142">
                  <c:v>18.3771455793262</c:v>
                </c:pt>
                <c:pt idx="143">
                  <c:v>22.5961587792264</c:v>
                </c:pt>
                <c:pt idx="144">
                  <c:v>26.7936008999419</c:v>
                </c:pt>
                <c:pt idx="145">
                  <c:v>30.9687595794929</c:v>
                </c:pt>
                <c:pt idx="146">
                  <c:v>35.1209314342194</c:v>
                </c:pt>
                <c:pt idx="147">
                  <c:v>39.2494223703828</c:v>
                </c:pt>
                <c:pt idx="148">
                  <c:v>43.3535478919507</c:v>
                </c:pt>
                <c:pt idx="149">
                  <c:v>47.4326334042412</c:v>
                </c:pt>
                <c:pt idx="150">
                  <c:v>51.4860145131175</c:v>
                </c:pt>
                <c:pt idx="151">
                  <c:v>55.5130373194028</c:v>
                </c:pt>
                <c:pt idx="152">
                  <c:v>59.5130587082119</c:v>
                </c:pt>
                <c:pt idx="153">
                  <c:v>63.4854466328817</c:v>
                </c:pt>
                <c:pt idx="154">
                  <c:v>67.429580393191</c:v>
                </c:pt>
                <c:pt idx="155">
                  <c:v>71.3448509075684</c:v>
                </c:pt>
                <c:pt idx="156">
                  <c:v>75.2306609789846</c:v>
                </c:pt>
                <c:pt idx="157">
                  <c:v>79.0864255542324</c:v>
                </c:pt>
                <c:pt idx="158">
                  <c:v>82.9115719763091</c:v>
                </c:pt>
                <c:pt idx="159">
                  <c:v>86.7055402296129</c:v>
                </c:pt>
                <c:pt idx="160">
                  <c:v>90.4677831776757</c:v>
                </c:pt>
                <c:pt idx="161">
                  <c:v>94.1977667931667</c:v>
                </c:pt>
                <c:pt idx="162">
                  <c:v>97.8949703798958</c:v>
                </c:pt>
                <c:pt idx="163">
                  <c:v>101.558886786576</c:v>
                </c:pt>
                <c:pt idx="164">
                  <c:v>105.189022612086</c:v>
                </c:pt>
                <c:pt idx="165">
                  <c:v>108.784898401999</c:v>
                </c:pt>
                <c:pt idx="166">
                  <c:v>112.346048836162</c:v>
                </c:pt>
                <c:pt idx="167">
                  <c:v>115.872022907099</c:v>
                </c:pt>
                <c:pt idx="168">
                  <c:v>119.362384089033</c:v>
                </c:pt>
                <c:pt idx="169">
                  <c:v>122.816710497333</c:v>
                </c:pt>
                <c:pt idx="170">
                  <c:v>126.23459503821</c:v>
                </c:pt>
                <c:pt idx="171">
                  <c:v>129.615645548485</c:v>
                </c:pt>
                <c:pt idx="172">
                  <c:v>132.959484925259</c:v>
                </c:pt>
                <c:pt idx="173">
                  <c:v>136.265751245368</c:v>
                </c:pt>
                <c:pt idx="174">
                  <c:v>139.534097874455</c:v>
                </c:pt>
                <c:pt idx="175">
                  <c:v>142.764193565563</c:v>
                </c:pt>
                <c:pt idx="176">
                  <c:v>145.95572254713</c:v>
                </c:pt>
                <c:pt idx="177">
                  <c:v>149.108384600302</c:v>
                </c:pt>
                <c:pt idx="178">
                  <c:v>152.221895125472</c:v>
                </c:pt>
                <c:pt idx="179">
                  <c:v>155.295985197988</c:v>
                </c:pt>
                <c:pt idx="180">
                  <c:v>158.330401612979</c:v>
                </c:pt>
                <c:pt idx="181">
                  <c:v>161.324906919259</c:v>
                </c:pt>
                <c:pt idx="182">
                  <c:v>164.279279442283</c:v>
                </c:pt>
                <c:pt idx="183">
                  <c:v>167.193313296156</c:v>
                </c:pt>
                <c:pt idx="184">
                  <c:v>170.066818384687</c:v>
                </c:pt>
                <c:pt idx="185">
                  <c:v>172.899620391525</c:v>
                </c:pt>
                <c:pt idx="186">
                  <c:v>175.691560759396</c:v>
                </c:pt>
                <c:pt idx="187">
                  <c:v>178.4424966585</c:v>
                </c:pt>
                <c:pt idx="188">
                  <c:v>181.152300944124</c:v>
                </c:pt>
                <c:pt idx="189">
                  <c:v>183.820862103557</c:v>
                </c:pt>
                <c:pt idx="190">
                  <c:v>186.448084192385</c:v>
                </c:pt>
                <c:pt idx="191">
                  <c:v>189.033886760285</c:v>
                </c:pt>
                <c:pt idx="192">
                  <c:v>191.578204766421</c:v>
                </c:pt>
                <c:pt idx="193">
                  <c:v>194.080988484583</c:v>
                </c:pt>
                <c:pt idx="194">
                  <c:v>196.542203398214</c:v>
                </c:pt>
                <c:pt idx="195">
                  <c:v>198.961830085471</c:v>
                </c:pt>
                <c:pt idx="196">
                  <c:v>201.339864094496</c:v>
                </c:pt>
                <c:pt idx="197">
                  <c:v>203.676315809083</c:v>
                </c:pt>
                <c:pt idx="198">
                  <c:v>205.971210304914</c:v>
                </c:pt>
                <c:pt idx="199">
                  <c:v>208.224587196593</c:v>
                </c:pt>
                <c:pt idx="200">
                  <c:v>210.436500475663</c:v>
                </c:pt>
                <c:pt idx="201">
                  <c:v>212.607018339862</c:v>
                </c:pt>
                <c:pt idx="202">
                  <c:v>214.736223013814</c:v>
                </c:pt>
                <c:pt idx="203">
                  <c:v>216.824210561437</c:v>
                </c:pt>
                <c:pt idx="204">
                  <c:v>218.871090690287</c:v>
                </c:pt>
                <c:pt idx="205">
                  <c:v>220.876986548119</c:v>
                </c:pt>
                <c:pt idx="206">
                  <c:v>222.842034511924</c:v>
                </c:pt>
                <c:pt idx="207">
                  <c:v>224.766383969712</c:v>
                </c:pt>
                <c:pt idx="208">
                  <c:v>226.650197095337</c:v>
                </c:pt>
                <c:pt idx="209">
                  <c:v>228.493648616637</c:v>
                </c:pt>
                <c:pt idx="210">
                  <c:v>230.296925577188</c:v>
                </c:pt>
                <c:pt idx="211">
                  <c:v>232.060227091977</c:v>
                </c:pt>
                <c:pt idx="212">
                  <c:v>233.783764097277</c:v>
                </c:pt>
                <c:pt idx="213">
                  <c:v>235.467759095055</c:v>
                </c:pt>
                <c:pt idx="214">
                  <c:v>237.112445892206</c:v>
                </c:pt>
                <c:pt idx="215">
                  <c:v>238.718069334926</c:v>
                </c:pt>
                <c:pt idx="216">
                  <c:v>240.284885038549</c:v>
                </c:pt>
                <c:pt idx="217">
                  <c:v>241.813159113155</c:v>
                </c:pt>
                <c:pt idx="218">
                  <c:v>243.303167885269</c:v>
                </c:pt>
                <c:pt idx="219">
                  <c:v>244.755197615963</c:v>
                </c:pt>
                <c:pt idx="220">
                  <c:v>246.169544215697</c:v>
                </c:pt>
                <c:pt idx="221">
                  <c:v>247.546512956189</c:v>
                </c:pt>
                <c:pt idx="222">
                  <c:v>248.886418179652</c:v>
                </c:pt>
                <c:pt idx="223">
                  <c:v>250.189583005705</c:v>
                </c:pt>
                <c:pt idx="224">
                  <c:v>251.456339036262</c:v>
                </c:pt>
                <c:pt idx="225">
                  <c:v>252.687026058725</c:v>
                </c:pt>
                <c:pt idx="226">
                  <c:v>253.881991747773</c:v>
                </c:pt>
                <c:pt idx="227">
                  <c:v>255.041591366057</c:v>
                </c:pt>
                <c:pt idx="228">
                  <c:v>256.166187464101</c:v>
                </c:pt>
                <c:pt idx="229">
                  <c:v>257.256149579697</c:v>
                </c:pt>
                <c:pt idx="230">
                  <c:v>258.311853937095</c:v>
                </c:pt>
                <c:pt idx="231">
                  <c:v>259.333683146254</c:v>
                </c:pt>
                <c:pt idx="232">
                  <c:v>260.322025902464</c:v>
                </c:pt>
                <c:pt idx="233">
                  <c:v>261.277276686575</c:v>
                </c:pt>
                <c:pt idx="234">
                  <c:v>262.199835466131</c:v>
                </c:pt>
                <c:pt idx="235">
                  <c:v>263.090107397653</c:v>
                </c:pt>
                <c:pt idx="236">
                  <c:v>263.948502530332</c:v>
                </c:pt>
                <c:pt idx="237">
                  <c:v>264.775435511368</c:v>
                </c:pt>
                <c:pt idx="238">
                  <c:v>265.57132529322</c:v>
                </c:pt>
                <c:pt idx="239">
                  <c:v>266.336594842961</c:v>
                </c:pt>
                <c:pt idx="240">
                  <c:v>267.071670853998</c:v>
                </c:pt>
                <c:pt idx="241">
                  <c:v>267.776983460354</c:v>
                </c:pt>
                <c:pt idx="242">
                  <c:v>268.452965953723</c:v>
                </c:pt>
                <c:pt idx="243">
                  <c:v>269.100054503499</c:v>
                </c:pt>
                <c:pt idx="244">
                  <c:v>269.718687879978</c:v>
                </c:pt>
                <c:pt idx="245">
                  <c:v>270.309307180898</c:v>
                </c:pt>
                <c:pt idx="246">
                  <c:v>270.872355561517</c:v>
                </c:pt>
                <c:pt idx="247">
                  <c:v>271.408277968368</c:v>
                </c:pt>
                <c:pt idx="248">
                  <c:v>271.917520876875</c:v>
                </c:pt>
                <c:pt idx="249">
                  <c:v>272.400532032952</c:v>
                </c:pt>
                <c:pt idx="250">
                  <c:v>272.857760198753</c:v>
                </c:pt>
                <c:pt idx="251">
                  <c:v>273.289654902678</c:v>
                </c:pt>
                <c:pt idx="252">
                  <c:v>273.696666193779</c:v>
                </c:pt>
                <c:pt idx="253">
                  <c:v>274.079244400664</c:v>
                </c:pt>
                <c:pt idx="254">
                  <c:v>274.437839895023</c:v>
                </c:pt>
                <c:pt idx="255">
                  <c:v>274.772902859848</c:v>
                </c:pt>
                <c:pt idx="256">
                  <c:v>275.084883062462</c:v>
                </c:pt>
                <c:pt idx="257">
                  <c:v>275.37422963242</c:v>
                </c:pt>
                <c:pt idx="258">
                  <c:v>275.641390844363</c:v>
                </c:pt>
                <c:pt idx="259">
                  <c:v>275.886813905881</c:v>
                </c:pt>
                <c:pt idx="260">
                  <c:v>276.110944750455</c:v>
                </c:pt>
                <c:pt idx="261">
                  <c:v>276.314227835514</c:v>
                </c:pt>
                <c:pt idx="262">
                  <c:v>276.497105945648</c:v>
                </c:pt>
                <c:pt idx="263">
                  <c:v>276.660020001026</c:v>
                </c:pt>
                <c:pt idx="264">
                  <c:v>276.80340887102</c:v>
                </c:pt>
                <c:pt idx="265">
                  <c:v>276.927709193084</c:v>
                </c:pt>
                <c:pt idx="266">
                  <c:v>277.033355196875</c:v>
                </c:pt>
                <c:pt idx="267">
                  <c:v>277.12077853363</c:v>
                </c:pt>
                <c:pt idx="268">
                  <c:v>277.190408110806</c:v>
                </c:pt>
                <c:pt idx="269">
                  <c:v>277.242669931968</c:v>
                </c:pt>
                <c:pt idx="270">
                  <c:v>277.277986941907</c:v>
                </c:pt>
                <c:pt idx="271">
                  <c:v>277.296778876985</c:v>
                </c:pt>
                <c:pt idx="272">
                  <c:v>277.299462120658</c:v>
                </c:pt>
                <c:pt idx="273">
                  <c:v>277.28644956418</c:v>
                </c:pt>
                <c:pt idx="274">
                  <c:v>277.258150472409</c:v>
                </c:pt>
                <c:pt idx="275">
                  <c:v>277.214970354727</c:v>
                </c:pt>
                <c:pt idx="276">
                  <c:v>277.157310840972</c:v>
                </c:pt>
                <c:pt idx="277">
                  <c:v>277.085569562385</c:v>
                </c:pt>
                <c:pt idx="278">
                  <c:v>277.000140037481</c:v>
                </c:pt>
                <c:pt idx="279">
                  <c:v>276.901411562799</c:v>
                </c:pt>
                <c:pt idx="280">
                  <c:v>276.789769108477</c:v>
                </c:pt>
                <c:pt idx="281">
                  <c:v>276.665593218571</c:v>
                </c:pt>
                <c:pt idx="282">
                  <c:v>276.52925991606</c:v>
                </c:pt>
                <c:pt idx="283">
                  <c:v>276.381140612458</c:v>
                </c:pt>
                <c:pt idx="284">
                  <c:v>276.221602021968</c:v>
                </c:pt>
                <c:pt idx="285">
                  <c:v>276.051006080086</c:v>
                </c:pt>
                <c:pt idx="286">
                  <c:v>275.869709866588</c:v>
                </c:pt>
                <c:pt idx="287">
                  <c:v>275.678065532805</c:v>
                </c:pt>
                <c:pt idx="288">
                  <c:v>275.476420233116</c:v>
                </c:pt>
                <c:pt idx="289">
                  <c:v>275.265116060553</c:v>
                </c:pt>
                <c:pt idx="290">
                  <c:v>275.04448998645</c:v>
                </c:pt>
                <c:pt idx="291">
                  <c:v>274.814873804032</c:v>
                </c:pt>
                <c:pt idx="292">
                  <c:v>274.576594075851</c:v>
                </c:pt>
                <c:pt idx="293">
                  <c:v>274.329972084997</c:v>
                </c:pt>
                <c:pt idx="294">
                  <c:v>274.075323789953</c:v>
                </c:pt>
                <c:pt idx="295">
                  <c:v>273.812959783047</c:v>
                </c:pt>
                <c:pt idx="296">
                  <c:v>273.543185252358</c:v>
                </c:pt>
                <c:pt idx="297">
                  <c:v>273.266299947021</c:v>
                </c:pt>
                <c:pt idx="298">
                  <c:v>272.982598145802</c:v>
                </c:pt>
                <c:pt idx="299">
                  <c:v>272.692368628875</c:v>
                </c:pt>
                <c:pt idx="300">
                  <c:v>272.395894652682</c:v>
                </c:pt>
                <c:pt idx="301">
                  <c:v>272.093453927792</c:v>
                </c:pt>
                <c:pt idx="302">
                  <c:v>271.785318599665</c:v>
                </c:pt>
                <c:pt idx="303">
                  <c:v>271.471755232214</c:v>
                </c:pt>
                <c:pt idx="304">
                  <c:v>271.153024794077</c:v>
                </c:pt>
                <c:pt idx="305">
                  <c:v>270.829382647511</c:v>
                </c:pt>
                <c:pt idx="306">
                  <c:v>270.501078539797</c:v>
                </c:pt>
                <c:pt idx="307">
                  <c:v>270.16835659708</c:v>
                </c:pt>
                <c:pt idx="308">
                  <c:v>269.831455320542</c:v>
                </c:pt>
                <c:pt idx="309">
                  <c:v>269.490607584817</c:v>
                </c:pt>
                <c:pt idx="310">
                  <c:v>269.146040638563</c:v>
                </c:pt>
                <c:pt idx="311">
                  <c:v>268.797976107096</c:v>
                </c:pt>
                <c:pt idx="312">
                  <c:v>268.446629997005</c:v>
                </c:pt>
                <c:pt idx="313">
                  <c:v>268.092212702651</c:v>
                </c:pt>
                <c:pt idx="314">
                  <c:v>267.734929014476</c:v>
                </c:pt>
                <c:pt idx="315">
                  <c:v>267.374978129036</c:v>
                </c:pt>
                <c:pt idx="316">
                  <c:v>267.012553660663</c:v>
                </c:pt>
                <c:pt idx="317">
                  <c:v>266.647843654696</c:v>
                </c:pt>
                <c:pt idx="318">
                  <c:v>266.281030602187</c:v>
                </c:pt>
                <c:pt idx="319">
                  <c:v>265.912291456007</c:v>
                </c:pt>
                <c:pt idx="320">
                  <c:v>265.541797648285</c:v>
                </c:pt>
                <c:pt idx="321">
                  <c:v>265.169715109091</c:v>
                </c:pt>
                <c:pt idx="322">
                  <c:v>264.796204286306</c:v>
                </c:pt>
                <c:pt idx="323">
                  <c:v>264.421420166599</c:v>
                </c:pt>
                <c:pt idx="324">
                  <c:v>264.045512297443</c:v>
                </c:pt>
                <c:pt idx="325">
                  <c:v>263.668624810109</c:v>
                </c:pt>
                <c:pt idx="326">
                  <c:v>263.290896443573</c:v>
                </c:pt>
                <c:pt idx="327">
                  <c:v>262.912460569255</c:v>
                </c:pt>
                <c:pt idx="328">
                  <c:v>262.533445216567</c:v>
                </c:pt>
                <c:pt idx="329">
                  <c:v>262.153973099162</c:v>
                </c:pt>
                <c:pt idx="330">
                  <c:v>261.774161641876</c:v>
                </c:pt>
                <c:pt idx="331">
                  <c:v>261.394123008265</c:v>
                </c:pt>
                <c:pt idx="332">
                  <c:v>261.013964128718</c:v>
                </c:pt>
                <c:pt idx="333">
                  <c:v>260.633786729069</c:v>
                </c:pt>
                <c:pt idx="334">
                  <c:v>260.253687359677</c:v>
                </c:pt>
                <c:pt idx="335">
                  <c:v>259.873757424912</c:v>
                </c:pt>
                <c:pt idx="336">
                  <c:v>259.494083213015</c:v>
                </c:pt>
                <c:pt idx="337">
                  <c:v>259.11474592628</c:v>
                </c:pt>
                <c:pt idx="338">
                  <c:v>258.735821711514</c:v>
                </c:pt>
                <c:pt idx="339">
                  <c:v>258.357381690748</c:v>
                </c:pt>
                <c:pt idx="340">
                  <c:v>257.979491992143</c:v>
                </c:pt>
                <c:pt idx="341">
                  <c:v>257.602213781077</c:v>
                </c:pt>
                <c:pt idx="342">
                  <c:v>257.225603291356</c:v>
                </c:pt>
                <c:pt idx="343">
                  <c:v>256.849711856536</c:v>
                </c:pt>
                <c:pt idx="344">
                  <c:v>256.474585941313</c:v>
                </c:pt>
                <c:pt idx="345">
                  <c:v>256.100267172959</c:v>
                </c:pt>
                <c:pt idx="346">
                  <c:v>255.726792372781</c:v>
                </c:pt>
                <c:pt idx="347">
                  <c:v>255.354193587565</c:v>
                </c:pt>
                <c:pt idx="348">
                  <c:v>254.982498120991</c:v>
                </c:pt>
                <c:pt idx="349">
                  <c:v>254.61172856501</c:v>
                </c:pt>
                <c:pt idx="350">
                  <c:v>254.241902831129</c:v>
                </c:pt>
                <c:pt idx="351">
                  <c:v>253.873034181628</c:v>
                </c:pt>
                <c:pt idx="352">
                  <c:v>253.505131260661</c:v>
                </c:pt>
                <c:pt idx="353">
                  <c:v>253.138198125242</c:v>
                </c:pt>
                <c:pt idx="354">
                  <c:v>252.7722342761</c:v>
                </c:pt>
                <c:pt idx="355">
                  <c:v>252.407234688392</c:v>
                </c:pt>
                <c:pt idx="356">
                  <c:v>252.04318984226</c:v>
                </c:pt>
                <c:pt idx="357">
                  <c:v>251.680085753236</c:v>
                </c:pt>
                <c:pt idx="358">
                  <c:v>251.317904002475</c:v>
                </c:pt>
                <c:pt idx="359">
                  <c:v>250.956621766816</c:v>
                </c:pt>
                <c:pt idx="360">
                  <c:v>250.596211848675</c:v>
                </c:pt>
                <c:pt idx="361">
                  <c:v>250.236642705757</c:v>
                </c:pt>
                <c:pt idx="362">
                  <c:v>249.877878480592</c:v>
                </c:pt>
                <c:pt idx="363">
                  <c:v>249.519879029896</c:v>
                </c:pt>
                <c:pt idx="364">
                  <c:v>249.162599953763</c:v>
                </c:pt>
                <c:pt idx="365">
                  <c:v>248.80599262468</c:v>
                </c:pt>
                <c:pt idx="366">
                  <c:v>248.450004216382</c:v>
                </c:pt>
                <c:pt idx="367">
                  <c:v>248.094577732555</c:v>
                </c:pt>
                <c:pt idx="368">
                  <c:v>247.739652035378</c:v>
                </c:pt>
                <c:pt idx="369">
                  <c:v>247.38516187393</c:v>
                </c:pt>
                <c:pt idx="370">
                  <c:v>247.031037912472</c:v>
                </c:pt>
                <c:pt idx="371">
                  <c:v>246.677206758599</c:v>
                </c:pt>
                <c:pt idx="372">
                  <c:v>246.323590991292</c:v>
                </c:pt>
                <c:pt idx="373">
                  <c:v>245.970109188879</c:v>
                </c:pt>
                <c:pt idx="374">
                  <c:v>245.616675956911</c:v>
                </c:pt>
                <c:pt idx="375">
                  <c:v>245.263201955987</c:v>
                </c:pt>
                <c:pt idx="376">
                  <c:v>244.909593929524</c:v>
                </c:pt>
                <c:pt idx="377">
                  <c:v>244.555754731507</c:v>
                </c:pt>
                <c:pt idx="378">
                  <c:v>244.20158335423</c:v>
                </c:pt>
                <c:pt idx="379">
                  <c:v>243.846974956049</c:v>
                </c:pt>
                <c:pt idx="380">
                  <c:v>243.491820889174</c:v>
                </c:pt>
                <c:pt idx="381">
                  <c:v>243.136008727508</c:v>
                </c:pt>
                <c:pt idx="382">
                  <c:v>242.779422294576</c:v>
                </c:pt>
                <c:pt idx="383">
                  <c:v>242.421941691545</c:v>
                </c:pt>
                <c:pt idx="384">
                  <c:v>242.063443325387</c:v>
                </c:pt>
                <c:pt idx="385">
                  <c:v>241.703799937175</c:v>
                </c:pt>
                <c:pt idx="386">
                  <c:v>241.342880630582</c:v>
                </c:pt>
                <c:pt idx="387">
                  <c:v>240.980550900562</c:v>
                </c:pt>
                <c:pt idx="388">
                  <c:v>240.616672662286</c:v>
                </c:pt>
                <c:pt idx="389">
                  <c:v>240.251104280328</c:v>
                </c:pt>
                <c:pt idx="390">
                  <c:v>239.883700598145</c:v>
                </c:pt>
                <c:pt idx="391">
                  <c:v>239.514312967883</c:v>
                </c:pt>
                <c:pt idx="392">
                  <c:v>239.142789280528</c:v>
                </c:pt>
                <c:pt idx="393">
                  <c:v>238.768973996446</c:v>
                </c:pt>
                <c:pt idx="394">
                  <c:v>238.392708176331</c:v>
                </c:pt>
                <c:pt idx="395">
                  <c:v>238.013829512605</c:v>
                </c:pt>
                <c:pt idx="396">
                  <c:v>237.632172361291</c:v>
                </c:pt>
                <c:pt idx="397">
                  <c:v>237.247567774396</c:v>
                </c:pt>
                <c:pt idx="398">
                  <c:v>236.85984353285</c:v>
                </c:pt>
                <c:pt idx="399">
                  <c:v>236.468824180004</c:v>
                </c:pt>
                <c:pt idx="400">
                  <c:v>236.074331055757</c:v>
                </c:pt>
                <c:pt idx="401">
                  <c:v>235.676182331319</c:v>
                </c:pt>
                <c:pt idx="402">
                  <c:v>235.274193044655</c:v>
                </c:pt>
                <c:pt idx="403">
                  <c:v>234.868175136649</c:v>
                </c:pt>
                <c:pt idx="404">
                  <c:v>234.457937488009</c:v>
                </c:pt>
                <c:pt idx="405">
                  <c:v>234.043285956968</c:v>
                </c:pt>
                <c:pt idx="406">
                  <c:v>233.624023417789</c:v>
                </c:pt>
                <c:pt idx="407">
                  <c:v>233.199949800143</c:v>
                </c:pt>
                <c:pt idx="408">
                  <c:v>232.770862129358</c:v>
                </c:pt>
                <c:pt idx="409">
                  <c:v>232.336554567605</c:v>
                </c:pt>
                <c:pt idx="410">
                  <c:v>231.896818456039</c:v>
                </c:pt>
                <c:pt idx="411">
                  <c:v>231.45144235793</c:v>
                </c:pt>
                <c:pt idx="412">
                  <c:v>231.000212102836</c:v>
                </c:pt>
                <c:pt idx="413">
                  <c:v>230.542910831818</c:v>
                </c:pt>
                <c:pt idx="414">
                  <c:v>230.079319043774</c:v>
                </c:pt>
                <c:pt idx="415">
                  <c:v>229.609214642888</c:v>
                </c:pt>
                <c:pt idx="416">
                  <c:v>229.132372987251</c:v>
                </c:pt>
                <c:pt idx="417">
                  <c:v>228.648566938679</c:v>
                </c:pt>
                <c:pt idx="418">
                  <c:v>228.157566913756</c:v>
                </c:pt>
                <c:pt idx="419">
                  <c:v>227.659140936148</c:v>
                </c:pt>
                <c:pt idx="420">
                  <c:v>227.153054690203</c:v>
                </c:pt>
                <c:pt idx="421">
                  <c:v>226.639071575876</c:v>
                </c:pt>
                <c:pt idx="422">
                  <c:v>226.116952765014</c:v>
                </c:pt>
                <c:pt idx="423">
                  <c:v>225.586457259022</c:v>
                </c:pt>
                <c:pt idx="424">
                  <c:v>225.047341947942</c:v>
                </c:pt>
                <c:pt idx="425">
                  <c:v>224.499361670974</c:v>
                </c:pt>
                <c:pt idx="426">
                  <c:v>223.942269278463</c:v>
                </c:pt>
                <c:pt idx="427">
                  <c:v>223.375815695387</c:v>
                </c:pt>
                <c:pt idx="428">
                  <c:v>222.799749986358</c:v>
                </c:pt>
                <c:pt idx="429">
                  <c:v>222.213819422168</c:v>
                </c:pt>
                <c:pt idx="430">
                  <c:v>221.617769547906</c:v>
                </c:pt>
                <c:pt idx="431">
                  <c:v>221.011344252663</c:v>
                </c:pt>
                <c:pt idx="432">
                  <c:v>220.394285840839</c:v>
                </c:pt>
                <c:pt idx="433">
                  <c:v>219.766335105095</c:v>
                </c:pt>
                <c:pt idx="434">
                  <c:v>219.127231400938</c:v>
                </c:pt>
                <c:pt idx="435">
                  <c:v>218.476712722977</c:v>
                </c:pt>
                <c:pt idx="436">
                  <c:v>217.81451578286</c:v>
                </c:pt>
                <c:pt idx="437">
                  <c:v>217.140376088906</c:v>
                </c:pt>
                <c:pt idx="438">
                  <c:v>216.454028027436</c:v>
                </c:pt>
                <c:pt idx="439">
                  <c:v>215.755204945834</c:v>
                </c:pt>
                <c:pt idx="440">
                  <c:v>215.043639237321</c:v>
                </c:pt>
                <c:pt idx="441">
                  <c:v>214.31906242748</c:v>
                </c:pt>
                <c:pt idx="442">
                  <c:v>213.581205262505</c:v>
                </c:pt>
                <c:pt idx="443">
                  <c:v>212.829797799208</c:v>
                </c:pt>
                <c:pt idx="444">
                  <c:v>212.064569496767</c:v>
                </c:pt>
                <c:pt idx="445">
                  <c:v>211.285249310221</c:v>
                </c:pt>
                <c:pt idx="446">
                  <c:v>210.491565785716</c:v>
                </c:pt>
                <c:pt idx="447">
                  <c:v>209.683247157491</c:v>
                </c:pt>
                <c:pt idx="448">
                  <c:v>208.860021446601</c:v>
                </c:pt>
                <c:pt idx="449">
                  <c:v>208.021616561374</c:v>
                </c:pt>
                <c:pt idx="450">
                  <c:v>207.167760399582</c:v>
                </c:pt>
                <c:pt idx="451">
                  <c:v>206.298180952331</c:v>
                </c:pt>
                <c:pt idx="452">
                  <c:v>205.412606409634</c:v>
                </c:pt>
                <c:pt idx="453">
                  <c:v>204.51076526768</c:v>
                </c:pt>
                <c:pt idx="454">
                  <c:v>203.592386437741</c:v>
                </c:pt>
                <c:pt idx="455">
                  <c:v>202.657199356747</c:v>
                </c:pt>
                <c:pt idx="456">
                  <c:v>201.704934099456</c:v>
                </c:pt>
                <c:pt idx="457">
                  <c:v>200.735321492225</c:v>
                </c:pt>
                <c:pt idx="458">
                  <c:v>199.748093228355</c:v>
                </c:pt>
                <c:pt idx="459">
                  <c:v>198.742981984955</c:v>
                </c:pt>
                <c:pt idx="460">
                  <c:v>197.719721541323</c:v>
                </c:pt>
                <c:pt idx="461">
                  <c:v>196.678046898786</c:v>
                </c:pt>
                <c:pt idx="462">
                  <c:v>195.617694401983</c:v>
                </c:pt>
                <c:pt idx="463">
                  <c:v>194.538401861526</c:v>
                </c:pt>
                <c:pt idx="464">
                  <c:v>193.439908678022</c:v>
                </c:pt>
                <c:pt idx="465">
                  <c:v>192.321955967398</c:v>
                </c:pt>
                <c:pt idx="466">
                  <c:v>191.184286687484</c:v>
                </c:pt>
                <c:pt idx="467">
                  <c:v>190.026645765807</c:v>
                </c:pt>
                <c:pt idx="468">
                  <c:v>188.848780228541</c:v>
                </c:pt>
                <c:pt idx="469">
                  <c:v>187.650439330568</c:v>
                </c:pt>
                <c:pt idx="470">
                  <c:v>186.43137468658</c:v>
                </c:pt>
                <c:pt idx="471">
                  <c:v>185.191340403168</c:v>
                </c:pt>
                <c:pt idx="472">
                  <c:v>183.930093211851</c:v>
                </c:pt>
                <c:pt idx="473">
                  <c:v>182.647392602957</c:v>
                </c:pt>
                <c:pt idx="474">
                  <c:v>181.343000960305</c:v>
                </c:pt>
                <c:pt idx="475">
                  <c:v>180.016683696623</c:v>
                </c:pt>
                <c:pt idx="476">
                  <c:v>178.668209389617</c:v>
                </c:pt>
                <c:pt idx="477">
                  <c:v>177.297349918636</c:v>
                </c:pt>
                <c:pt idx="478">
                  <c:v>175.903880601843</c:v>
                </c:pt>
                <c:pt idx="479">
                  <c:v>174.487580333824</c:v>
                </c:pt>
                <c:pt idx="480">
                  <c:v>173.04823172355</c:v>
                </c:pt>
                <c:pt idx="481">
                  <c:v>171.585621232626</c:v>
                </c:pt>
                <c:pt idx="482">
                  <c:v>170.099539313717</c:v>
                </c:pt>
                <c:pt idx="483">
                  <c:v>168.589780549091</c:v>
                </c:pt>
                <c:pt idx="484">
                  <c:v>167.056143789184</c:v>
                </c:pt>
                <c:pt idx="485">
                  <c:v>165.498432291099</c:v>
                </c:pt>
                <c:pt idx="486">
                  <c:v>163.916453856938</c:v>
                </c:pt>
                <c:pt idx="487">
                  <c:v>162.3100209719</c:v>
                </c:pt>
                <c:pt idx="488">
                  <c:v>160.67895094203</c:v>
                </c:pt>
                <c:pt idx="489">
                  <c:v>159.023066031528</c:v>
                </c:pt>
                <c:pt idx="490">
                  <c:v>157.342193599542</c:v>
                </c:pt>
                <c:pt idx="491">
                  <c:v>155.636166236315</c:v>
                </c:pt>
                <c:pt idx="492">
                  <c:v>153.904821898615</c:v>
                </c:pt>
                <c:pt idx="493">
                  <c:v>152.148004044342</c:v>
                </c:pt>
                <c:pt idx="494">
                  <c:v>150.365561766202</c:v>
                </c:pt>
                <c:pt idx="495">
                  <c:v>148.557349924363</c:v>
                </c:pt>
                <c:pt idx="496">
                  <c:v>146.723229277978</c:v>
                </c:pt>
                <c:pt idx="497">
                  <c:v>144.863066615479</c:v>
                </c:pt>
                <c:pt idx="498">
                  <c:v>142.976734883545</c:v>
                </c:pt>
                <c:pt idx="499">
                  <c:v>141.064113314628</c:v>
                </c:pt>
                <c:pt idx="500">
                  <c:v>139.125087552948</c:v>
                </c:pt>
                <c:pt idx="501">
                  <c:v>137.159549778842</c:v>
                </c:pt>
                <c:pt idx="502">
                  <c:v>135.167398831375</c:v>
                </c:pt>
                <c:pt idx="503">
                  <c:v>133.148540329099</c:v>
                </c:pt>
                <c:pt idx="504">
                  <c:v>131.102886788871</c:v>
                </c:pt>
                <c:pt idx="505">
                  <c:v>129.03035774261</c:v>
                </c:pt>
                <c:pt idx="506">
                  <c:v>126.930879851911</c:v>
                </c:pt>
                <c:pt idx="507">
                  <c:v>124.804387020403</c:v>
                </c:pt>
                <c:pt idx="508">
                  <c:v>122.650820503749</c:v>
                </c:pt>
                <c:pt idx="509">
                  <c:v>120.470129017203</c:v>
                </c:pt>
                <c:pt idx="510">
                  <c:v>118.262268840607</c:v>
                </c:pt>
                <c:pt idx="511">
                  <c:v>116.02720392075</c:v>
                </c:pt>
                <c:pt idx="512">
                  <c:v>113.764905970981</c:v>
                </c:pt>
                <c:pt idx="513">
                  <c:v>111.475354567982</c:v>
                </c:pt>
                <c:pt idx="514">
                  <c:v>109.158537245622</c:v>
                </c:pt>
                <c:pt idx="515">
                  <c:v>106.814449585788</c:v>
                </c:pt>
                <c:pt idx="516">
                  <c:v>104.443095306104</c:v>
                </c:pt>
                <c:pt idx="517">
                  <c:v>102.044486344465</c:v>
                </c:pt>
                <c:pt idx="518">
                  <c:v>99.6186429402898</c:v>
                </c:pt>
                <c:pt idx="519">
                  <c:v>97.1655937124082</c:v>
                </c:pt>
                <c:pt idx="520">
                  <c:v>94.6853757335174</c:v>
                </c:pt>
                <c:pt idx="521">
                  <c:v>92.1780346011161</c:v>
                </c:pt>
                <c:pt idx="522">
                  <c:v>89.643624504846</c:v>
                </c:pt>
                <c:pt idx="523">
                  <c:v>87.0822082901738</c:v>
                </c:pt>
                <c:pt idx="524">
                  <c:v>84.4938575183349</c:v>
                </c:pt>
                <c:pt idx="525">
                  <c:v>81.8786525224843</c:v>
                </c:pt>
                <c:pt idx="526">
                  <c:v>79.2366824599804</c:v>
                </c:pt>
                <c:pt idx="527">
                  <c:v>76.5680453607494</c:v>
                </c:pt>
                <c:pt idx="528">
                  <c:v>73.8728481716714</c:v>
                </c:pt>
                <c:pt idx="529">
                  <c:v>71.151206796932</c:v>
                </c:pt>
                <c:pt idx="530">
                  <c:v>68.4032461342964</c:v>
                </c:pt>
                <c:pt idx="531">
                  <c:v>65.6291001072484</c:v>
                </c:pt>
                <c:pt idx="532">
                  <c:v>62.8289116929642</c:v>
                </c:pt>
                <c:pt idx="533">
                  <c:v>60.0028329460709</c:v>
                </c:pt>
                <c:pt idx="534">
                  <c:v>57.1510250181617</c:v>
                </c:pt>
                <c:pt idx="535">
                  <c:v>54.2736581730305</c:v>
                </c:pt>
                <c:pt idx="536">
                  <c:v>51.3709117975988</c:v>
                </c:pt>
                <c:pt idx="537">
                  <c:v>48.4429744085159</c:v>
                </c:pt>
                <c:pt idx="538">
                  <c:v>45.4900436544028</c:v>
                </c:pt>
                <c:pt idx="539">
                  <c:v>42.5123263137322</c:v>
                </c:pt>
                <c:pt idx="540">
                  <c:v>39.5100382883249</c:v>
                </c:pt>
                <c:pt idx="541">
                  <c:v>36.483404592461</c:v>
                </c:pt>
                <c:pt idx="542">
                  <c:v>33.432659337592</c:v>
                </c:pt>
                <c:pt idx="543">
                  <c:v>30.3580457126627</c:v>
                </c:pt>
                <c:pt idx="544">
                  <c:v>27.2598159600426</c:v>
                </c:pt>
                <c:pt idx="545">
                  <c:v>24.1382313470687</c:v>
                </c:pt>
                <c:pt idx="546">
                  <c:v>20.9935621332217</c:v>
                </c:pt>
                <c:pt idx="547">
                  <c:v>17.82608753294</c:v>
                </c:pt>
                <c:pt idx="548">
                  <c:v>14.6360956740996</c:v>
                </c:pt>
                <c:pt idx="549">
                  <c:v>11.4238835521766</c:v>
                </c:pt>
                <c:pt idx="550">
                  <c:v>8.18975698012161</c:v>
                </c:pt>
                <c:pt idx="551">
                  <c:v>4.9340305339798</c:v>
                </c:pt>
                <c:pt idx="552">
                  <c:v>1.65702749428322</c:v>
                </c:pt>
                <c:pt idx="553">
                  <c:v>-1.64092021673401</c:v>
                </c:pt>
                <c:pt idx="554">
                  <c:v>-4.95947210207181</c:v>
                </c:pt>
                <c:pt idx="555">
                  <c:v>-8.29827916098758</c:v>
                </c:pt>
                <c:pt idx="556">
                  <c:v>-11.6569839640753</c:v>
                </c:pt>
                <c:pt idx="557">
                  <c:v>-15.0352207323327</c:v>
                </c:pt>
                <c:pt idx="558">
                  <c:v>-18.4326154201725</c:v>
                </c:pt>
                <c:pt idx="559">
                  <c:v>-21.8487858023105</c:v>
                </c:pt>
                <c:pt idx="560">
                  <c:v>-25.2833415644702</c:v>
                </c:pt>
                <c:pt idx="561">
                  <c:v>-28.735884397841</c:v>
                </c:pt>
                <c:pt idx="562">
                  <c:v>-32.2060080972149</c:v>
                </c:pt>
                <c:pt idx="563">
                  <c:v>-35.6932986627389</c:v>
                </c:pt>
                <c:pt idx="564">
                  <c:v>-39.1973344051982</c:v>
                </c:pt>
                <c:pt idx="565">
                  <c:v>-42.7176860547628</c:v>
                </c:pt>
                <c:pt idx="566">
                  <c:v>-46.253916873111</c:v>
                </c:pt>
                <c:pt idx="567">
                  <c:v>-49.8055827688486</c:v>
                </c:pt>
                <c:pt idx="568">
                  <c:v>-53.3722324161442</c:v>
                </c:pt>
                <c:pt idx="569">
                  <c:v>-56.9534073764831</c:v>
                </c:pt>
                <c:pt idx="570">
                  <c:v>-60.5486422234634</c:v>
                </c:pt>
                <c:pt idx="571">
                  <c:v>-64.1574646705322</c:v>
                </c:pt>
                <c:pt idx="572">
                  <c:v>-67.7793957015766</c:v>
                </c:pt>
                <c:pt idx="573">
                  <c:v>-71.413949704269</c:v>
                </c:pt>
                <c:pt idx="574">
                  <c:v>-75.0606346060754</c:v>
                </c:pt>
                <c:pt idx="575">
                  <c:v>-78.7189520128233</c:v>
                </c:pt>
                <c:pt idx="576">
                  <c:v>-82.3883973497361</c:v>
                </c:pt>
                <c:pt idx="577">
                  <c:v>-86.0684600048295</c:v>
                </c:pt>
                <c:pt idx="578">
                  <c:v>-89.7586234745673</c:v>
                </c:pt>
                <c:pt idx="579">
                  <c:v>-93.4583655116785</c:v>
                </c:pt>
                <c:pt idx="580">
                  <c:v>-97.1671582750282</c:v>
                </c:pt>
                <c:pt idx="581">
                  <c:v>-100.884468481441</c:v>
                </c:pt>
                <c:pt idx="582">
                  <c:v>-104.609757559372</c:v>
                </c:pt>
                <c:pt idx="583">
                  <c:v>-108.342481804315</c:v>
                </c:pt>
                <c:pt idx="584">
                  <c:v>-112.082092535856</c:v>
                </c:pt>
                <c:pt idx="585">
                  <c:v>-115.82803625625</c:v>
                </c:pt>
                <c:pt idx="586">
                  <c:v>-119.579754810422</c:v>
                </c:pt>
                <c:pt idx="587">
                  <c:v>-123.336685547301</c:v>
                </c:pt>
                <c:pt idx="588">
                  <c:v>-127.098261482351</c:v>
                </c:pt>
                <c:pt idx="589">
                  <c:v>-130.863911461227</c:v>
                </c:pt>
                <c:pt idx="590">
                  <c:v>-134.633060324429</c:v>
                </c:pt>
                <c:pt idx="591">
                  <c:v>-138.405129072858</c:v>
                </c:pt>
                <c:pt idx="592">
                  <c:v>-142.179535034175</c:v>
                </c:pt>
                <c:pt idx="593">
                  <c:v>-145.95569202985</c:v>
                </c:pt>
                <c:pt idx="594">
                  <c:v>-149.733010542815</c:v>
                </c:pt>
                <c:pt idx="595">
                  <c:v>-153.510897885599</c:v>
                </c:pt>
                <c:pt idx="596">
                  <c:v>-157.28875836887</c:v>
                </c:pt>
                <c:pt idx="597">
                  <c:v>-161.06599347027</c:v>
                </c:pt>
                <c:pt idx="598">
                  <c:v>-164.842002003443</c:v>
                </c:pt>
                <c:pt idx="599">
                  <c:v>-168.616180287182</c:v>
                </c:pt>
                <c:pt idx="600">
                  <c:v>-172.387922314577</c:v>
                </c:pt>
                <c:pt idx="601">
                  <c:v>-176.156619922082</c:v>
                </c:pt>
                <c:pt idx="602">
                  <c:v>-179.921662958417</c:v>
                </c:pt>
                <c:pt idx="603">
                  <c:v>-183.682439453202</c:v>
                </c:pt>
                <c:pt idx="604">
                  <c:v>-187.438335785248</c:v>
                </c:pt>
                <c:pt idx="605">
                  <c:v>-191.188736850415</c:v>
                </c:pt>
                <c:pt idx="606">
                  <c:v>-194.933026228951</c:v>
                </c:pt>
                <c:pt idx="607">
                  <c:v>-198.670586352235</c:v>
                </c:pt>
                <c:pt idx="608">
                  <c:v>-202.400798668846</c:v>
                </c:pt>
                <c:pt idx="609">
                  <c:v>-206.123043809877</c:v>
                </c:pt>
                <c:pt idx="610">
                  <c:v>-209.836701753421</c:v>
                </c:pt>
                <c:pt idx="611">
                  <c:v>-213.541151988151</c:v>
                </c:pt>
                <c:pt idx="612">
                  <c:v>-217.235773675943</c:v>
                </c:pt>
                <c:pt idx="613">
                  <c:v>-220.919945813442</c:v>
                </c:pt>
                <c:pt idx="614">
                  <c:v>-224.593047392536</c:v>
                </c:pt>
                <c:pt idx="615">
                  <c:v>-228.254457559656</c:v>
                </c:pt>
                <c:pt idx="616">
                  <c:v>-231.903555773847</c:v>
                </c:pt>
                <c:pt idx="617">
                  <c:v>-235.539721963557</c:v>
                </c:pt>
                <c:pt idx="618">
                  <c:v>-239.162336682069</c:v>
                </c:pt>
                <c:pt idx="619">
                  <c:v>-242.770781261549</c:v>
                </c:pt>
                <c:pt idx="620">
                  <c:v>-246.364437965636</c:v>
                </c:pt>
                <c:pt idx="621">
                  <c:v>-249.942690140538</c:v>
                </c:pt>
                <c:pt idx="622">
                  <c:v>-253.504922364583</c:v>
                </c:pt>
                <c:pt idx="623">
                  <c:v>-257.050520596181</c:v>
                </c:pt>
                <c:pt idx="624">
                  <c:v>-260.578872320153</c:v>
                </c:pt>
                <c:pt idx="625">
                  <c:v>-264.0893666924</c:v>
                </c:pt>
                <c:pt idx="626">
                  <c:v>-267.581394682858</c:v>
                </c:pt>
                <c:pt idx="627">
                  <c:v>-271.054349216715</c:v>
                </c:pt>
                <c:pt idx="628">
                  <c:v>-274.507625313863</c:v>
                </c:pt>
                <c:pt idx="629">
                  <c:v>-277.940620226537</c:v>
                </c:pt>
                <c:pt idx="630">
                  <c:v>-281.352733575139</c:v>
                </c:pt>
                <c:pt idx="631">
                  <c:v>-284.743367482201</c:v>
                </c:pt>
                <c:pt idx="632">
                  <c:v>-288.111926704475</c:v>
                </c:pt>
                <c:pt idx="633">
                  <c:v>-291.45781876313</c:v>
                </c:pt>
                <c:pt idx="634">
                  <c:v>-294.780454072033</c:v>
                </c:pt>
                <c:pt idx="635">
                  <c:v>-298.079246064104</c:v>
                </c:pt>
                <c:pt idx="636">
                  <c:v>-301.353611315726</c:v>
                </c:pt>
                <c:pt idx="637">
                  <c:v>-304.602969669205</c:v>
                </c:pt>
                <c:pt idx="638">
                  <c:v>-307.826744353263</c:v>
                </c:pt>
                <c:pt idx="639">
                  <c:v>-311.024362101567</c:v>
                </c:pt>
                <c:pt idx="640">
                  <c:v>-314.195253269277</c:v>
                </c:pt>
                <c:pt idx="641">
                  <c:v>-317.338851947619</c:v>
                </c:pt>
                <c:pt idx="642">
                  <c:v>-320.454596076482</c:v>
                </c:pt>
                <c:pt idx="643">
                  <c:v>-323.541927555025</c:v>
                </c:pt>
                <c:pt idx="644">
                  <c:v>-326.600292350325</c:v>
                </c:pt>
                <c:pt idx="645">
                  <c:v>-329.629140604036</c:v>
                </c:pt>
                <c:pt idx="646">
                  <c:v>-332.627926737093</c:v>
                </c:pt>
                <c:pt idx="647">
                  <c:v>-335.596109552454</c:v>
                </c:pt>
                <c:pt idx="648">
                  <c:v>-338.533152335895</c:v>
                </c:pt>
                <c:pt idx="649">
                  <c:v>-341.438522954864</c:v>
                </c:pt>
                <c:pt idx="650">
                  <c:v>-344.311693955412</c:v>
                </c:pt>
                <c:pt idx="651">
                  <c:v>-347.152142657211</c:v>
                </c:pt>
                <c:pt idx="652">
                  <c:v>-349.959351246679</c:v>
                </c:pt>
                <c:pt idx="653">
                  <c:v>-352.732806868223</c:v>
                </c:pt>
                <c:pt idx="654">
                  <c:v>-355.472001713616</c:v>
                </c:pt>
                <c:pt idx="655">
                  <c:v>-358.176433109544</c:v>
                </c:pt>
                <c:pt idx="656">
                  <c:v>-360.845603603321</c:v>
                </c:pt>
                <c:pt idx="657">
                  <c:v>-363.479021046807</c:v>
                </c:pt>
                <c:pt idx="658">
                  <c:v>-366.076198678548</c:v>
                </c:pt>
                <c:pt idx="659">
                  <c:v>-368.636655204167</c:v>
                </c:pt>
                <c:pt idx="660">
                  <c:v>-371.159914875023</c:v>
                </c:pt>
                <c:pt idx="661">
                  <c:v>-373.645507565165</c:v>
                </c:pt>
                <c:pt idx="662">
                  <c:v>-376.092968846616</c:v>
                </c:pt>
                <c:pt idx="663">
                  <c:v>-378.501840063003</c:v>
                </c:pt>
                <c:pt idx="664">
                  <c:v>-380.871668401569</c:v>
                </c:pt>
                <c:pt idx="665">
                  <c:v>-383.202006963592</c:v>
                </c:pt>
                <c:pt idx="666">
                  <c:v>-385.492414833245</c:v>
                </c:pt>
                <c:pt idx="667">
                  <c:v>-387.742457144923</c:v>
                </c:pt>
                <c:pt idx="668">
                  <c:v>-389.951705149066</c:v>
                </c:pt>
                <c:pt idx="669">
                  <c:v>-392.119736276521</c:v>
                </c:pt>
                <c:pt idx="670">
                  <c:v>-394.246134201455</c:v>
                </c:pt>
                <c:pt idx="671">
                  <c:v>-396.330488902874</c:v>
                </c:pt>
                <c:pt idx="672">
                  <c:v>-398.372396724764</c:v>
                </c:pt>
                <c:pt idx="673">
                  <c:v>-400.371460434889</c:v>
                </c:pt>
                <c:pt idx="674">
                  <c:v>-402.327289282293</c:v>
                </c:pt>
                <c:pt idx="675">
                  <c:v>-404.239499053516</c:v>
                </c:pt>
                <c:pt idx="676">
                  <c:v>-406.107712127586</c:v>
                </c:pt>
                <c:pt idx="677">
                  <c:v>-407.931557529788</c:v>
                </c:pt>
                <c:pt idx="678">
                  <c:v>-409.710670984281</c:v>
                </c:pt>
                <c:pt idx="679">
                  <c:v>-411.44469496556</c:v>
                </c:pt>
                <c:pt idx="680">
                  <c:v>-413.133278748828</c:v>
                </c:pt>
                <c:pt idx="681">
                  <c:v>-414.776078459292</c:v>
                </c:pt>
                <c:pt idx="682">
                  <c:v>-416.372757120423</c:v>
                </c:pt>
                <c:pt idx="683">
                  <c:v>-417.922984701221</c:v>
                </c:pt>
                <c:pt idx="684">
                  <c:v>-419.426438162505</c:v>
                </c:pt>
                <c:pt idx="685">
                  <c:v>-420.88280150227</c:v>
                </c:pt>
                <c:pt idx="686">
                  <c:v>-422.291765800151</c:v>
                </c:pt>
                <c:pt idx="687">
                  <c:v>-423.653029261006</c:v>
                </c:pt>
                <c:pt idx="688">
                  <c:v>-424.966297257674</c:v>
                </c:pt>
                <c:pt idx="689">
                  <c:v>-426.231282372926</c:v>
                </c:pt>
                <c:pt idx="690">
                  <c:v>-427.447704440647</c:v>
                </c:pt>
                <c:pt idx="691">
                  <c:v>-428.615290586275</c:v>
                </c:pt>
                <c:pt idx="692">
                  <c:v>-429.733775266538</c:v>
                </c:pt>
                <c:pt idx="693">
                  <c:v>-430.802900308505</c:v>
                </c:pt>
                <c:pt idx="694">
                  <c:v>-431.822414948004</c:v>
                </c:pt>
                <c:pt idx="695">
                  <c:v>-432.792075867405</c:v>
                </c:pt>
                <c:pt idx="696">
                  <c:v>-433.711647232829</c:v>
                </c:pt>
                <c:pt idx="697">
                  <c:v>-434.58090073079</c:v>
                </c:pt>
                <c:pt idx="698">
                  <c:v>-435.399615604305</c:v>
                </c:pt>
                <c:pt idx="699">
                  <c:v>-436.167578688506</c:v>
                </c:pt>
                <c:pt idx="700">
                  <c:v>-436.884584445761</c:v>
                </c:pt>
                <c:pt idx="701">
                  <c:v>-437.550435000355</c:v>
                </c:pt>
                <c:pt idx="702">
                  <c:v>-438.164940172739</c:v>
                </c:pt>
                <c:pt idx="703">
                  <c:v>-438.72791751337</c:v>
                </c:pt>
                <c:pt idx="704">
                  <c:v>-439.23919233618</c:v>
                </c:pt>
                <c:pt idx="705">
                  <c:v>-439.69859775168</c:v>
                </c:pt>
                <c:pt idx="706">
                  <c:v>-440.105974699733</c:v>
                </c:pt>
                <c:pt idx="707">
                  <c:v>-440.461171982013</c:v>
                </c:pt>
                <c:pt idx="708">
                  <c:v>-440.764046294159</c:v>
                </c:pt>
                <c:pt idx="709">
                  <c:v>-441.014462257664</c:v>
                </c:pt>
                <c:pt idx="710">
                  <c:v>-441.2122924515</c:v>
                </c:pt>
                <c:pt idx="711">
                  <c:v>-441.357417443502</c:v>
                </c:pt>
                <c:pt idx="712">
                  <c:v>-441.449725821524</c:v>
                </c:pt>
                <c:pt idx="713">
                  <c:v>-441.489114224387</c:v>
                </c:pt>
                <c:pt idx="714">
                  <c:v>-441.475487372627</c:v>
                </c:pt>
                <c:pt idx="715">
                  <c:v>-441.408758099056</c:v>
                </c:pt>
                <c:pt idx="716">
                  <c:v>-441.288847379157</c:v>
                </c:pt>
                <c:pt idx="717">
                  <c:v>-441.115684361302</c:v>
                </c:pt>
                <c:pt idx="718">
                  <c:v>-440.889206396828</c:v>
                </c:pt>
                <c:pt idx="719">
                  <c:v>-440.609359069957</c:v>
                </c:pt>
                <c:pt idx="720">
                  <c:v>-440.27609622758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"10 posiciones (inciso e)"</c:f>
              <c:strCache>
                <c:ptCount val="1"/>
                <c:pt idx="0">
                  <c:v>10 posiciones (inciso e)</c:v>
                </c:pt>
              </c:strCache>
            </c:strRef>
          </c:tx>
          <c:spPr>
            <a:solidFill>
              <a:srgbClr val="eb6834"/>
            </a:solidFill>
            <a:ln w="63360">
              <a:noFill/>
            </a:ln>
          </c:spPr>
          <c:marker>
            <c:symbol val="circle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e) 10 posiciones'!$B$6:$B$15</c:f>
              <c:numCache>
                <c:formatCode>0.##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e) 10 posiciones'!$I$6:$I$15</c:f>
              <c:numCache>
                <c:formatCode>0.000</c:formatCode>
                <c:ptCount val="10"/>
                <c:pt idx="0">
                  <c:v>-440.27609622758</c:v>
                </c:pt>
                <c:pt idx="1">
                  <c:v>-283.451017943619</c:v>
                </c:pt>
                <c:pt idx="2">
                  <c:v>26.7936008999419</c:v>
                </c:pt>
                <c:pt idx="3">
                  <c:v>240.284885038549</c:v>
                </c:pt>
                <c:pt idx="4">
                  <c:v>275.476420233116</c:v>
                </c:pt>
                <c:pt idx="5">
                  <c:v>250.596211848675</c:v>
                </c:pt>
                <c:pt idx="6">
                  <c:v>220.394285840839</c:v>
                </c:pt>
                <c:pt idx="7">
                  <c:v>131.102886788871</c:v>
                </c:pt>
                <c:pt idx="8">
                  <c:v>-82.3883973497361</c:v>
                </c:pt>
                <c:pt idx="9">
                  <c:v>-338.533152335895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"Simulación MATLAB (inciso f)"</c:f>
              <c:strCache>
                <c:ptCount val="1"/>
                <c:pt idx="0">
                  <c:v>Simulación MATLAB (inciso f)</c:v>
                </c:pt>
              </c:strCache>
            </c:strRef>
          </c:tx>
          <c:spPr>
            <a:solidFill>
              <a:srgbClr val="000000"/>
            </a:solidFill>
            <a:ln w="63360">
              <a:noFill/>
            </a:ln>
          </c:spPr>
          <c:marker>
            <c:symbol val="x"/>
            <c:size val="9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f) Validacion'!$B$109:$B$118</c:f>
              <c:numCache>
                <c:formatCode>General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f) Validacion'!$D$109:$D$118</c:f>
              <c:numCache>
                <c:formatCode>0.0000</c:formatCode>
                <c:ptCount val="10"/>
                <c:pt idx="0">
                  <c:v>-440.271641742538</c:v>
                </c:pt>
                <c:pt idx="1">
                  <c:v>-283.448275765477</c:v>
                </c:pt>
                <c:pt idx="2">
                  <c:v>26.7917439109169</c:v>
                </c:pt>
                <c:pt idx="3">
                  <c:v>240.281673195295</c:v>
                </c:pt>
                <c:pt idx="4">
                  <c:v>275.475615347773</c:v>
                </c:pt>
                <c:pt idx="5">
                  <c:v>250.596281933622</c:v>
                </c:pt>
                <c:pt idx="6">
                  <c:v>220.393378153471</c:v>
                </c:pt>
                <c:pt idx="7">
                  <c:v>131.100647125186</c:v>
                </c:pt>
                <c:pt idx="8">
                  <c:v>-82.3892821591926</c:v>
                </c:pt>
                <c:pt idx="9">
                  <c:v>-338.530512967145</c:v>
                </c:pt>
              </c:numCache>
            </c:numRef>
          </c:yVal>
          <c:smooth val="1"/>
        </c:ser>
        <c:axId val="96327587"/>
        <c:axId val="90448999"/>
      </c:scatterChart>
      <c:valAx>
        <c:axId val="96327587"/>
        <c:scaling>
          <c:orientation val="minMax"/>
          <c:max val="360"/>
          <c:min val="0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θ2, ángulo de la manivela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0448999"/>
        <c:crosses val="autoZero"/>
        <c:crossBetween val="midCat"/>
        <c:majorUnit val="36"/>
      </c:valAx>
      <c:valAx>
        <c:axId val="9044899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A_B (mm/s²)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63275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Ángulo de transmisión 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"Analítico (vuelta completa)"</c:f>
              <c:strCache>
                <c:ptCount val="1"/>
                <c:pt idx="0">
                  <c:v>Analítico (vuelta completa)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Curva'!$A$6:$A$726</c:f>
              <c:numCache>
                <c:formatCode>0.0</c:formatCode>
                <c:ptCount val="7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</c:numCache>
            </c:numRef>
          </c:xVal>
          <c:yVal>
            <c:numRef>
              <c:f>'P2 Curva'!$D$6:$D$726</c:f>
              <c:numCache>
                <c:formatCode>0.00</c:formatCode>
                <c:ptCount val="721"/>
                <c:pt idx="0">
                  <c:v>81.2852579813819</c:v>
                </c:pt>
                <c:pt idx="1">
                  <c:v>81.1511112589767</c:v>
                </c:pt>
                <c:pt idx="2">
                  <c:v>81.0169258437335</c:v>
                </c:pt>
                <c:pt idx="3">
                  <c:v>80.8827111810174</c:v>
                </c:pt>
                <c:pt idx="4">
                  <c:v>80.7484767279374</c:v>
                </c:pt>
                <c:pt idx="5">
                  <c:v>80.6142319531188</c:v>
                </c:pt>
                <c:pt idx="6">
                  <c:v>80.4799863364748</c:v>
                </c:pt>
                <c:pt idx="7">
                  <c:v>80.3457493689752</c:v>
                </c:pt>
                <c:pt idx="8">
                  <c:v>80.2115305524129</c:v>
                </c:pt>
                <c:pt idx="9">
                  <c:v>80.0773393991682</c:v>
                </c:pt>
                <c:pt idx="10">
                  <c:v>79.94318543197</c:v>
                </c:pt>
                <c:pt idx="11">
                  <c:v>79.809078183654</c:v>
                </c:pt>
                <c:pt idx="12">
                  <c:v>79.6750271969174</c:v>
                </c:pt>
                <c:pt idx="13">
                  <c:v>79.5410420240702</c:v>
                </c:pt>
                <c:pt idx="14">
                  <c:v>79.4071322267829</c:v>
                </c:pt>
                <c:pt idx="15">
                  <c:v>79.2733073758293</c:v>
                </c:pt>
                <c:pt idx="16">
                  <c:v>79.1395770508256</c:v>
                </c:pt>
                <c:pt idx="17">
                  <c:v>79.0059508399648</c:v>
                </c:pt>
                <c:pt idx="18">
                  <c:v>78.8724383397459</c:v>
                </c:pt>
                <c:pt idx="19">
                  <c:v>78.7390491546981</c:v>
                </c:pt>
                <c:pt idx="20">
                  <c:v>78.6057928970994</c:v>
                </c:pt>
                <c:pt idx="21">
                  <c:v>78.47267918669</c:v>
                </c:pt>
                <c:pt idx="22">
                  <c:v>78.3397176503792</c:v>
                </c:pt>
                <c:pt idx="23">
                  <c:v>78.2069179219458</c:v>
                </c:pt>
                <c:pt idx="24">
                  <c:v>78.0742896417333</c:v>
                </c:pt>
                <c:pt idx="25">
                  <c:v>77.9418424563369</c:v>
                </c:pt>
                <c:pt idx="26">
                  <c:v>77.8095860182839</c:v>
                </c:pt>
                <c:pt idx="27">
                  <c:v>77.6775299857076</c:v>
                </c:pt>
                <c:pt idx="28">
                  <c:v>77.5456840220123</c:v>
                </c:pt>
                <c:pt idx="29">
                  <c:v>77.4140577955315</c:v>
                </c:pt>
                <c:pt idx="30">
                  <c:v>77.2826609791777</c:v>
                </c:pt>
                <c:pt idx="31">
                  <c:v>77.1515032500837</c:v>
                </c:pt>
                <c:pt idx="32">
                  <c:v>77.0205942892353</c:v>
                </c:pt>
                <c:pt idx="33">
                  <c:v>76.8899437810954</c:v>
                </c:pt>
                <c:pt idx="34">
                  <c:v>76.7595614132188</c:v>
                </c:pt>
                <c:pt idx="35">
                  <c:v>76.6294568758573</c:v>
                </c:pt>
                <c:pt idx="36">
                  <c:v>76.4996398615558</c:v>
                </c:pt>
                <c:pt idx="37">
                  <c:v>76.3701200647379</c:v>
                </c:pt>
                <c:pt idx="38">
                  <c:v>76.2409071812816</c:v>
                </c:pt>
                <c:pt idx="39">
                  <c:v>76.112010908085</c:v>
                </c:pt>
                <c:pt idx="40">
                  <c:v>75.98344094262</c:v>
                </c:pt>
                <c:pt idx="41">
                  <c:v>75.8552069824771</c:v>
                </c:pt>
                <c:pt idx="42">
                  <c:v>75.7273187248972</c:v>
                </c:pt>
                <c:pt idx="43">
                  <c:v>75.5997858662932</c:v>
                </c:pt>
                <c:pt idx="44">
                  <c:v>75.4726181017597</c:v>
                </c:pt>
                <c:pt idx="45">
                  <c:v>75.3458251245704</c:v>
                </c:pt>
                <c:pt idx="46">
                  <c:v>75.2194166256642</c:v>
                </c:pt>
                <c:pt idx="47">
                  <c:v>75.0934022931183</c:v>
                </c:pt>
                <c:pt idx="48">
                  <c:v>74.9677918116094</c:v>
                </c:pt>
                <c:pt idx="49">
                  <c:v>74.8425948618616</c:v>
                </c:pt>
                <c:pt idx="50">
                  <c:v>74.7178211200819</c:v>
                </c:pt>
                <c:pt idx="51">
                  <c:v>74.5934802573822</c:v>
                </c:pt>
                <c:pt idx="52">
                  <c:v>74.4695819391882</c:v>
                </c:pt>
                <c:pt idx="53">
                  <c:v>74.3461358246341</c:v>
                </c:pt>
                <c:pt idx="54">
                  <c:v>74.2231515659451</c:v>
                </c:pt>
                <c:pt idx="55">
                  <c:v>74.1006388078042</c:v>
                </c:pt>
                <c:pt idx="56">
                  <c:v>73.978607186706</c:v>
                </c:pt>
                <c:pt idx="57">
                  <c:v>73.8570663302961</c:v>
                </c:pt>
                <c:pt idx="58">
                  <c:v>73.7360258566958</c:v>
                </c:pt>
                <c:pt idx="59">
                  <c:v>73.6154953738128</c:v>
                </c:pt>
                <c:pt idx="60">
                  <c:v>73.4954844786363</c:v>
                </c:pt>
                <c:pt idx="61">
                  <c:v>73.376002756518</c:v>
                </c:pt>
                <c:pt idx="62">
                  <c:v>73.2570597804381</c:v>
                </c:pt>
                <c:pt idx="63">
                  <c:v>73.1386651102555</c:v>
                </c:pt>
                <c:pt idx="64">
                  <c:v>73.0208282919438</c:v>
                </c:pt>
                <c:pt idx="65">
                  <c:v>72.903558856811</c:v>
                </c:pt>
                <c:pt idx="66">
                  <c:v>72.7868663207042</c:v>
                </c:pt>
                <c:pt idx="67">
                  <c:v>72.670760183199</c:v>
                </c:pt>
                <c:pt idx="68">
                  <c:v>72.5552499267733</c:v>
                </c:pt>
                <c:pt idx="69">
                  <c:v>72.4403450159645</c:v>
                </c:pt>
                <c:pt idx="70">
                  <c:v>72.3260548965125</c:v>
                </c:pt>
                <c:pt idx="71">
                  <c:v>72.2123889944857</c:v>
                </c:pt>
                <c:pt idx="72">
                  <c:v>72.0993567153919</c:v>
                </c:pt>
                <c:pt idx="73">
                  <c:v>71.9869674432731</c:v>
                </c:pt>
                <c:pt idx="74">
                  <c:v>71.8752305397844</c:v>
                </c:pt>
                <c:pt idx="75">
                  <c:v>71.7641553432574</c:v>
                </c:pt>
                <c:pt idx="76">
                  <c:v>71.6537511677474</c:v>
                </c:pt>
                <c:pt idx="77">
                  <c:v>71.5440273020652</c:v>
                </c:pt>
                <c:pt idx="78">
                  <c:v>71.4349930087925</c:v>
                </c:pt>
                <c:pt idx="79">
                  <c:v>71.3266575232827</c:v>
                </c:pt>
                <c:pt idx="80">
                  <c:v>71.2190300526447</c:v>
                </c:pt>
                <c:pt idx="81">
                  <c:v>71.1121197747121</c:v>
                </c:pt>
                <c:pt idx="82">
                  <c:v>71.0059358369967</c:v>
                </c:pt>
                <c:pt idx="83">
                  <c:v>70.9004873556265</c:v>
                </c:pt>
                <c:pt idx="84">
                  <c:v>70.7957834142685</c:v>
                </c:pt>
                <c:pt idx="85">
                  <c:v>70.6918330630364</c:v>
                </c:pt>
                <c:pt idx="86">
                  <c:v>70.5886453173834</c:v>
                </c:pt>
                <c:pt idx="87">
                  <c:v>70.48622915698</c:v>
                </c:pt>
                <c:pt idx="88">
                  <c:v>70.3845935245776</c:v>
                </c:pt>
                <c:pt idx="89">
                  <c:v>70.283747324857</c:v>
                </c:pt>
                <c:pt idx="90">
                  <c:v>70.1836994232634</c:v>
                </c:pt>
                <c:pt idx="91">
                  <c:v>70.0844586448269</c:v>
                </c:pt>
                <c:pt idx="92">
                  <c:v>69.9860337729696</c:v>
                </c:pt>
                <c:pt idx="93">
                  <c:v>69.8884335482989</c:v>
                </c:pt>
                <c:pt idx="94">
                  <c:v>69.7916666673878</c:v>
                </c:pt>
                <c:pt idx="95">
                  <c:v>69.6957417815422</c:v>
                </c:pt>
                <c:pt idx="96">
                  <c:v>69.6006674955558</c:v>
                </c:pt>
                <c:pt idx="97">
                  <c:v>69.5064523664522</c:v>
                </c:pt>
                <c:pt idx="98">
                  <c:v>69.4131049022155</c:v>
                </c:pt>
                <c:pt idx="99">
                  <c:v>69.3206335605095</c:v>
                </c:pt>
                <c:pt idx="100">
                  <c:v>69.2290467473848</c:v>
                </c:pt>
                <c:pt idx="101">
                  <c:v>69.1383528159763</c:v>
                </c:pt>
                <c:pt idx="102">
                  <c:v>69.0485600651891</c:v>
                </c:pt>
                <c:pt idx="103">
                  <c:v>68.9596767383753</c:v>
                </c:pt>
                <c:pt idx="104">
                  <c:v>68.871711022001</c:v>
                </c:pt>
                <c:pt idx="105">
                  <c:v>68.7846710443037</c:v>
                </c:pt>
                <c:pt idx="106">
                  <c:v>68.6985648739421</c:v>
                </c:pt>
                <c:pt idx="107">
                  <c:v>68.6134005186369</c:v>
                </c:pt>
                <c:pt idx="108">
                  <c:v>68.5291859238045</c:v>
                </c:pt>
                <c:pt idx="109">
                  <c:v>68.4459289711832</c:v>
                </c:pt>
                <c:pt idx="110">
                  <c:v>68.3636374774535</c:v>
                </c:pt>
                <c:pt idx="111">
                  <c:v>68.2823191928517</c:v>
                </c:pt>
                <c:pt idx="112">
                  <c:v>68.2019817997787</c:v>
                </c:pt>
                <c:pt idx="113">
                  <c:v>68.1226329114033</c:v>
                </c:pt>
                <c:pt idx="114">
                  <c:v>68.0442800702625</c:v>
                </c:pt>
                <c:pt idx="115">
                  <c:v>67.9669307468565</c:v>
                </c:pt>
                <c:pt idx="116">
                  <c:v>67.8905923382424</c:v>
                </c:pt>
                <c:pt idx="117">
                  <c:v>67.8152721666242</c:v>
                </c:pt>
                <c:pt idx="118">
                  <c:v>67.7409774779424</c:v>
                </c:pt>
                <c:pt idx="119">
                  <c:v>67.6677154404616</c:v>
                </c:pt>
                <c:pt idx="120">
                  <c:v>67.5954931433584</c:v>
                </c:pt>
                <c:pt idx="121">
                  <c:v>67.5243175953094</c:v>
                </c:pt>
                <c:pt idx="122">
                  <c:v>67.4541957230806</c:v>
                </c:pt>
                <c:pt idx="123">
                  <c:v>67.3851343701186</c:v>
                </c:pt>
                <c:pt idx="124">
                  <c:v>67.3171402951439</c:v>
                </c:pt>
                <c:pt idx="125">
                  <c:v>67.2502201707483</c:v>
                </c:pt>
                <c:pt idx="126">
                  <c:v>67.1843805819958</c:v>
                </c:pt>
                <c:pt idx="127">
                  <c:v>67.1196280250284</c:v>
                </c:pt>
                <c:pt idx="128">
                  <c:v>67.0559689056781</c:v>
                </c:pt>
                <c:pt idx="129">
                  <c:v>66.9934095380843</c:v>
                </c:pt>
                <c:pt idx="130">
                  <c:v>66.9319561433196</c:v>
                </c:pt>
                <c:pt idx="131">
                  <c:v>66.871614848022</c:v>
                </c:pt>
                <c:pt idx="132">
                  <c:v>66.8123916830377</c:v>
                </c:pt>
                <c:pt idx="133">
                  <c:v>66.7542925820721</c:v>
                </c:pt>
                <c:pt idx="134">
                  <c:v>66.6973233803517</c:v>
                </c:pt>
                <c:pt idx="135">
                  <c:v>66.6414898132974</c:v>
                </c:pt>
                <c:pt idx="136">
                  <c:v>66.5867975152094</c:v>
                </c:pt>
                <c:pt idx="137">
                  <c:v>66.5332520179651</c:v>
                </c:pt>
                <c:pt idx="138">
                  <c:v>66.4808587497312</c:v>
                </c:pt>
                <c:pt idx="139">
                  <c:v>66.429623033689</c:v>
                </c:pt>
                <c:pt idx="140">
                  <c:v>66.3795500867766</c:v>
                </c:pt>
                <c:pt idx="141">
                  <c:v>66.3306450184458</c:v>
                </c:pt>
                <c:pt idx="142">
                  <c:v>66.2829128294368</c:v>
                </c:pt>
                <c:pt idx="143">
                  <c:v>66.2363584105705</c:v>
                </c:pt>
                <c:pt idx="144">
                  <c:v>66.1909865415589</c:v>
                </c:pt>
                <c:pt idx="145">
                  <c:v>66.1468018898356</c:v>
                </c:pt>
                <c:pt idx="146">
                  <c:v>66.1038090094054</c:v>
                </c:pt>
                <c:pt idx="147">
                  <c:v>66.0620123397161</c:v>
                </c:pt>
                <c:pt idx="148">
                  <c:v>66.021416204551</c:v>
                </c:pt>
                <c:pt idx="149">
                  <c:v>65.9820248109445</c:v>
                </c:pt>
                <c:pt idx="150">
                  <c:v>65.9438422481203</c:v>
                </c:pt>
                <c:pt idx="151">
                  <c:v>65.9068724864543</c:v>
                </c:pt>
                <c:pt idx="152">
                  <c:v>65.871119376462</c:v>
                </c:pt>
                <c:pt idx="153">
                  <c:v>65.836586647811</c:v>
                </c:pt>
                <c:pt idx="154">
                  <c:v>65.8032779083603</c:v>
                </c:pt>
                <c:pt idx="155">
                  <c:v>65.7711966432258</c:v>
                </c:pt>
                <c:pt idx="156">
                  <c:v>65.7403462138742</c:v>
                </c:pt>
                <c:pt idx="157">
                  <c:v>65.710729857244</c:v>
                </c:pt>
                <c:pt idx="158">
                  <c:v>65.6823506848966</c:v>
                </c:pt>
                <c:pt idx="159">
                  <c:v>65.6552116821961</c:v>
                </c:pt>
                <c:pt idx="160">
                  <c:v>65.6293157075193</c:v>
                </c:pt>
                <c:pt idx="161">
                  <c:v>65.6046654914968</c:v>
                </c:pt>
                <c:pt idx="162">
                  <c:v>65.5812636362849</c:v>
                </c:pt>
                <c:pt idx="163">
                  <c:v>65.5591126148702</c:v>
                </c:pt>
                <c:pt idx="164">
                  <c:v>65.538214770405</c:v>
                </c:pt>
                <c:pt idx="165">
                  <c:v>65.5185723155775</c:v>
                </c:pt>
                <c:pt idx="166">
                  <c:v>65.5001873320138</c:v>
                </c:pt>
                <c:pt idx="167">
                  <c:v>65.4830617697148</c:v>
                </c:pt>
                <c:pt idx="168">
                  <c:v>65.4671974465266</c:v>
                </c:pt>
                <c:pt idx="169">
                  <c:v>65.4525960476459</c:v>
                </c:pt>
                <c:pt idx="170">
                  <c:v>65.4392591251608</c:v>
                </c:pt>
                <c:pt idx="171">
                  <c:v>65.4271880976263</c:v>
                </c:pt>
                <c:pt idx="172">
                  <c:v>65.416384249676</c:v>
                </c:pt>
                <c:pt idx="173">
                  <c:v>65.4068487316701</c:v>
                </c:pt>
                <c:pt idx="174">
                  <c:v>65.3985825593789</c:v>
                </c:pt>
                <c:pt idx="175">
                  <c:v>65.3915866137039</c:v>
                </c:pt>
                <c:pt idx="176">
                  <c:v>65.3858616404348</c:v>
                </c:pt>
                <c:pt idx="177">
                  <c:v>65.3814082500443</c:v>
                </c:pt>
                <c:pt idx="178">
                  <c:v>65.3782269175193</c:v>
                </c:pt>
                <c:pt idx="179">
                  <c:v>65.37631798223</c:v>
                </c:pt>
                <c:pt idx="180">
                  <c:v>65.3756816478359</c:v>
                </c:pt>
                <c:pt idx="181">
                  <c:v>65.37631798223</c:v>
                </c:pt>
                <c:pt idx="182">
                  <c:v>65.3782269175193</c:v>
                </c:pt>
                <c:pt idx="183">
                  <c:v>65.3814082500443</c:v>
                </c:pt>
                <c:pt idx="184">
                  <c:v>65.3858616404348</c:v>
                </c:pt>
                <c:pt idx="185">
                  <c:v>65.3915866137039</c:v>
                </c:pt>
                <c:pt idx="186">
                  <c:v>65.3985825593789</c:v>
                </c:pt>
                <c:pt idx="187">
                  <c:v>65.4068487316701</c:v>
                </c:pt>
                <c:pt idx="188">
                  <c:v>65.416384249676</c:v>
                </c:pt>
                <c:pt idx="189">
                  <c:v>65.4271880976263</c:v>
                </c:pt>
                <c:pt idx="190">
                  <c:v>65.4392591251608</c:v>
                </c:pt>
                <c:pt idx="191">
                  <c:v>65.4525960476459</c:v>
                </c:pt>
                <c:pt idx="192">
                  <c:v>65.4671974465266</c:v>
                </c:pt>
                <c:pt idx="193">
                  <c:v>65.4830617697148</c:v>
                </c:pt>
                <c:pt idx="194">
                  <c:v>65.5001873320138</c:v>
                </c:pt>
                <c:pt idx="195">
                  <c:v>65.5185723155775</c:v>
                </c:pt>
                <c:pt idx="196">
                  <c:v>65.538214770405</c:v>
                </c:pt>
                <c:pt idx="197">
                  <c:v>65.5591126148702</c:v>
                </c:pt>
                <c:pt idx="198">
                  <c:v>65.5812636362849</c:v>
                </c:pt>
                <c:pt idx="199">
                  <c:v>65.6046654914968</c:v>
                </c:pt>
                <c:pt idx="200">
                  <c:v>65.6293157075193</c:v>
                </c:pt>
                <c:pt idx="201">
                  <c:v>65.6552116821961</c:v>
                </c:pt>
                <c:pt idx="202">
                  <c:v>65.6823506848966</c:v>
                </c:pt>
                <c:pt idx="203">
                  <c:v>65.710729857244</c:v>
                </c:pt>
                <c:pt idx="204">
                  <c:v>65.7403462138742</c:v>
                </c:pt>
                <c:pt idx="205">
                  <c:v>65.7711966432258</c:v>
                </c:pt>
                <c:pt idx="206">
                  <c:v>65.8032779083603</c:v>
                </c:pt>
                <c:pt idx="207">
                  <c:v>65.836586647811</c:v>
                </c:pt>
                <c:pt idx="208">
                  <c:v>65.871119376462</c:v>
                </c:pt>
                <c:pt idx="209">
                  <c:v>65.9068724864543</c:v>
                </c:pt>
                <c:pt idx="210">
                  <c:v>65.9438422481203</c:v>
                </c:pt>
                <c:pt idx="211">
                  <c:v>65.9820248109445</c:v>
                </c:pt>
                <c:pt idx="212">
                  <c:v>66.021416204551</c:v>
                </c:pt>
                <c:pt idx="213">
                  <c:v>66.0620123397161</c:v>
                </c:pt>
                <c:pt idx="214">
                  <c:v>66.1038090094054</c:v>
                </c:pt>
                <c:pt idx="215">
                  <c:v>66.1468018898356</c:v>
                </c:pt>
                <c:pt idx="216">
                  <c:v>66.1909865415589</c:v>
                </c:pt>
                <c:pt idx="217">
                  <c:v>66.2363584105705</c:v>
                </c:pt>
                <c:pt idx="218">
                  <c:v>66.2829128294368</c:v>
                </c:pt>
                <c:pt idx="219">
                  <c:v>66.3306450184458</c:v>
                </c:pt>
                <c:pt idx="220">
                  <c:v>66.3795500867766</c:v>
                </c:pt>
                <c:pt idx="221">
                  <c:v>66.429623033689</c:v>
                </c:pt>
                <c:pt idx="222">
                  <c:v>66.4808587497312</c:v>
                </c:pt>
                <c:pt idx="223">
                  <c:v>66.5332520179651</c:v>
                </c:pt>
                <c:pt idx="224">
                  <c:v>66.5867975152094</c:v>
                </c:pt>
                <c:pt idx="225">
                  <c:v>66.6414898132974</c:v>
                </c:pt>
                <c:pt idx="226">
                  <c:v>66.6973233803517</c:v>
                </c:pt>
                <c:pt idx="227">
                  <c:v>66.7542925820721</c:v>
                </c:pt>
                <c:pt idx="228">
                  <c:v>66.8123916830377</c:v>
                </c:pt>
                <c:pt idx="229">
                  <c:v>66.871614848022</c:v>
                </c:pt>
                <c:pt idx="230">
                  <c:v>66.9319561433196</c:v>
                </c:pt>
                <c:pt idx="231">
                  <c:v>66.9934095380843</c:v>
                </c:pt>
                <c:pt idx="232">
                  <c:v>67.0559689056781</c:v>
                </c:pt>
                <c:pt idx="233">
                  <c:v>67.1196280250284</c:v>
                </c:pt>
                <c:pt idx="234">
                  <c:v>67.1843805819958</c:v>
                </c:pt>
                <c:pt idx="235">
                  <c:v>67.2502201707483</c:v>
                </c:pt>
                <c:pt idx="236">
                  <c:v>67.3171402951439</c:v>
                </c:pt>
                <c:pt idx="237">
                  <c:v>67.3851343701186</c:v>
                </c:pt>
                <c:pt idx="238">
                  <c:v>67.4541957230806</c:v>
                </c:pt>
                <c:pt idx="239">
                  <c:v>67.5243175953094</c:v>
                </c:pt>
                <c:pt idx="240">
                  <c:v>67.5954931433584</c:v>
                </c:pt>
                <c:pt idx="241">
                  <c:v>67.6677154404616</c:v>
                </c:pt>
                <c:pt idx="242">
                  <c:v>67.7409774779424</c:v>
                </c:pt>
                <c:pt idx="243">
                  <c:v>67.8152721666242</c:v>
                </c:pt>
                <c:pt idx="244">
                  <c:v>67.8905923382424</c:v>
                </c:pt>
                <c:pt idx="245">
                  <c:v>67.9669307468565</c:v>
                </c:pt>
                <c:pt idx="246">
                  <c:v>68.0442800702625</c:v>
                </c:pt>
                <c:pt idx="247">
                  <c:v>68.1226329114033</c:v>
                </c:pt>
                <c:pt idx="248">
                  <c:v>68.2019817997787</c:v>
                </c:pt>
                <c:pt idx="249">
                  <c:v>68.2823191928517</c:v>
                </c:pt>
                <c:pt idx="250">
                  <c:v>68.3636374774535</c:v>
                </c:pt>
                <c:pt idx="251">
                  <c:v>68.4459289711832</c:v>
                </c:pt>
                <c:pt idx="252">
                  <c:v>68.5291859238045</c:v>
                </c:pt>
                <c:pt idx="253">
                  <c:v>68.6134005186369</c:v>
                </c:pt>
                <c:pt idx="254">
                  <c:v>68.6985648739421</c:v>
                </c:pt>
                <c:pt idx="255">
                  <c:v>68.7846710443037</c:v>
                </c:pt>
                <c:pt idx="256">
                  <c:v>68.871711022001</c:v>
                </c:pt>
                <c:pt idx="257">
                  <c:v>68.9596767383753</c:v>
                </c:pt>
                <c:pt idx="258">
                  <c:v>69.0485600651891</c:v>
                </c:pt>
                <c:pt idx="259">
                  <c:v>69.1383528159763</c:v>
                </c:pt>
                <c:pt idx="260">
                  <c:v>69.2290467473848</c:v>
                </c:pt>
                <c:pt idx="261">
                  <c:v>69.3206335605095</c:v>
                </c:pt>
                <c:pt idx="262">
                  <c:v>69.4131049022155</c:v>
                </c:pt>
                <c:pt idx="263">
                  <c:v>69.5064523664521</c:v>
                </c:pt>
                <c:pt idx="264">
                  <c:v>69.6006674955558</c:v>
                </c:pt>
                <c:pt idx="265">
                  <c:v>69.6957417815422</c:v>
                </c:pt>
                <c:pt idx="266">
                  <c:v>69.7916666673878</c:v>
                </c:pt>
                <c:pt idx="267">
                  <c:v>69.8884335482989</c:v>
                </c:pt>
                <c:pt idx="268">
                  <c:v>69.9860337729696</c:v>
                </c:pt>
                <c:pt idx="269">
                  <c:v>70.0844586448269</c:v>
                </c:pt>
                <c:pt idx="270">
                  <c:v>70.1836994232634</c:v>
                </c:pt>
                <c:pt idx="271">
                  <c:v>70.283747324857</c:v>
                </c:pt>
                <c:pt idx="272">
                  <c:v>70.3845935245776</c:v>
                </c:pt>
                <c:pt idx="273">
                  <c:v>70.48622915698</c:v>
                </c:pt>
                <c:pt idx="274">
                  <c:v>70.5886453173834</c:v>
                </c:pt>
                <c:pt idx="275">
                  <c:v>70.6918330630364</c:v>
                </c:pt>
                <c:pt idx="276">
                  <c:v>70.7957834142685</c:v>
                </c:pt>
                <c:pt idx="277">
                  <c:v>70.9004873556265</c:v>
                </c:pt>
                <c:pt idx="278">
                  <c:v>71.0059358369967</c:v>
                </c:pt>
                <c:pt idx="279">
                  <c:v>71.1121197747121</c:v>
                </c:pt>
                <c:pt idx="280">
                  <c:v>71.2190300526447</c:v>
                </c:pt>
                <c:pt idx="281">
                  <c:v>71.3266575232827</c:v>
                </c:pt>
                <c:pt idx="282">
                  <c:v>71.4349930087925</c:v>
                </c:pt>
                <c:pt idx="283">
                  <c:v>71.5440273020652</c:v>
                </c:pt>
                <c:pt idx="284">
                  <c:v>71.6537511677474</c:v>
                </c:pt>
                <c:pt idx="285">
                  <c:v>71.7641553432574</c:v>
                </c:pt>
                <c:pt idx="286">
                  <c:v>71.8752305397844</c:v>
                </c:pt>
                <c:pt idx="287">
                  <c:v>71.9869674432731</c:v>
                </c:pt>
                <c:pt idx="288">
                  <c:v>72.0993567153919</c:v>
                </c:pt>
                <c:pt idx="289">
                  <c:v>72.2123889944857</c:v>
                </c:pt>
                <c:pt idx="290">
                  <c:v>72.3260548965125</c:v>
                </c:pt>
                <c:pt idx="291">
                  <c:v>72.4403450159645</c:v>
                </c:pt>
                <c:pt idx="292">
                  <c:v>72.5552499267733</c:v>
                </c:pt>
                <c:pt idx="293">
                  <c:v>72.670760183199</c:v>
                </c:pt>
                <c:pt idx="294">
                  <c:v>72.7868663207042</c:v>
                </c:pt>
                <c:pt idx="295">
                  <c:v>72.903558856811</c:v>
                </c:pt>
                <c:pt idx="296">
                  <c:v>73.0208282919438</c:v>
                </c:pt>
                <c:pt idx="297">
                  <c:v>73.1386651102555</c:v>
                </c:pt>
                <c:pt idx="298">
                  <c:v>73.2570597804381</c:v>
                </c:pt>
                <c:pt idx="299">
                  <c:v>73.376002756518</c:v>
                </c:pt>
                <c:pt idx="300">
                  <c:v>73.4954844786363</c:v>
                </c:pt>
                <c:pt idx="301">
                  <c:v>73.6154953738128</c:v>
                </c:pt>
                <c:pt idx="302">
                  <c:v>73.7360258566958</c:v>
                </c:pt>
                <c:pt idx="303">
                  <c:v>73.8570663302961</c:v>
                </c:pt>
                <c:pt idx="304">
                  <c:v>73.978607186706</c:v>
                </c:pt>
                <c:pt idx="305">
                  <c:v>74.1006388078042</c:v>
                </c:pt>
                <c:pt idx="306">
                  <c:v>74.2231515659451</c:v>
                </c:pt>
                <c:pt idx="307">
                  <c:v>74.3461358246341</c:v>
                </c:pt>
                <c:pt idx="308">
                  <c:v>74.4695819391882</c:v>
                </c:pt>
                <c:pt idx="309">
                  <c:v>74.5934802573822</c:v>
                </c:pt>
                <c:pt idx="310">
                  <c:v>74.7178211200819</c:v>
                </c:pt>
                <c:pt idx="311">
                  <c:v>74.8425948618616</c:v>
                </c:pt>
                <c:pt idx="312">
                  <c:v>74.9677918116094</c:v>
                </c:pt>
                <c:pt idx="313">
                  <c:v>75.0934022931183</c:v>
                </c:pt>
                <c:pt idx="314">
                  <c:v>75.2194166256642</c:v>
                </c:pt>
                <c:pt idx="315">
                  <c:v>75.3458251245704</c:v>
                </c:pt>
                <c:pt idx="316">
                  <c:v>75.4726181017597</c:v>
                </c:pt>
                <c:pt idx="317">
                  <c:v>75.5997858662932</c:v>
                </c:pt>
                <c:pt idx="318">
                  <c:v>75.7273187248972</c:v>
                </c:pt>
                <c:pt idx="319">
                  <c:v>75.8552069824771</c:v>
                </c:pt>
                <c:pt idx="320">
                  <c:v>75.98344094262</c:v>
                </c:pt>
                <c:pt idx="321">
                  <c:v>76.112010908085</c:v>
                </c:pt>
                <c:pt idx="322">
                  <c:v>76.2409071812816</c:v>
                </c:pt>
                <c:pt idx="323">
                  <c:v>76.3701200647379</c:v>
                </c:pt>
                <c:pt idx="324">
                  <c:v>76.4996398615558</c:v>
                </c:pt>
                <c:pt idx="325">
                  <c:v>76.6294568758573</c:v>
                </c:pt>
                <c:pt idx="326">
                  <c:v>76.7595614132188</c:v>
                </c:pt>
                <c:pt idx="327">
                  <c:v>76.8899437810954</c:v>
                </c:pt>
                <c:pt idx="328">
                  <c:v>77.0205942892353</c:v>
                </c:pt>
                <c:pt idx="329">
                  <c:v>77.1515032500837</c:v>
                </c:pt>
                <c:pt idx="330">
                  <c:v>77.2826609791777</c:v>
                </c:pt>
                <c:pt idx="331">
                  <c:v>77.4140577955315</c:v>
                </c:pt>
                <c:pt idx="332">
                  <c:v>77.5456840220123</c:v>
                </c:pt>
                <c:pt idx="333">
                  <c:v>77.6775299857076</c:v>
                </c:pt>
                <c:pt idx="334">
                  <c:v>77.8095860182839</c:v>
                </c:pt>
                <c:pt idx="335">
                  <c:v>77.9418424563369</c:v>
                </c:pt>
                <c:pt idx="336">
                  <c:v>78.0742896417333</c:v>
                </c:pt>
                <c:pt idx="337">
                  <c:v>78.2069179219458</c:v>
                </c:pt>
                <c:pt idx="338">
                  <c:v>78.3397176503792</c:v>
                </c:pt>
                <c:pt idx="339">
                  <c:v>78.47267918669</c:v>
                </c:pt>
                <c:pt idx="340">
                  <c:v>78.6057928970994</c:v>
                </c:pt>
                <c:pt idx="341">
                  <c:v>78.7390491546981</c:v>
                </c:pt>
                <c:pt idx="342">
                  <c:v>78.8724383397459</c:v>
                </c:pt>
                <c:pt idx="343">
                  <c:v>79.0059508399648</c:v>
                </c:pt>
                <c:pt idx="344">
                  <c:v>79.1395770508256</c:v>
                </c:pt>
                <c:pt idx="345">
                  <c:v>79.2733073758293</c:v>
                </c:pt>
                <c:pt idx="346">
                  <c:v>79.4071322267829</c:v>
                </c:pt>
                <c:pt idx="347">
                  <c:v>79.5410420240702</c:v>
                </c:pt>
                <c:pt idx="348">
                  <c:v>79.6750271969174</c:v>
                </c:pt>
                <c:pt idx="349">
                  <c:v>79.809078183654</c:v>
                </c:pt>
                <c:pt idx="350">
                  <c:v>79.94318543197</c:v>
                </c:pt>
                <c:pt idx="351">
                  <c:v>80.0773393991682</c:v>
                </c:pt>
                <c:pt idx="352">
                  <c:v>80.2115305524129</c:v>
                </c:pt>
                <c:pt idx="353">
                  <c:v>80.3457493689752</c:v>
                </c:pt>
                <c:pt idx="354">
                  <c:v>80.4799863364748</c:v>
                </c:pt>
                <c:pt idx="355">
                  <c:v>80.6142319531188</c:v>
                </c:pt>
                <c:pt idx="356">
                  <c:v>80.7484767279374</c:v>
                </c:pt>
                <c:pt idx="357">
                  <c:v>80.8827111810174</c:v>
                </c:pt>
                <c:pt idx="358">
                  <c:v>81.0169258437335</c:v>
                </c:pt>
                <c:pt idx="359">
                  <c:v>81.1511112589767</c:v>
                </c:pt>
                <c:pt idx="360">
                  <c:v>81.2852579813819</c:v>
                </c:pt>
                <c:pt idx="361">
                  <c:v>81.4193565775535</c:v>
                </c:pt>
                <c:pt idx="362">
                  <c:v>81.5533976262895</c:v>
                </c:pt>
                <c:pt idx="363">
                  <c:v>81.6873717188048</c:v>
                </c:pt>
                <c:pt idx="364">
                  <c:v>81.8212694589538</c:v>
                </c:pt>
                <c:pt idx="365">
                  <c:v>81.9550814634517</c:v>
                </c:pt>
                <c:pt idx="366">
                  <c:v>82.0887983620965</c:v>
                </c:pt>
                <c:pt idx="367">
                  <c:v>82.2224107979901</c:v>
                </c:pt>
                <c:pt idx="368">
                  <c:v>82.3559094277597</c:v>
                </c:pt>
                <c:pt idx="369">
                  <c:v>82.4892849217797</c:v>
                </c:pt>
                <c:pt idx="370">
                  <c:v>82.6225279643942</c:v>
                </c:pt>
                <c:pt idx="371">
                  <c:v>82.7556292541398</c:v>
                </c:pt>
                <c:pt idx="372">
                  <c:v>82.8885795039704</c:v>
                </c:pt>
                <c:pt idx="373">
                  <c:v>83.0213694414824</c:v>
                </c:pt>
                <c:pt idx="374">
                  <c:v>83.1539898091414</c:v>
                </c:pt>
                <c:pt idx="375">
                  <c:v>83.2864313645114</c:v>
                </c:pt>
                <c:pt idx="376">
                  <c:v>83.4186848804849</c:v>
                </c:pt>
                <c:pt idx="377">
                  <c:v>83.5507411455157</c:v>
                </c:pt>
                <c:pt idx="378">
                  <c:v>83.6825909638541</c:v>
                </c:pt>
                <c:pt idx="379">
                  <c:v>83.8142251557838</c:v>
                </c:pt>
                <c:pt idx="380">
                  <c:v>83.9456345578629</c:v>
                </c:pt>
                <c:pt idx="381">
                  <c:v>84.0768100231662</c:v>
                </c:pt>
                <c:pt idx="382">
                  <c:v>84.2077424215324</c:v>
                </c:pt>
                <c:pt idx="383">
                  <c:v>84.3384226398127</c:v>
                </c:pt>
                <c:pt idx="384">
                  <c:v>84.4688415821246</c:v>
                </c:pt>
                <c:pt idx="385">
                  <c:v>84.5989901701083</c:v>
                </c:pt>
                <c:pt idx="386">
                  <c:v>84.7288593431873</c:v>
                </c:pt>
                <c:pt idx="387">
                  <c:v>84.8584400588331</c:v>
                </c:pt>
                <c:pt idx="388">
                  <c:v>84.9877232928341</c:v>
                </c:pt>
                <c:pt idx="389">
                  <c:v>85.1167000395689</c:v>
                </c:pt>
                <c:pt idx="390">
                  <c:v>85.2453613122837</c:v>
                </c:pt>
                <c:pt idx="391">
                  <c:v>85.3736981433754</c:v>
                </c:pt>
                <c:pt idx="392">
                  <c:v>85.5017015846785</c:v>
                </c:pt>
                <c:pt idx="393">
                  <c:v>85.6293627077578</c:v>
                </c:pt>
                <c:pt idx="394">
                  <c:v>85.7566726042059</c:v>
                </c:pt>
                <c:pt idx="395">
                  <c:v>85.8836223859459</c:v>
                </c:pt>
                <c:pt idx="396">
                  <c:v>86.0102031855402</c:v>
                </c:pt>
                <c:pt idx="397">
                  <c:v>86.1364061565043</c:v>
                </c:pt>
                <c:pt idx="398">
                  <c:v>86.2622224736265</c:v>
                </c:pt>
                <c:pt idx="399">
                  <c:v>86.3876433332936</c:v>
                </c:pt>
                <c:pt idx="400">
                  <c:v>86.5126599538225</c:v>
                </c:pt>
                <c:pt idx="401">
                  <c:v>86.637263575798</c:v>
                </c:pt>
                <c:pt idx="402">
                  <c:v>86.7614454624168</c:v>
                </c:pt>
                <c:pt idx="403">
                  <c:v>86.8851968998378</c:v>
                </c:pt>
                <c:pt idx="404">
                  <c:v>87.0085091975388</c:v>
                </c:pt>
                <c:pt idx="405">
                  <c:v>87.1313736886804</c:v>
                </c:pt>
                <c:pt idx="406">
                  <c:v>87.2537817304754</c:v>
                </c:pt>
                <c:pt idx="407">
                  <c:v>87.3757247045658</c:v>
                </c:pt>
                <c:pt idx="408">
                  <c:v>87.4971940174069</c:v>
                </c:pt>
                <c:pt idx="409">
                  <c:v>87.6181811006573</c:v>
                </c:pt>
                <c:pt idx="410">
                  <c:v>87.7386774115768</c:v>
                </c:pt>
                <c:pt idx="411">
                  <c:v>87.858674433431</c:v>
                </c:pt>
                <c:pt idx="412">
                  <c:v>87.9781636759033</c:v>
                </c:pt>
                <c:pt idx="413">
                  <c:v>88.0971366755137</c:v>
                </c:pt>
                <c:pt idx="414">
                  <c:v>88.2155849960453</c:v>
                </c:pt>
                <c:pt idx="415">
                  <c:v>88.3335002289782</c:v>
                </c:pt>
                <c:pt idx="416">
                  <c:v>88.4508739939298</c:v>
                </c:pt>
                <c:pt idx="417">
                  <c:v>88.5676979391041</c:v>
                </c:pt>
                <c:pt idx="418">
                  <c:v>88.6839637417471</c:v>
                </c:pt>
                <c:pt idx="419">
                  <c:v>88.7996631086104</c:v>
                </c:pt>
                <c:pt idx="420">
                  <c:v>88.9147877764219</c:v>
                </c:pt>
                <c:pt idx="421">
                  <c:v>89.0293295123644</c:v>
                </c:pt>
                <c:pt idx="422">
                  <c:v>89.1432801145616</c:v>
                </c:pt>
                <c:pt idx="423">
                  <c:v>89.2566314125714</c:v>
                </c:pt>
                <c:pt idx="424">
                  <c:v>89.3693752678873</c:v>
                </c:pt>
                <c:pt idx="425">
                  <c:v>89.4815035744466</c:v>
                </c:pt>
                <c:pt idx="426">
                  <c:v>89.5930082591467</c:v>
                </c:pt>
                <c:pt idx="427">
                  <c:v>89.7038812823689</c:v>
                </c:pt>
                <c:pt idx="428">
                  <c:v>89.8141146385095</c:v>
                </c:pt>
                <c:pt idx="429">
                  <c:v>89.923700356518</c:v>
                </c:pt>
                <c:pt idx="430">
                  <c:v>89.967369499556</c:v>
                </c:pt>
                <c:pt idx="431">
                  <c:v>89.8591028300105</c:v>
                </c:pt>
                <c:pt idx="432">
                  <c:v>89.7515074989293</c:v>
                </c:pt>
                <c:pt idx="433">
                  <c:v>89.6445913336146</c:v>
                </c:pt>
                <c:pt idx="434">
                  <c:v>89.5383621240116</c:v>
                </c:pt>
                <c:pt idx="435">
                  <c:v>89.4328276221261</c:v>
                </c:pt>
                <c:pt idx="436">
                  <c:v>89.3279955414347</c:v>
                </c:pt>
                <c:pt idx="437">
                  <c:v>89.2238735562887</c:v>
                </c:pt>
                <c:pt idx="438">
                  <c:v>89.1204693013107</c:v>
                </c:pt>
                <c:pt idx="439">
                  <c:v>89.0177903707841</c:v>
                </c:pt>
                <c:pt idx="440">
                  <c:v>88.9158443180365</c:v>
                </c:pt>
                <c:pt idx="441">
                  <c:v>88.8146386548157</c:v>
                </c:pt>
                <c:pt idx="442">
                  <c:v>88.7141808506602</c:v>
                </c:pt>
                <c:pt idx="443">
                  <c:v>88.6144783322625</c:v>
                </c:pt>
                <c:pt idx="444">
                  <c:v>88.5155384828264</c:v>
                </c:pt>
                <c:pt idx="445">
                  <c:v>88.4173686414183</c:v>
                </c:pt>
                <c:pt idx="446">
                  <c:v>88.3199761023126</c:v>
                </c:pt>
                <c:pt idx="447">
                  <c:v>88.223368114331</c:v>
                </c:pt>
                <c:pt idx="448">
                  <c:v>88.127551880176</c:v>
                </c:pt>
                <c:pt idx="449">
                  <c:v>88.0325345557598</c:v>
                </c:pt>
                <c:pt idx="450">
                  <c:v>87.9383232495265</c:v>
                </c:pt>
                <c:pt idx="451">
                  <c:v>87.8449250217701</c:v>
                </c:pt>
                <c:pt idx="452">
                  <c:v>87.7523468839476</c:v>
                </c:pt>
                <c:pt idx="453">
                  <c:v>87.6605957979861</c:v>
                </c:pt>
                <c:pt idx="454">
                  <c:v>87.569678675587</c:v>
                </c:pt>
                <c:pt idx="455">
                  <c:v>87.4796023775243</c:v>
                </c:pt>
                <c:pt idx="456">
                  <c:v>87.3903737129393</c:v>
                </c:pt>
                <c:pt idx="457">
                  <c:v>87.3019994386318</c:v>
                </c:pt>
                <c:pt idx="458">
                  <c:v>87.2144862583464</c:v>
                </c:pt>
                <c:pt idx="459">
                  <c:v>87.127840822056</c:v>
                </c:pt>
                <c:pt idx="460">
                  <c:v>87.0420697252423</c:v>
                </c:pt>
                <c:pt idx="461">
                  <c:v>86.9571795081718</c:v>
                </c:pt>
                <c:pt idx="462">
                  <c:v>86.8731766551707</c:v>
                </c:pt>
                <c:pt idx="463">
                  <c:v>86.790067593896</c:v>
                </c:pt>
                <c:pt idx="464">
                  <c:v>86.7078586946045</c:v>
                </c:pt>
                <c:pt idx="465">
                  <c:v>86.6265562694202</c:v>
                </c:pt>
                <c:pt idx="466">
                  <c:v>86.546166571599</c:v>
                </c:pt>
                <c:pt idx="467">
                  <c:v>86.4666957947927</c:v>
                </c:pt>
                <c:pt idx="468">
                  <c:v>86.388150072311</c:v>
                </c:pt>
                <c:pt idx="469">
                  <c:v>86.310535476383</c:v>
                </c:pt>
                <c:pt idx="470">
                  <c:v>86.233858017418</c:v>
                </c:pt>
                <c:pt idx="471">
                  <c:v>86.1581236432651</c:v>
                </c:pt>
                <c:pt idx="472">
                  <c:v>86.0833382384735</c:v>
                </c:pt>
                <c:pt idx="473">
                  <c:v>86.0095076235529</c:v>
                </c:pt>
                <c:pt idx="474">
                  <c:v>85.9366375542334</c:v>
                </c:pt>
                <c:pt idx="475">
                  <c:v>85.8647337207275</c:v>
                </c:pt>
                <c:pt idx="476">
                  <c:v>85.7938017469922</c:v>
                </c:pt>
                <c:pt idx="477">
                  <c:v>85.7238471899927</c:v>
                </c:pt>
                <c:pt idx="478">
                  <c:v>85.6548755389681</c:v>
                </c:pt>
                <c:pt idx="479">
                  <c:v>85.5868922146985</c:v>
                </c:pt>
                <c:pt idx="480">
                  <c:v>85.5199025687753</c:v>
                </c:pt>
                <c:pt idx="481">
                  <c:v>85.453911882873</c:v>
                </c:pt>
                <c:pt idx="482">
                  <c:v>85.3889253680254</c:v>
                </c:pt>
                <c:pt idx="483">
                  <c:v>85.3249481639036</c:v>
                </c:pt>
                <c:pt idx="484">
                  <c:v>85.2619853380988</c:v>
                </c:pt>
                <c:pt idx="485">
                  <c:v>85.2000418854084</c:v>
                </c:pt>
                <c:pt idx="486">
                  <c:v>85.1391227271269</c:v>
                </c:pt>
                <c:pt idx="487">
                  <c:v>85.0792327103409</c:v>
                </c:pt>
                <c:pt idx="488">
                  <c:v>85.0203766072295</c:v>
                </c:pt>
                <c:pt idx="489">
                  <c:v>84.96255911437</c:v>
                </c:pt>
                <c:pt idx="490">
                  <c:v>84.9057848520489</c:v>
                </c:pt>
                <c:pt idx="491">
                  <c:v>84.8500583635792</c:v>
                </c:pt>
                <c:pt idx="492">
                  <c:v>84.7953841146239</c:v>
                </c:pt>
                <c:pt idx="493">
                  <c:v>84.7417664925266</c:v>
                </c:pt>
                <c:pt idx="494">
                  <c:v>84.689209805648</c:v>
                </c:pt>
                <c:pt idx="495">
                  <c:v>84.637718282711</c:v>
                </c:pt>
                <c:pt idx="496">
                  <c:v>84.5872960721529</c:v>
                </c:pt>
                <c:pt idx="497">
                  <c:v>84.5379472414855</c:v>
                </c:pt>
                <c:pt idx="498">
                  <c:v>84.4896757766636</c:v>
                </c:pt>
                <c:pt idx="499">
                  <c:v>84.4424855814625</c:v>
                </c:pt>
                <c:pt idx="500">
                  <c:v>84.3963804768642</c:v>
                </c:pt>
                <c:pt idx="501">
                  <c:v>84.3513642004531</c:v>
                </c:pt>
                <c:pt idx="502">
                  <c:v>84.3074404058208</c:v>
                </c:pt>
                <c:pt idx="503">
                  <c:v>84.2646126619819</c:v>
                </c:pt>
                <c:pt idx="504">
                  <c:v>84.2228844527993</c:v>
                </c:pt>
                <c:pt idx="505">
                  <c:v>84.1822591764201</c:v>
                </c:pt>
                <c:pt idx="506">
                  <c:v>84.142740144723</c:v>
                </c:pt>
                <c:pt idx="507">
                  <c:v>84.104330582776</c:v>
                </c:pt>
                <c:pt idx="508">
                  <c:v>84.0670336283069</c:v>
                </c:pt>
                <c:pt idx="509">
                  <c:v>84.0308523311843</c:v>
                </c:pt>
                <c:pt idx="510">
                  <c:v>83.9957896529113</c:v>
                </c:pt>
                <c:pt idx="511">
                  <c:v>83.961848466132</c:v>
                </c:pt>
                <c:pt idx="512">
                  <c:v>83.9290315541495</c:v>
                </c:pt>
                <c:pt idx="513">
                  <c:v>83.8973416104584</c:v>
                </c:pt>
                <c:pt idx="514">
                  <c:v>83.866781238289</c:v>
                </c:pt>
                <c:pt idx="515">
                  <c:v>83.8373529501658</c:v>
                </c:pt>
                <c:pt idx="516">
                  <c:v>83.80905916748</c:v>
                </c:pt>
                <c:pt idx="517">
                  <c:v>83.7819022200749</c:v>
                </c:pt>
                <c:pt idx="518">
                  <c:v>83.7558843458465</c:v>
                </c:pt>
                <c:pt idx="519">
                  <c:v>83.7310076903581</c:v>
                </c:pt>
                <c:pt idx="520">
                  <c:v>83.7072743064698</c:v>
                </c:pt>
                <c:pt idx="521">
                  <c:v>83.6846861539826</c:v>
                </c:pt>
                <c:pt idx="522">
                  <c:v>83.6632450992977</c:v>
                </c:pt>
                <c:pt idx="523">
                  <c:v>83.6429529150912</c:v>
                </c:pt>
                <c:pt idx="524">
                  <c:v>83.6238112800046</c:v>
                </c:pt>
                <c:pt idx="525">
                  <c:v>83.6058217783499</c:v>
                </c:pt>
                <c:pt idx="526">
                  <c:v>83.5889858998317</c:v>
                </c:pt>
                <c:pt idx="527">
                  <c:v>83.5733050392852</c:v>
                </c:pt>
                <c:pt idx="528">
                  <c:v>83.5587804964292</c:v>
                </c:pt>
                <c:pt idx="529">
                  <c:v>83.5454134756372</c:v>
                </c:pt>
                <c:pt idx="530">
                  <c:v>83.5332050857232</c:v>
                </c:pt>
                <c:pt idx="531">
                  <c:v>83.5221563397458</c:v>
                </c:pt>
                <c:pt idx="532">
                  <c:v>83.5122681548274</c:v>
                </c:pt>
                <c:pt idx="533">
                  <c:v>83.5035413519913</c:v>
                </c:pt>
                <c:pt idx="534">
                  <c:v>83.4959766560153</c:v>
                </c:pt>
                <c:pt idx="535">
                  <c:v>83.4895746953024</c:v>
                </c:pt>
                <c:pt idx="536">
                  <c:v>83.4843360017688</c:v>
                </c:pt>
                <c:pt idx="537">
                  <c:v>83.4802610107481</c:v>
                </c:pt>
                <c:pt idx="538">
                  <c:v>83.4773500609143</c:v>
                </c:pt>
                <c:pt idx="539">
                  <c:v>83.4756033942205</c:v>
                </c:pt>
                <c:pt idx="540">
                  <c:v>83.4750211558562</c:v>
                </c:pt>
                <c:pt idx="541">
                  <c:v>83.4756033942205</c:v>
                </c:pt>
                <c:pt idx="542">
                  <c:v>83.4773500609143</c:v>
                </c:pt>
                <c:pt idx="543">
                  <c:v>83.4802610107481</c:v>
                </c:pt>
                <c:pt idx="544">
                  <c:v>83.4843360017688</c:v>
                </c:pt>
                <c:pt idx="545">
                  <c:v>83.4895746953024</c:v>
                </c:pt>
                <c:pt idx="546">
                  <c:v>83.4959766560153</c:v>
                </c:pt>
                <c:pt idx="547">
                  <c:v>83.5035413519913</c:v>
                </c:pt>
                <c:pt idx="548">
                  <c:v>83.5122681548274</c:v>
                </c:pt>
                <c:pt idx="549">
                  <c:v>83.5221563397458</c:v>
                </c:pt>
                <c:pt idx="550">
                  <c:v>83.5332050857232</c:v>
                </c:pt>
                <c:pt idx="551">
                  <c:v>83.5454134756372</c:v>
                </c:pt>
                <c:pt idx="552">
                  <c:v>83.5587804964292</c:v>
                </c:pt>
                <c:pt idx="553">
                  <c:v>83.5733050392852</c:v>
                </c:pt>
                <c:pt idx="554">
                  <c:v>83.5889858998317</c:v>
                </c:pt>
                <c:pt idx="555">
                  <c:v>83.6058217783499</c:v>
                </c:pt>
                <c:pt idx="556">
                  <c:v>83.6238112800046</c:v>
                </c:pt>
                <c:pt idx="557">
                  <c:v>83.6429529150912</c:v>
                </c:pt>
                <c:pt idx="558">
                  <c:v>83.6632450992977</c:v>
                </c:pt>
                <c:pt idx="559">
                  <c:v>83.6846861539826</c:v>
                </c:pt>
                <c:pt idx="560">
                  <c:v>83.7072743064698</c:v>
                </c:pt>
                <c:pt idx="561">
                  <c:v>83.7310076903581</c:v>
                </c:pt>
                <c:pt idx="562">
                  <c:v>83.7558843458465</c:v>
                </c:pt>
                <c:pt idx="563">
                  <c:v>83.7819022200749</c:v>
                </c:pt>
                <c:pt idx="564">
                  <c:v>83.80905916748</c:v>
                </c:pt>
                <c:pt idx="565">
                  <c:v>83.8373529501658</c:v>
                </c:pt>
                <c:pt idx="566">
                  <c:v>83.866781238289</c:v>
                </c:pt>
                <c:pt idx="567">
                  <c:v>83.8973416104584</c:v>
                </c:pt>
                <c:pt idx="568">
                  <c:v>83.9290315541495</c:v>
                </c:pt>
                <c:pt idx="569">
                  <c:v>83.961848466132</c:v>
                </c:pt>
                <c:pt idx="570">
                  <c:v>83.9957896529113</c:v>
                </c:pt>
                <c:pt idx="571">
                  <c:v>84.0308523311843</c:v>
                </c:pt>
                <c:pt idx="572">
                  <c:v>84.0670336283069</c:v>
                </c:pt>
                <c:pt idx="573">
                  <c:v>84.104330582776</c:v>
                </c:pt>
                <c:pt idx="574">
                  <c:v>84.1427401447229</c:v>
                </c:pt>
                <c:pt idx="575">
                  <c:v>84.1822591764201</c:v>
                </c:pt>
                <c:pt idx="576">
                  <c:v>84.2228844527993</c:v>
                </c:pt>
                <c:pt idx="577">
                  <c:v>84.2646126619819</c:v>
                </c:pt>
                <c:pt idx="578">
                  <c:v>84.3074404058208</c:v>
                </c:pt>
                <c:pt idx="579">
                  <c:v>84.3513642004531</c:v>
                </c:pt>
                <c:pt idx="580">
                  <c:v>84.3963804768642</c:v>
                </c:pt>
                <c:pt idx="581">
                  <c:v>84.4424855814625</c:v>
                </c:pt>
                <c:pt idx="582">
                  <c:v>84.4896757766636</c:v>
                </c:pt>
                <c:pt idx="583">
                  <c:v>84.5379472414855</c:v>
                </c:pt>
                <c:pt idx="584">
                  <c:v>84.5872960721529</c:v>
                </c:pt>
                <c:pt idx="585">
                  <c:v>84.637718282711</c:v>
                </c:pt>
                <c:pt idx="586">
                  <c:v>84.689209805648</c:v>
                </c:pt>
                <c:pt idx="587">
                  <c:v>84.7417664925266</c:v>
                </c:pt>
                <c:pt idx="588">
                  <c:v>84.7953841146239</c:v>
                </c:pt>
                <c:pt idx="589">
                  <c:v>84.8500583635792</c:v>
                </c:pt>
                <c:pt idx="590">
                  <c:v>84.9057848520489</c:v>
                </c:pt>
                <c:pt idx="591">
                  <c:v>84.96255911437</c:v>
                </c:pt>
                <c:pt idx="592">
                  <c:v>85.0203766072295</c:v>
                </c:pt>
                <c:pt idx="593">
                  <c:v>85.0792327103409</c:v>
                </c:pt>
                <c:pt idx="594">
                  <c:v>85.1391227271269</c:v>
                </c:pt>
                <c:pt idx="595">
                  <c:v>85.2000418854084</c:v>
                </c:pt>
                <c:pt idx="596">
                  <c:v>85.2619853380988</c:v>
                </c:pt>
                <c:pt idx="597">
                  <c:v>85.3249481639036</c:v>
                </c:pt>
                <c:pt idx="598">
                  <c:v>85.3889253680254</c:v>
                </c:pt>
                <c:pt idx="599">
                  <c:v>85.453911882873</c:v>
                </c:pt>
                <c:pt idx="600">
                  <c:v>85.5199025687752</c:v>
                </c:pt>
                <c:pt idx="601">
                  <c:v>85.5868922146985</c:v>
                </c:pt>
                <c:pt idx="602">
                  <c:v>85.6548755389681</c:v>
                </c:pt>
                <c:pt idx="603">
                  <c:v>85.7238471899927</c:v>
                </c:pt>
                <c:pt idx="604">
                  <c:v>85.7938017469922</c:v>
                </c:pt>
                <c:pt idx="605">
                  <c:v>85.8647337207275</c:v>
                </c:pt>
                <c:pt idx="606">
                  <c:v>85.9366375542334</c:v>
                </c:pt>
                <c:pt idx="607">
                  <c:v>86.0095076235529</c:v>
                </c:pt>
                <c:pt idx="608">
                  <c:v>86.0833382384735</c:v>
                </c:pt>
                <c:pt idx="609">
                  <c:v>86.1581236432651</c:v>
                </c:pt>
                <c:pt idx="610">
                  <c:v>86.233858017418</c:v>
                </c:pt>
                <c:pt idx="611">
                  <c:v>86.310535476383</c:v>
                </c:pt>
                <c:pt idx="612">
                  <c:v>86.3881500723109</c:v>
                </c:pt>
                <c:pt idx="613">
                  <c:v>86.4666957947927</c:v>
                </c:pt>
                <c:pt idx="614">
                  <c:v>86.546166571599</c:v>
                </c:pt>
                <c:pt idx="615">
                  <c:v>86.6265562694202</c:v>
                </c:pt>
                <c:pt idx="616">
                  <c:v>86.7078586946045</c:v>
                </c:pt>
                <c:pt idx="617">
                  <c:v>86.790067593896</c:v>
                </c:pt>
                <c:pt idx="618">
                  <c:v>86.8731766551707</c:v>
                </c:pt>
                <c:pt idx="619">
                  <c:v>86.9571795081718</c:v>
                </c:pt>
                <c:pt idx="620">
                  <c:v>87.0420697252423</c:v>
                </c:pt>
                <c:pt idx="621">
                  <c:v>87.127840822056</c:v>
                </c:pt>
                <c:pt idx="622">
                  <c:v>87.2144862583464</c:v>
                </c:pt>
                <c:pt idx="623">
                  <c:v>87.3019994386318</c:v>
                </c:pt>
                <c:pt idx="624">
                  <c:v>87.3903737129393</c:v>
                </c:pt>
                <c:pt idx="625">
                  <c:v>87.4796023775243</c:v>
                </c:pt>
                <c:pt idx="626">
                  <c:v>87.569678675587</c:v>
                </c:pt>
                <c:pt idx="627">
                  <c:v>87.6605957979861</c:v>
                </c:pt>
                <c:pt idx="628">
                  <c:v>87.7523468839476</c:v>
                </c:pt>
                <c:pt idx="629">
                  <c:v>87.8449250217701</c:v>
                </c:pt>
                <c:pt idx="630">
                  <c:v>87.9383232495265</c:v>
                </c:pt>
                <c:pt idx="631">
                  <c:v>88.0325345557598</c:v>
                </c:pt>
                <c:pt idx="632">
                  <c:v>88.127551880176</c:v>
                </c:pt>
                <c:pt idx="633">
                  <c:v>88.223368114331</c:v>
                </c:pt>
                <c:pt idx="634">
                  <c:v>88.3199761023126</c:v>
                </c:pt>
                <c:pt idx="635">
                  <c:v>88.4173686414183</c:v>
                </c:pt>
                <c:pt idx="636">
                  <c:v>88.5155384828264</c:v>
                </c:pt>
                <c:pt idx="637">
                  <c:v>88.6144783322625</c:v>
                </c:pt>
                <c:pt idx="638">
                  <c:v>88.7141808506602</c:v>
                </c:pt>
                <c:pt idx="639">
                  <c:v>88.8146386548157</c:v>
                </c:pt>
                <c:pt idx="640">
                  <c:v>88.9158443180365</c:v>
                </c:pt>
                <c:pt idx="641">
                  <c:v>89.0177903707841</c:v>
                </c:pt>
                <c:pt idx="642">
                  <c:v>89.1204693013107</c:v>
                </c:pt>
                <c:pt idx="643">
                  <c:v>89.2238735562887</c:v>
                </c:pt>
                <c:pt idx="644">
                  <c:v>89.3279955414346</c:v>
                </c:pt>
                <c:pt idx="645">
                  <c:v>89.4328276221261</c:v>
                </c:pt>
                <c:pt idx="646">
                  <c:v>89.5383621240116</c:v>
                </c:pt>
                <c:pt idx="647">
                  <c:v>89.6445913336146</c:v>
                </c:pt>
                <c:pt idx="648">
                  <c:v>89.7515074989293</c:v>
                </c:pt>
                <c:pt idx="649">
                  <c:v>89.8591028300105</c:v>
                </c:pt>
                <c:pt idx="650">
                  <c:v>89.967369499556</c:v>
                </c:pt>
                <c:pt idx="651">
                  <c:v>89.9237003565181</c:v>
                </c:pt>
                <c:pt idx="652">
                  <c:v>89.8141146385095</c:v>
                </c:pt>
                <c:pt idx="653">
                  <c:v>89.7038812823689</c:v>
                </c:pt>
                <c:pt idx="654">
                  <c:v>89.5930082591467</c:v>
                </c:pt>
                <c:pt idx="655">
                  <c:v>89.4815035744466</c:v>
                </c:pt>
                <c:pt idx="656">
                  <c:v>89.3693752678873</c:v>
                </c:pt>
                <c:pt idx="657">
                  <c:v>89.2566314125715</c:v>
                </c:pt>
                <c:pt idx="658">
                  <c:v>89.1432801145616</c:v>
                </c:pt>
                <c:pt idx="659">
                  <c:v>89.0293295123644</c:v>
                </c:pt>
                <c:pt idx="660">
                  <c:v>88.9147877764219</c:v>
                </c:pt>
                <c:pt idx="661">
                  <c:v>88.7996631086104</c:v>
                </c:pt>
                <c:pt idx="662">
                  <c:v>88.6839637417471</c:v>
                </c:pt>
                <c:pt idx="663">
                  <c:v>88.5676979391041</c:v>
                </c:pt>
                <c:pt idx="664">
                  <c:v>88.4508739939298</c:v>
                </c:pt>
                <c:pt idx="665">
                  <c:v>88.3335002289782</c:v>
                </c:pt>
                <c:pt idx="666">
                  <c:v>88.2155849960454</c:v>
                </c:pt>
                <c:pt idx="667">
                  <c:v>88.0971366755137</c:v>
                </c:pt>
                <c:pt idx="668">
                  <c:v>87.9781636759033</c:v>
                </c:pt>
                <c:pt idx="669">
                  <c:v>87.858674433431</c:v>
                </c:pt>
                <c:pt idx="670">
                  <c:v>87.7386774115768</c:v>
                </c:pt>
                <c:pt idx="671">
                  <c:v>87.6181811006573</c:v>
                </c:pt>
                <c:pt idx="672">
                  <c:v>87.4971940174069</c:v>
                </c:pt>
                <c:pt idx="673">
                  <c:v>87.3757247045658</c:v>
                </c:pt>
                <c:pt idx="674">
                  <c:v>87.2537817304754</c:v>
                </c:pt>
                <c:pt idx="675">
                  <c:v>87.1313736886804</c:v>
                </c:pt>
                <c:pt idx="676">
                  <c:v>87.0085091975388</c:v>
                </c:pt>
                <c:pt idx="677">
                  <c:v>86.8851968998378</c:v>
                </c:pt>
                <c:pt idx="678">
                  <c:v>86.7614454624168</c:v>
                </c:pt>
                <c:pt idx="679">
                  <c:v>86.637263575798</c:v>
                </c:pt>
                <c:pt idx="680">
                  <c:v>86.5126599538225</c:v>
                </c:pt>
                <c:pt idx="681">
                  <c:v>86.3876433332936</c:v>
                </c:pt>
                <c:pt idx="682">
                  <c:v>86.2622224736265</c:v>
                </c:pt>
                <c:pt idx="683">
                  <c:v>86.1364061565043</c:v>
                </c:pt>
                <c:pt idx="684">
                  <c:v>86.0102031855402</c:v>
                </c:pt>
                <c:pt idx="685">
                  <c:v>85.8836223859459</c:v>
                </c:pt>
                <c:pt idx="686">
                  <c:v>85.7566726042059</c:v>
                </c:pt>
                <c:pt idx="687">
                  <c:v>85.6293627077578</c:v>
                </c:pt>
                <c:pt idx="688">
                  <c:v>85.5017015846785</c:v>
                </c:pt>
                <c:pt idx="689">
                  <c:v>85.3736981433754</c:v>
                </c:pt>
                <c:pt idx="690">
                  <c:v>85.2453613122837</c:v>
                </c:pt>
                <c:pt idx="691">
                  <c:v>85.1167000395689</c:v>
                </c:pt>
                <c:pt idx="692">
                  <c:v>84.9877232928342</c:v>
                </c:pt>
                <c:pt idx="693">
                  <c:v>84.8584400588331</c:v>
                </c:pt>
                <c:pt idx="694">
                  <c:v>84.7288593431873</c:v>
                </c:pt>
                <c:pt idx="695">
                  <c:v>84.5989901701083</c:v>
                </c:pt>
                <c:pt idx="696">
                  <c:v>84.4688415821246</c:v>
                </c:pt>
                <c:pt idx="697">
                  <c:v>84.3384226398127</c:v>
                </c:pt>
                <c:pt idx="698">
                  <c:v>84.2077424215324</c:v>
                </c:pt>
                <c:pt idx="699">
                  <c:v>84.0768100231662</c:v>
                </c:pt>
                <c:pt idx="700">
                  <c:v>83.9456345578629</c:v>
                </c:pt>
                <c:pt idx="701">
                  <c:v>83.8142251557838</c:v>
                </c:pt>
                <c:pt idx="702">
                  <c:v>83.6825909638541</c:v>
                </c:pt>
                <c:pt idx="703">
                  <c:v>83.5507411455158</c:v>
                </c:pt>
                <c:pt idx="704">
                  <c:v>83.4186848804849</c:v>
                </c:pt>
                <c:pt idx="705">
                  <c:v>83.2864313645114</c:v>
                </c:pt>
                <c:pt idx="706">
                  <c:v>83.1539898091414</c:v>
                </c:pt>
                <c:pt idx="707">
                  <c:v>83.0213694414824</c:v>
                </c:pt>
                <c:pt idx="708">
                  <c:v>82.8885795039704</c:v>
                </c:pt>
                <c:pt idx="709">
                  <c:v>82.7556292541398</c:v>
                </c:pt>
                <c:pt idx="710">
                  <c:v>82.6225279643942</c:v>
                </c:pt>
                <c:pt idx="711">
                  <c:v>82.4892849217797</c:v>
                </c:pt>
                <c:pt idx="712">
                  <c:v>82.3559094277597</c:v>
                </c:pt>
                <c:pt idx="713">
                  <c:v>82.2224107979901</c:v>
                </c:pt>
                <c:pt idx="714">
                  <c:v>82.0887983620965</c:v>
                </c:pt>
                <c:pt idx="715">
                  <c:v>81.9550814634517</c:v>
                </c:pt>
                <c:pt idx="716">
                  <c:v>81.8212694589538</c:v>
                </c:pt>
                <c:pt idx="717">
                  <c:v>81.6873717188048</c:v>
                </c:pt>
                <c:pt idx="718">
                  <c:v>81.5533976262895</c:v>
                </c:pt>
                <c:pt idx="719">
                  <c:v>81.4193565775535</c:v>
                </c:pt>
                <c:pt idx="720">
                  <c:v>81.2852579813819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"10 posiciones (inciso e)"</c:f>
              <c:strCache>
                <c:ptCount val="1"/>
                <c:pt idx="0">
                  <c:v>10 posiciones (inciso e)</c:v>
                </c:pt>
              </c:strCache>
            </c:strRef>
          </c:tx>
          <c:spPr>
            <a:solidFill>
              <a:srgbClr val="eb6834"/>
            </a:solidFill>
            <a:ln w="63360">
              <a:noFill/>
            </a:ln>
          </c:spPr>
          <c:marker>
            <c:symbol val="circle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e) 10 posiciones'!$B$6:$B$15</c:f>
              <c:numCache>
                <c:formatCode>0.##</c:formatCode>
                <c:ptCount val="10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</c:numCache>
            </c:numRef>
          </c:xVal>
          <c:yVal>
            <c:numRef>
              <c:f>'P2 e) 10 posiciones'!$E$6:$E$15</c:f>
              <c:numCache>
                <c:formatCode>0.00</c:formatCode>
                <c:ptCount val="10"/>
                <c:pt idx="0">
                  <c:v>81.2852579813819</c:v>
                </c:pt>
                <c:pt idx="1">
                  <c:v>72.0993567153919</c:v>
                </c:pt>
                <c:pt idx="2">
                  <c:v>66.1909865415589</c:v>
                </c:pt>
                <c:pt idx="3">
                  <c:v>66.1909865415589</c:v>
                </c:pt>
                <c:pt idx="4">
                  <c:v>72.0993567153919</c:v>
                </c:pt>
                <c:pt idx="5">
                  <c:v>81.2852579813819</c:v>
                </c:pt>
                <c:pt idx="6">
                  <c:v>89.7515074989293</c:v>
                </c:pt>
                <c:pt idx="7">
                  <c:v>84.2228844527993</c:v>
                </c:pt>
                <c:pt idx="8">
                  <c:v>84.2228844527993</c:v>
                </c:pt>
                <c:pt idx="9">
                  <c:v>89.7515074989293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"Mínimo recomendado 45°"</c:f>
              <c:strCache>
                <c:ptCount val="1"/>
                <c:pt idx="0">
                  <c:v>Mínimo recomendado 45°</c:v>
                </c:pt>
              </c:strCache>
            </c:strRef>
          </c:tx>
          <c:spPr>
            <a:solidFill>
              <a:srgbClr val="eb6834"/>
            </a:solidFill>
            <a:ln w="1512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'P2 Curva'!$A$6:$A$726</c:f>
              <c:numCache>
                <c:formatCode>0.0</c:formatCode>
                <c:ptCount val="7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</c:numCache>
            </c:numRef>
          </c:xVal>
          <c:yVal>
            <c:numRef>
              <c:f>'P2 Curva'!$I$6:$I$726</c:f>
              <c:numCache>
                <c:formatCode>0</c:formatCode>
                <c:ptCount val="721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45</c:v>
                </c:pt>
                <c:pt idx="105">
                  <c:v>45</c:v>
                </c:pt>
                <c:pt idx="106">
                  <c:v>45</c:v>
                </c:pt>
                <c:pt idx="107">
                  <c:v>45</c:v>
                </c:pt>
                <c:pt idx="108">
                  <c:v>45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45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45</c:v>
                </c:pt>
                <c:pt idx="126">
                  <c:v>45</c:v>
                </c:pt>
                <c:pt idx="127">
                  <c:v>45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45</c:v>
                </c:pt>
                <c:pt idx="133">
                  <c:v>45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45</c:v>
                </c:pt>
                <c:pt idx="138">
                  <c:v>45</c:v>
                </c:pt>
                <c:pt idx="139">
                  <c:v>45</c:v>
                </c:pt>
                <c:pt idx="140">
                  <c:v>45</c:v>
                </c:pt>
                <c:pt idx="141">
                  <c:v>45</c:v>
                </c:pt>
                <c:pt idx="142">
                  <c:v>45</c:v>
                </c:pt>
                <c:pt idx="143">
                  <c:v>45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45</c:v>
                </c:pt>
                <c:pt idx="148">
                  <c:v>45</c:v>
                </c:pt>
                <c:pt idx="149">
                  <c:v>45</c:v>
                </c:pt>
                <c:pt idx="150">
                  <c:v>45</c:v>
                </c:pt>
                <c:pt idx="151">
                  <c:v>45</c:v>
                </c:pt>
                <c:pt idx="152">
                  <c:v>45</c:v>
                </c:pt>
                <c:pt idx="153">
                  <c:v>45</c:v>
                </c:pt>
                <c:pt idx="154">
                  <c:v>45</c:v>
                </c:pt>
                <c:pt idx="155">
                  <c:v>45</c:v>
                </c:pt>
                <c:pt idx="156">
                  <c:v>45</c:v>
                </c:pt>
                <c:pt idx="157">
                  <c:v>45</c:v>
                </c:pt>
                <c:pt idx="158">
                  <c:v>45</c:v>
                </c:pt>
                <c:pt idx="159">
                  <c:v>45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45</c:v>
                </c:pt>
                <c:pt idx="179">
                  <c:v>45</c:v>
                </c:pt>
                <c:pt idx="180">
                  <c:v>45</c:v>
                </c:pt>
                <c:pt idx="181">
                  <c:v>45</c:v>
                </c:pt>
                <c:pt idx="182">
                  <c:v>45</c:v>
                </c:pt>
                <c:pt idx="183">
                  <c:v>45</c:v>
                </c:pt>
                <c:pt idx="184">
                  <c:v>45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45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</c:v>
                </c:pt>
                <c:pt idx="272">
                  <c:v>45</c:v>
                </c:pt>
                <c:pt idx="273">
                  <c:v>45</c:v>
                </c:pt>
                <c:pt idx="274">
                  <c:v>45</c:v>
                </c:pt>
                <c:pt idx="275">
                  <c:v>45</c:v>
                </c:pt>
                <c:pt idx="276">
                  <c:v>45</c:v>
                </c:pt>
                <c:pt idx="277">
                  <c:v>45</c:v>
                </c:pt>
                <c:pt idx="278">
                  <c:v>45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</c:v>
                </c:pt>
                <c:pt idx="375">
                  <c:v>45</c:v>
                </c:pt>
                <c:pt idx="376">
                  <c:v>45</c:v>
                </c:pt>
                <c:pt idx="377">
                  <c:v>45</c:v>
                </c:pt>
                <c:pt idx="378">
                  <c:v>45</c:v>
                </c:pt>
                <c:pt idx="379">
                  <c:v>45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45</c:v>
                </c:pt>
                <c:pt idx="397">
                  <c:v>45</c:v>
                </c:pt>
                <c:pt idx="398">
                  <c:v>45</c:v>
                </c:pt>
                <c:pt idx="399">
                  <c:v>45</c:v>
                </c:pt>
                <c:pt idx="400">
                  <c:v>45</c:v>
                </c:pt>
                <c:pt idx="401">
                  <c:v>45</c:v>
                </c:pt>
                <c:pt idx="402">
                  <c:v>45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45</c:v>
                </c:pt>
                <c:pt idx="407">
                  <c:v>45</c:v>
                </c:pt>
                <c:pt idx="408">
                  <c:v>45</c:v>
                </c:pt>
                <c:pt idx="409">
                  <c:v>45</c:v>
                </c:pt>
                <c:pt idx="410">
                  <c:v>45</c:v>
                </c:pt>
                <c:pt idx="411">
                  <c:v>45</c:v>
                </c:pt>
                <c:pt idx="412">
                  <c:v>45</c:v>
                </c:pt>
                <c:pt idx="413">
                  <c:v>45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45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45</c:v>
                </c:pt>
                <c:pt idx="430">
                  <c:v>45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</c:v>
                </c:pt>
                <c:pt idx="438">
                  <c:v>45</c:v>
                </c:pt>
                <c:pt idx="439">
                  <c:v>45</c:v>
                </c:pt>
                <c:pt idx="440">
                  <c:v>45</c:v>
                </c:pt>
                <c:pt idx="441">
                  <c:v>45</c:v>
                </c:pt>
                <c:pt idx="442">
                  <c:v>45</c:v>
                </c:pt>
                <c:pt idx="443">
                  <c:v>45</c:v>
                </c:pt>
                <c:pt idx="444">
                  <c:v>45</c:v>
                </c:pt>
                <c:pt idx="445">
                  <c:v>45</c:v>
                </c:pt>
                <c:pt idx="446">
                  <c:v>45</c:v>
                </c:pt>
                <c:pt idx="447">
                  <c:v>45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45</c:v>
                </c:pt>
                <c:pt idx="452">
                  <c:v>45</c:v>
                </c:pt>
                <c:pt idx="453">
                  <c:v>45</c:v>
                </c:pt>
                <c:pt idx="454">
                  <c:v>45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45</c:v>
                </c:pt>
                <c:pt idx="467">
                  <c:v>45</c:v>
                </c:pt>
                <c:pt idx="468">
                  <c:v>45</c:v>
                </c:pt>
                <c:pt idx="469">
                  <c:v>45</c:v>
                </c:pt>
                <c:pt idx="470">
                  <c:v>45</c:v>
                </c:pt>
                <c:pt idx="471">
                  <c:v>45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45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</c:v>
                </c:pt>
                <c:pt idx="537">
                  <c:v>45</c:v>
                </c:pt>
                <c:pt idx="538">
                  <c:v>45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45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45</c:v>
                </c:pt>
                <c:pt idx="720">
                  <c:v>45</c:v>
                </c:pt>
              </c:numCache>
            </c:numRef>
          </c:yVal>
          <c:smooth val="1"/>
        </c:ser>
        <c:axId val="87653663"/>
        <c:axId val="23096144"/>
      </c:scatterChart>
      <c:valAx>
        <c:axId val="87653663"/>
        <c:scaling>
          <c:orientation val="minMax"/>
          <c:max val="360"/>
          <c:min val="0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θ2, ángulo de la manivela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3096144"/>
        <c:crosses val="autoZero"/>
        <c:crossBetween val="midCat"/>
        <c:majorUnit val="36"/>
      </c:valAx>
      <c:valAx>
        <c:axId val="23096144"/>
        <c:scaling>
          <c:orientation val="minMax"/>
          <c:max val="100"/>
          <c:min val="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μ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765366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8</xdr:col>
      <xdr:colOff>48960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0" y="866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18</xdr:col>
      <xdr:colOff>48960</xdr:colOff>
      <xdr:row>20</xdr:row>
      <xdr:rowOff>1080</xdr:rowOff>
    </xdr:to>
    <xdr:graphicFrame>
      <xdr:nvGraphicFramePr>
        <xdr:cNvPr id="1" name="Chart 2"/>
        <xdr:cNvGraphicFramePr/>
      </xdr:nvGraphicFramePr>
      <xdr:xfrm>
        <a:off x="7588080" y="866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48960</xdr:colOff>
      <xdr:row>38</xdr:row>
      <xdr:rowOff>1080</xdr:rowOff>
    </xdr:to>
    <xdr:graphicFrame>
      <xdr:nvGraphicFramePr>
        <xdr:cNvPr id="2" name="Chart 3"/>
        <xdr:cNvGraphicFramePr/>
      </xdr:nvGraphicFramePr>
      <xdr:xfrm>
        <a:off x="0" y="4295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18</xdr:col>
      <xdr:colOff>48960</xdr:colOff>
      <xdr:row>38</xdr:row>
      <xdr:rowOff>1080</xdr:rowOff>
    </xdr:to>
    <xdr:graphicFrame>
      <xdr:nvGraphicFramePr>
        <xdr:cNvPr id="3" name="Chart 4"/>
        <xdr:cNvGraphicFramePr/>
      </xdr:nvGraphicFramePr>
      <xdr:xfrm>
        <a:off x="7588080" y="4295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8</xdr:col>
      <xdr:colOff>48960</xdr:colOff>
      <xdr:row>56</xdr:row>
      <xdr:rowOff>1080</xdr:rowOff>
    </xdr:to>
    <xdr:graphicFrame>
      <xdr:nvGraphicFramePr>
        <xdr:cNvPr id="4" name="Chart 5"/>
        <xdr:cNvGraphicFramePr/>
      </xdr:nvGraphicFramePr>
      <xdr:xfrm>
        <a:off x="0" y="7724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39</xdr:row>
      <xdr:rowOff>0</xdr:rowOff>
    </xdr:from>
    <xdr:to>
      <xdr:col>18</xdr:col>
      <xdr:colOff>48960</xdr:colOff>
      <xdr:row>56</xdr:row>
      <xdr:rowOff>1080</xdr:rowOff>
    </xdr:to>
    <xdr:graphicFrame>
      <xdr:nvGraphicFramePr>
        <xdr:cNvPr id="5" name="Chart 6"/>
        <xdr:cNvGraphicFramePr/>
      </xdr:nvGraphicFramePr>
      <xdr:xfrm>
        <a:off x="7588080" y="7724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788"/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10"/>
    <col collapsed="false" customWidth="true" hidden="false" outlineLevel="0" max="4" min="4" style="0" width="3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4" customFormat="false" ht="18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</row>
    <row r="6" customFormat="false" ht="15" hidden="false" customHeight="false" outlineLevel="0" collapsed="false">
      <c r="A6" s="7" t="s">
        <v>3</v>
      </c>
      <c r="B6" s="5" t="s">
        <v>6</v>
      </c>
      <c r="C6" s="6" t="s">
        <v>7</v>
      </c>
    </row>
    <row r="7" customFormat="false" ht="15" hidden="false" customHeight="false" outlineLevel="0" collapsed="false">
      <c r="A7" s="8" t="s">
        <v>3</v>
      </c>
      <c r="B7" s="5" t="s">
        <v>8</v>
      </c>
      <c r="C7" s="6" t="s">
        <v>9</v>
      </c>
    </row>
    <row r="8" customFormat="false" ht="15" hidden="false" customHeight="false" outlineLevel="0" collapsed="false">
      <c r="A8" s="9" t="s">
        <v>3</v>
      </c>
      <c r="B8" s="5" t="s">
        <v>10</v>
      </c>
      <c r="C8" s="6" t="s">
        <v>11</v>
      </c>
    </row>
    <row r="9" customFormat="false" ht="15" hidden="false" customHeight="false" outlineLevel="0" collapsed="false">
      <c r="A9" s="10" t="s">
        <v>3</v>
      </c>
      <c r="B9" s="5" t="s">
        <v>12</v>
      </c>
      <c r="C9" s="6" t="s">
        <v>13</v>
      </c>
    </row>
    <row r="11" customFormat="false" ht="18" hidden="false" customHeight="true" outlineLevel="0" collapsed="false">
      <c r="A11" s="3" t="s">
        <v>14</v>
      </c>
      <c r="B11" s="3"/>
      <c r="C11" s="3"/>
      <c r="D11" s="3"/>
    </row>
    <row r="12" customFormat="false" ht="15" hidden="false" customHeight="false" outlineLevel="0" collapsed="false">
      <c r="A12" s="11" t="s">
        <v>15</v>
      </c>
      <c r="B12" s="11" t="s">
        <v>16</v>
      </c>
      <c r="C12" s="11" t="s">
        <v>17</v>
      </c>
      <c r="D12" s="11"/>
    </row>
    <row r="13" customFormat="false" ht="30" hidden="false" customHeight="true" outlineLevel="0" collapsed="false">
      <c r="A13" s="12" t="s">
        <v>18</v>
      </c>
      <c r="B13" s="13" t="s">
        <v>19</v>
      </c>
      <c r="C13" s="14" t="s">
        <v>20</v>
      </c>
    </row>
    <row r="14" customFormat="false" ht="30" hidden="false" customHeight="true" outlineLevel="0" collapsed="false">
      <c r="A14" s="12" t="s">
        <v>21</v>
      </c>
      <c r="B14" s="13" t="s">
        <v>22</v>
      </c>
      <c r="C14" s="14" t="s">
        <v>23</v>
      </c>
    </row>
    <row r="15" customFormat="false" ht="30" hidden="false" customHeight="true" outlineLevel="0" collapsed="false">
      <c r="A15" s="12" t="s">
        <v>21</v>
      </c>
      <c r="B15" s="13" t="s">
        <v>24</v>
      </c>
      <c r="C15" s="14" t="s">
        <v>25</v>
      </c>
    </row>
    <row r="16" customFormat="false" ht="30" hidden="false" customHeight="true" outlineLevel="0" collapsed="false">
      <c r="A16" s="12" t="s">
        <v>26</v>
      </c>
      <c r="B16" s="13" t="s">
        <v>27</v>
      </c>
      <c r="C16" s="14" t="s">
        <v>28</v>
      </c>
    </row>
    <row r="17" customFormat="false" ht="30" hidden="false" customHeight="true" outlineLevel="0" collapsed="false">
      <c r="A17" s="12" t="s">
        <v>26</v>
      </c>
      <c r="B17" s="13" t="s">
        <v>29</v>
      </c>
      <c r="C17" s="14" t="s">
        <v>30</v>
      </c>
    </row>
    <row r="18" customFormat="false" ht="30" hidden="false" customHeight="true" outlineLevel="0" collapsed="false">
      <c r="A18" s="12" t="s">
        <v>26</v>
      </c>
      <c r="B18" s="13" t="s">
        <v>31</v>
      </c>
      <c r="C18" s="14" t="s">
        <v>32</v>
      </c>
    </row>
    <row r="19" customFormat="false" ht="30" hidden="false" customHeight="true" outlineLevel="0" collapsed="false">
      <c r="A19" s="12" t="s">
        <v>33</v>
      </c>
      <c r="B19" s="13" t="s">
        <v>34</v>
      </c>
      <c r="C19" s="14" t="s">
        <v>35</v>
      </c>
    </row>
    <row r="20" customFormat="false" ht="30" hidden="false" customHeight="true" outlineLevel="0" collapsed="false">
      <c r="A20" s="12" t="s">
        <v>36</v>
      </c>
      <c r="B20" s="13" t="s">
        <v>37</v>
      </c>
      <c r="C20" s="14" t="s">
        <v>38</v>
      </c>
    </row>
    <row r="21" customFormat="false" ht="30" hidden="false" customHeight="true" outlineLevel="0" collapsed="false">
      <c r="A21" s="12" t="s">
        <v>39</v>
      </c>
      <c r="B21" s="13" t="s">
        <v>40</v>
      </c>
      <c r="C21" s="14" t="s">
        <v>41</v>
      </c>
    </row>
    <row r="23" customFormat="false" ht="15" hidden="false" customHeight="false" outlineLevel="0" collapsed="false">
      <c r="A23" s="15" t="s">
        <v>42</v>
      </c>
    </row>
    <row r="24" customFormat="false" ht="15" hidden="false" customHeight="false" outlineLevel="0" collapsed="false">
      <c r="A24" s="15" t="s">
        <v>43</v>
      </c>
    </row>
  </sheetData>
  <mergeCells count="4">
    <mergeCell ref="A1:D1"/>
    <mergeCell ref="A2:D2"/>
    <mergeCell ref="A4:D4"/>
    <mergeCell ref="A11:D11"/>
  </mergeCells>
  <hyperlinks>
    <hyperlink ref="B13" location="'P2 a) Datos y Sintesis'!A1" display="P2 a) Datos y Sintesis"/>
    <hyperlink ref="B14" location="'P2 Calculadora M-C'!A1" display="P2 Calculadora M-C"/>
    <hyperlink ref="B15" location="'P2 e) 10 posiciones'!A1" display="P2 e) 10 posiciones"/>
    <hyperlink ref="B16" location="'P2 f) Validacion'!A1" display="P2 f) Validacion"/>
    <hyperlink ref="B17" location="'P2 Graficas'!A1" display="P2 Graficas"/>
    <hyperlink ref="B18" location="'P2 Curva'!A1" display="P2 Curva"/>
    <hyperlink ref="B19" location="'P2 g) Contraste'!A1" display="P2 g) Contrast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788"/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3"/>
    <col collapsed="false" customWidth="true" hidden="false" outlineLevel="0" max="6" min="6" style="0" width="62"/>
  </cols>
  <sheetData>
    <row r="1" customFormat="false" ht="25.5" hidden="false" customHeight="true" outlineLevel="0" collapsed="false">
      <c r="A1" s="1" t="s">
        <v>44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45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46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11" t="s">
        <v>47</v>
      </c>
      <c r="B5" s="11" t="s">
        <v>48</v>
      </c>
      <c r="C5" s="11" t="s">
        <v>49</v>
      </c>
      <c r="D5" s="11" t="s">
        <v>50</v>
      </c>
      <c r="E5" s="11"/>
      <c r="F5" s="11" t="s">
        <v>51</v>
      </c>
    </row>
    <row r="6" customFormat="false" ht="15" hidden="false" customHeight="false" outlineLevel="0" collapsed="false">
      <c r="A6" s="6" t="s">
        <v>52</v>
      </c>
      <c r="B6" s="16" t="s">
        <v>53</v>
      </c>
      <c r="C6" s="17" t="n">
        <v>35</v>
      </c>
      <c r="D6" s="6" t="s">
        <v>54</v>
      </c>
      <c r="F6" s="15" t="s">
        <v>55</v>
      </c>
    </row>
    <row r="7" customFormat="false" ht="15" hidden="false" customHeight="false" outlineLevel="0" collapsed="false">
      <c r="A7" s="6" t="s">
        <v>56</v>
      </c>
      <c r="B7" s="16" t="s">
        <v>57</v>
      </c>
      <c r="C7" s="17" t="n">
        <v>132</v>
      </c>
      <c r="D7" s="6" t="s">
        <v>54</v>
      </c>
      <c r="F7" s="15" t="s">
        <v>58</v>
      </c>
    </row>
    <row r="8" customFormat="false" ht="15" hidden="false" customHeight="false" outlineLevel="0" collapsed="false">
      <c r="A8" s="6" t="s">
        <v>59</v>
      </c>
      <c r="B8" s="16" t="s">
        <v>60</v>
      </c>
      <c r="C8" s="17" t="n">
        <v>-20</v>
      </c>
      <c r="D8" s="6" t="s">
        <v>54</v>
      </c>
      <c r="F8" s="15" t="s">
        <v>61</v>
      </c>
    </row>
    <row r="9" customFormat="false" ht="15" hidden="false" customHeight="false" outlineLevel="0" collapsed="false">
      <c r="A9" s="6" t="s">
        <v>62</v>
      </c>
      <c r="B9" s="16" t="s">
        <v>63</v>
      </c>
      <c r="C9" s="17" t="n">
        <v>30</v>
      </c>
      <c r="D9" s="6" t="s">
        <v>64</v>
      </c>
      <c r="F9" s="15" t="s">
        <v>65</v>
      </c>
    </row>
    <row r="10" customFormat="false" ht="15" hidden="false" customHeight="false" outlineLevel="0" collapsed="false">
      <c r="A10" s="6" t="s">
        <v>66</v>
      </c>
      <c r="B10" s="16" t="s">
        <v>67</v>
      </c>
      <c r="C10" s="17" t="n">
        <v>1</v>
      </c>
      <c r="D10" s="6" t="s">
        <v>68</v>
      </c>
      <c r="F10" s="15" t="s">
        <v>69</v>
      </c>
    </row>
    <row r="11" customFormat="false" ht="15" hidden="false" customHeight="false" outlineLevel="0" collapsed="false">
      <c r="A11" s="6" t="s">
        <v>70</v>
      </c>
      <c r="B11" s="16" t="s">
        <v>71</v>
      </c>
      <c r="C11" s="17" t="n">
        <v>0</v>
      </c>
      <c r="D11" s="6" t="s">
        <v>72</v>
      </c>
      <c r="F11" s="15" t="s">
        <v>73</v>
      </c>
    </row>
    <row r="12" customFormat="false" ht="15" hidden="false" customHeight="false" outlineLevel="0" collapsed="false">
      <c r="A12" s="6" t="s">
        <v>74</v>
      </c>
      <c r="B12" s="16" t="s">
        <v>75</v>
      </c>
      <c r="C12" s="18" t="n">
        <f aca="false">C10*C9*2*PI()/60</f>
        <v>3.14159265358979</v>
      </c>
      <c r="D12" s="6" t="s">
        <v>76</v>
      </c>
      <c r="F12" s="15" t="s">
        <v>77</v>
      </c>
    </row>
    <row r="14" customFormat="false" ht="18" hidden="false" customHeight="true" outlineLevel="0" collapsed="false">
      <c r="A14" s="3" t="s">
        <v>78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11" t="s">
        <v>79</v>
      </c>
      <c r="B15" s="11" t="s">
        <v>48</v>
      </c>
      <c r="C15" s="11" t="s">
        <v>49</v>
      </c>
      <c r="D15" s="11" t="s">
        <v>50</v>
      </c>
      <c r="E15" s="11"/>
      <c r="F15" s="11" t="s">
        <v>80</v>
      </c>
    </row>
    <row r="16" customFormat="false" ht="15" hidden="false" customHeight="false" outlineLevel="0" collapsed="false">
      <c r="A16" s="6" t="s">
        <v>81</v>
      </c>
      <c r="B16" s="16" t="s">
        <v>82</v>
      </c>
      <c r="C16" s="19" t="n">
        <v>4</v>
      </c>
    </row>
    <row r="17" customFormat="false" ht="15" hidden="false" customHeight="false" outlineLevel="0" collapsed="false">
      <c r="A17" s="6" t="s">
        <v>83</v>
      </c>
      <c r="B17" s="16" t="s">
        <v>84</v>
      </c>
      <c r="C17" s="19" t="n">
        <v>4</v>
      </c>
    </row>
    <row r="18" customFormat="false" ht="15" hidden="false" customHeight="false" outlineLevel="0" collapsed="false">
      <c r="A18" s="6" t="s">
        <v>85</v>
      </c>
      <c r="B18" s="16" t="s">
        <v>86</v>
      </c>
      <c r="C18" s="19" t="n">
        <v>0</v>
      </c>
    </row>
    <row r="19" customFormat="false" ht="15" hidden="false" customHeight="false" outlineLevel="0" collapsed="false">
      <c r="A19" s="6" t="s">
        <v>87</v>
      </c>
      <c r="B19" s="16" t="s">
        <v>88</v>
      </c>
      <c r="C19" s="20" t="n">
        <f aca="false">3*(C16-1)-2*C17-C18</f>
        <v>1</v>
      </c>
      <c r="F19" s="15" t="s">
        <v>89</v>
      </c>
    </row>
    <row r="21" customFormat="false" ht="18" hidden="false" customHeight="true" outlineLevel="0" collapsed="false">
      <c r="A21" s="3" t="s">
        <v>90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11" t="s">
        <v>91</v>
      </c>
      <c r="B22" s="11" t="s">
        <v>48</v>
      </c>
      <c r="C22" s="11" t="s">
        <v>49</v>
      </c>
      <c r="D22" s="11" t="s">
        <v>50</v>
      </c>
      <c r="E22" s="11"/>
      <c r="F22" s="11" t="s">
        <v>92</v>
      </c>
    </row>
    <row r="23" customFormat="false" ht="15" hidden="false" customHeight="false" outlineLevel="0" collapsed="false">
      <c r="A23" s="6" t="s">
        <v>93</v>
      </c>
      <c r="B23" s="16" t="s">
        <v>94</v>
      </c>
      <c r="C23" s="17" t="n">
        <v>70</v>
      </c>
      <c r="D23" s="6" t="s">
        <v>54</v>
      </c>
      <c r="F23" s="15" t="s">
        <v>95</v>
      </c>
    </row>
    <row r="24" customFormat="false" ht="15" hidden="false" customHeight="false" outlineLevel="0" collapsed="false">
      <c r="A24" s="6" t="s">
        <v>96</v>
      </c>
      <c r="B24" s="16" t="s">
        <v>97</v>
      </c>
      <c r="C24" s="21" t="n">
        <f aca="false">C23/2</f>
        <v>35</v>
      </c>
      <c r="D24" s="6" t="s">
        <v>54</v>
      </c>
      <c r="F24" s="15" t="s">
        <v>98</v>
      </c>
    </row>
    <row r="25" customFormat="false" ht="15" hidden="false" customHeight="false" outlineLevel="0" collapsed="false">
      <c r="A25" s="6" t="s">
        <v>99</v>
      </c>
      <c r="B25" s="16" t="s">
        <v>100</v>
      </c>
      <c r="C25" s="21" t="n">
        <f aca="false">P2_a+ABS(P2_c)</f>
        <v>55</v>
      </c>
      <c r="D25" s="6" t="s">
        <v>54</v>
      </c>
      <c r="F25" s="15" t="s">
        <v>101</v>
      </c>
    </row>
    <row r="26" customFormat="false" ht="15" hidden="false" customHeight="false" outlineLevel="0" collapsed="false">
      <c r="A26" s="6" t="s">
        <v>102</v>
      </c>
      <c r="B26" s="16" t="s">
        <v>103</v>
      </c>
      <c r="C26" s="21" t="n">
        <f aca="false">(P2_a+ABS(P2_c))/SIN(RADIANS(45))</f>
        <v>77.7817459305202</v>
      </c>
      <c r="D26" s="6" t="s">
        <v>54</v>
      </c>
      <c r="F26" s="15" t="s">
        <v>104</v>
      </c>
    </row>
    <row r="27" customFormat="false" ht="15" hidden="false" customHeight="false" outlineLevel="0" collapsed="false">
      <c r="A27" s="6" t="s">
        <v>105</v>
      </c>
      <c r="B27" s="16" t="s">
        <v>106</v>
      </c>
      <c r="C27" s="21" t="n">
        <f aca="false">P2_b/P2_a</f>
        <v>3.77142857142857</v>
      </c>
      <c r="D27" s="6" t="s">
        <v>68</v>
      </c>
      <c r="F27" s="15" t="s">
        <v>107</v>
      </c>
    </row>
    <row r="29" customFormat="false" ht="18" hidden="false" customHeight="true" outlineLevel="0" collapsed="false">
      <c r="A29" s="3" t="s">
        <v>108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11" t="s">
        <v>47</v>
      </c>
      <c r="B30" s="11" t="s">
        <v>48</v>
      </c>
      <c r="C30" s="11" t="s">
        <v>49</v>
      </c>
      <c r="D30" s="11" t="s">
        <v>50</v>
      </c>
      <c r="E30" s="11"/>
      <c r="F30" s="11" t="s">
        <v>109</v>
      </c>
    </row>
    <row r="31" customFormat="false" ht="15" hidden="false" customHeight="false" outlineLevel="0" collapsed="false">
      <c r="A31" s="6" t="s">
        <v>110</v>
      </c>
      <c r="B31" s="16" t="s">
        <v>111</v>
      </c>
      <c r="C31" s="21" t="n">
        <f aca="false">SQRT((P2_b-P2_a)^2-P2_c^2)</f>
        <v>94.9157521173382</v>
      </c>
      <c r="D31" s="6" t="s">
        <v>54</v>
      </c>
      <c r="F31" s="15" t="s">
        <v>112</v>
      </c>
    </row>
    <row r="32" customFormat="false" ht="15" hidden="false" customHeight="false" outlineLevel="0" collapsed="false">
      <c r="A32" s="6" t="s">
        <v>113</v>
      </c>
      <c r="B32" s="16" t="s">
        <v>114</v>
      </c>
      <c r="C32" s="21" t="n">
        <f aca="false">MOD(180+DEGREES(ASIN(P2_c/(P2_b-P2_a))),360)</f>
        <v>168.101090181935</v>
      </c>
      <c r="D32" s="6" t="s">
        <v>115</v>
      </c>
      <c r="F32" s="15" t="s">
        <v>116</v>
      </c>
    </row>
    <row r="33" customFormat="false" ht="15" hidden="false" customHeight="false" outlineLevel="0" collapsed="false">
      <c r="A33" s="6" t="s">
        <v>117</v>
      </c>
      <c r="B33" s="16" t="s">
        <v>118</v>
      </c>
      <c r="C33" s="21" t="n">
        <f aca="false">SQRT((P2_a+P2_b)^2-P2_c^2)</f>
        <v>165.798069952578</v>
      </c>
      <c r="D33" s="6" t="s">
        <v>54</v>
      </c>
      <c r="F33" s="15" t="s">
        <v>119</v>
      </c>
    </row>
    <row r="34" customFormat="false" ht="15" hidden="false" customHeight="false" outlineLevel="0" collapsed="false">
      <c r="A34" s="6" t="s">
        <v>120</v>
      </c>
      <c r="B34" s="16" t="s">
        <v>121</v>
      </c>
      <c r="C34" s="21" t="n">
        <f aca="false">MOD(DEGREES(ASIN(P2_c/(P2_a+P2_b))),360)</f>
        <v>353.121720648834</v>
      </c>
      <c r="D34" s="6" t="s">
        <v>115</v>
      </c>
      <c r="F34" s="15" t="s">
        <v>122</v>
      </c>
    </row>
    <row r="35" customFormat="false" ht="15" hidden="false" customHeight="false" outlineLevel="0" collapsed="false">
      <c r="A35" s="6" t="s">
        <v>123</v>
      </c>
      <c r="B35" s="16" t="s">
        <v>124</v>
      </c>
      <c r="C35" s="21" t="n">
        <f aca="false">C33-C31</f>
        <v>70.8823178352399</v>
      </c>
      <c r="D35" s="6" t="s">
        <v>54</v>
      </c>
      <c r="F35" s="15" t="s">
        <v>125</v>
      </c>
    </row>
    <row r="36" customFormat="false" ht="15" hidden="false" customHeight="false" outlineLevel="0" collapsed="false">
      <c r="A36" s="6" t="s">
        <v>126</v>
      </c>
      <c r="B36" s="16" t="s">
        <v>127</v>
      </c>
      <c r="C36" s="21" t="n">
        <f aca="false">IF(P2_sentido&gt;0,MOD(C34-C32,360),360-MOD(C34-C32,360))</f>
        <v>185.020630466899</v>
      </c>
      <c r="D36" s="6" t="s">
        <v>115</v>
      </c>
      <c r="F36" s="15" t="s">
        <v>128</v>
      </c>
    </row>
    <row r="37" customFormat="false" ht="15" hidden="false" customHeight="false" outlineLevel="0" collapsed="false">
      <c r="A37" s="6" t="s">
        <v>129</v>
      </c>
      <c r="B37" s="16" t="s">
        <v>130</v>
      </c>
      <c r="C37" s="21" t="n">
        <f aca="false">360-C36</f>
        <v>174.979369533101</v>
      </c>
      <c r="D37" s="6" t="s">
        <v>115</v>
      </c>
      <c r="F37" s="15" t="s">
        <v>131</v>
      </c>
    </row>
    <row r="38" customFormat="false" ht="15" hidden="false" customHeight="false" outlineLevel="0" collapsed="false">
      <c r="A38" s="6" t="s">
        <v>132</v>
      </c>
      <c r="B38" s="16" t="s">
        <v>133</v>
      </c>
      <c r="C38" s="18" t="n">
        <f aca="false">C36/C37</f>
        <v>1.05738539897927</v>
      </c>
      <c r="D38" s="6" t="s">
        <v>68</v>
      </c>
      <c r="F38" s="15" t="s">
        <v>134</v>
      </c>
    </row>
    <row r="39" customFormat="false" ht="15" hidden="false" customHeight="false" outlineLevel="0" collapsed="false">
      <c r="A39" s="6" t="s">
        <v>135</v>
      </c>
      <c r="B39" s="16" t="s">
        <v>136</v>
      </c>
      <c r="C39" s="21" t="n">
        <f aca="false">90-DEGREES(ASIN((P2_a+ABS(P2_c))/P2_b))</f>
        <v>65.3756816478359</v>
      </c>
      <c r="D39" s="6" t="s">
        <v>115</v>
      </c>
      <c r="F39" s="15" t="s">
        <v>137</v>
      </c>
    </row>
    <row r="40" customFormat="false" ht="15" hidden="false" customHeight="false" outlineLevel="0" collapsed="false">
      <c r="A40" s="6" t="s">
        <v>138</v>
      </c>
      <c r="B40" s="16" t="s">
        <v>139</v>
      </c>
      <c r="C40" s="21" t="n">
        <f aca="false">IF(P2_c&gt;0,270,90)</f>
        <v>90</v>
      </c>
      <c r="D40" s="6" t="s">
        <v>115</v>
      </c>
      <c r="F40" s="15" t="s">
        <v>140</v>
      </c>
    </row>
    <row r="42" customFormat="false" ht="18" hidden="false" customHeight="true" outlineLevel="0" collapsed="false">
      <c r="A42" s="3" t="s">
        <v>141</v>
      </c>
      <c r="B42" s="3"/>
      <c r="C42" s="3"/>
      <c r="D42" s="3"/>
      <c r="E42" s="3"/>
      <c r="F42" s="3"/>
    </row>
    <row r="43" customFormat="false" ht="15" hidden="false" customHeight="false" outlineLevel="0" collapsed="false">
      <c r="A43" s="11" t="s">
        <v>142</v>
      </c>
      <c r="B43" s="11"/>
      <c r="C43" s="11" t="s">
        <v>143</v>
      </c>
      <c r="D43" s="11"/>
      <c r="E43" s="11"/>
      <c r="F43" s="11" t="s">
        <v>144</v>
      </c>
    </row>
    <row r="44" customFormat="false" ht="15" hidden="false" customHeight="false" outlineLevel="0" collapsed="false">
      <c r="A44" s="6" t="s">
        <v>145</v>
      </c>
      <c r="C44" s="22" t="str">
        <f aca="false">IF(ABS(C35-C23)&lt;=0.05*C23,"CUMPLE ("&amp;FIXED(C35,2)&amp;" mm)","REVISAR ("&amp;FIXED(C35,2)&amp;" mm)")</f>
        <v>CUMPLE (70.88 mm)</v>
      </c>
      <c r="D44" s="22"/>
      <c r="E44" s="22"/>
      <c r="F44" s="15" t="s">
        <v>146</v>
      </c>
    </row>
    <row r="45" customFormat="false" ht="15" hidden="false" customHeight="false" outlineLevel="0" collapsed="false">
      <c r="A45" s="6" t="s">
        <v>147</v>
      </c>
      <c r="C45" s="22" t="str">
        <f aca="false">IF(P2_b&gt;=P2_a+ABS(P2_c),"CUMPLE","NO CUMPLE")</f>
        <v>CUMPLE</v>
      </c>
      <c r="D45" s="22"/>
      <c r="E45" s="22"/>
      <c r="F45" s="15" t="s">
        <v>148</v>
      </c>
    </row>
    <row r="46" customFormat="false" ht="15" hidden="false" customHeight="false" outlineLevel="0" collapsed="false">
      <c r="A46" s="6" t="s">
        <v>149</v>
      </c>
      <c r="C46" s="22" t="str">
        <f aca="false">IF(C39&gt;=45,"CUMPLE (μ min = "&amp;FIXED(C39,1)&amp;"°)","NO CUMPLE (μ min = "&amp;FIXED(C39,1)&amp;"°)")</f>
        <v>CUMPLE (μ min = 65.4°)</v>
      </c>
      <c r="D46" s="22"/>
      <c r="E46" s="22"/>
      <c r="F46" s="15" t="s">
        <v>150</v>
      </c>
    </row>
    <row r="47" customFormat="false" ht="15" hidden="false" customHeight="false" outlineLevel="0" collapsed="false">
      <c r="A47" s="6" t="s">
        <v>151</v>
      </c>
      <c r="C47" s="22" t="str">
        <f aca="false">IF(C27&gt;3,"CUMPLE (b/a = "&amp;FIXED(C27,2)&amp;")","REVISAR (b/a = "&amp;FIXED(C27,2)&amp;")")</f>
        <v>CUMPLE (b/a = 3.77)</v>
      </c>
      <c r="D47" s="22"/>
      <c r="E47" s="22"/>
      <c r="F47" s="15" t="s">
        <v>152</v>
      </c>
    </row>
    <row r="48" customFormat="false" ht="15" hidden="false" customHeight="false" outlineLevel="0" collapsed="false">
      <c r="A48" s="6" t="s">
        <v>87</v>
      </c>
      <c r="C48" s="22" t="str">
        <f aca="false">IF(C19=1,"CUMPLE (M = 1)","REVISAR")</f>
        <v>CUMPLE (M = 1)</v>
      </c>
      <c r="D48" s="22"/>
      <c r="E48" s="22"/>
      <c r="F48" s="15" t="s">
        <v>153</v>
      </c>
    </row>
    <row r="50" customFormat="false" ht="15" hidden="false" customHeight="false" outlineLevel="0" collapsed="false">
      <c r="A50" s="15" t="s">
        <v>154</v>
      </c>
    </row>
  </sheetData>
  <mergeCells count="12">
    <mergeCell ref="A1:F1"/>
    <mergeCell ref="A2:F2"/>
    <mergeCell ref="A4:F4"/>
    <mergeCell ref="A14:F14"/>
    <mergeCell ref="A21:F21"/>
    <mergeCell ref="A29:F29"/>
    <mergeCell ref="A42:F42"/>
    <mergeCell ref="C44:E44"/>
    <mergeCell ref="C45:E45"/>
    <mergeCell ref="C46:E46"/>
    <mergeCell ref="C47:E47"/>
    <mergeCell ref="C48:E48"/>
  </mergeCells>
  <dataValidations count="1">
    <dataValidation allowBlank="false" errorStyle="stop" operator="between" showDropDown="false" showErrorMessage="false" showInputMessage="false" sqref="C10" type="list">
      <formula1>"1,-1"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788"/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9"/>
    <col collapsed="false" customWidth="true" hidden="false" outlineLevel="0" max="6" min="6" style="0" width="66"/>
  </cols>
  <sheetData>
    <row r="1" customFormat="false" ht="25.5" hidden="false" customHeight="true" outlineLevel="0" collapsed="false">
      <c r="A1" s="1" t="s">
        <v>155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156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157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11" t="s">
        <v>47</v>
      </c>
      <c r="B5" s="11" t="s">
        <v>48</v>
      </c>
      <c r="C5" s="11" t="s">
        <v>49</v>
      </c>
      <c r="D5" s="11" t="s">
        <v>50</v>
      </c>
      <c r="E5" s="11"/>
      <c r="F5" s="11" t="s">
        <v>158</v>
      </c>
    </row>
    <row r="6" customFormat="false" ht="15" hidden="false" customHeight="false" outlineLevel="0" collapsed="false">
      <c r="A6" s="6" t="s">
        <v>159</v>
      </c>
      <c r="B6" s="16" t="s">
        <v>53</v>
      </c>
      <c r="C6" s="23" t="n">
        <f aca="false">P2_a</f>
        <v>35</v>
      </c>
      <c r="D6" s="6" t="s">
        <v>54</v>
      </c>
      <c r="F6" s="15" t="s">
        <v>160</v>
      </c>
    </row>
    <row r="7" customFormat="false" ht="15" hidden="false" customHeight="false" outlineLevel="0" collapsed="false">
      <c r="A7" s="6" t="s">
        <v>161</v>
      </c>
      <c r="B7" s="16" t="s">
        <v>57</v>
      </c>
      <c r="C7" s="23" t="n">
        <f aca="false">P2_b</f>
        <v>132</v>
      </c>
      <c r="D7" s="6" t="s">
        <v>54</v>
      </c>
      <c r="F7" s="15" t="s">
        <v>160</v>
      </c>
    </row>
    <row r="8" customFormat="false" ht="15" hidden="false" customHeight="false" outlineLevel="0" collapsed="false">
      <c r="A8" s="6" t="s">
        <v>162</v>
      </c>
      <c r="B8" s="16" t="s">
        <v>60</v>
      </c>
      <c r="C8" s="23" t="n">
        <f aca="false">P2_c</f>
        <v>-20</v>
      </c>
      <c r="D8" s="6" t="s">
        <v>54</v>
      </c>
      <c r="F8" s="15" t="s">
        <v>160</v>
      </c>
    </row>
    <row r="9" customFormat="false" ht="15" hidden="false" customHeight="false" outlineLevel="0" collapsed="false">
      <c r="A9" s="6" t="s">
        <v>74</v>
      </c>
      <c r="B9" s="16" t="s">
        <v>75</v>
      </c>
      <c r="C9" s="23" t="n">
        <f aca="false">P2_w2</f>
        <v>3.14159265358979</v>
      </c>
      <c r="D9" s="6" t="s">
        <v>76</v>
      </c>
      <c r="F9" s="15" t="s">
        <v>160</v>
      </c>
    </row>
    <row r="10" customFormat="false" ht="15" hidden="false" customHeight="false" outlineLevel="0" collapsed="false">
      <c r="A10" s="6" t="s">
        <v>70</v>
      </c>
      <c r="B10" s="16" t="s">
        <v>71</v>
      </c>
      <c r="C10" s="23" t="n">
        <f aca="false">P2_al2</f>
        <v>0</v>
      </c>
      <c r="D10" s="6" t="s">
        <v>72</v>
      </c>
      <c r="F10" s="15" t="s">
        <v>160</v>
      </c>
    </row>
    <row r="11" customFormat="false" ht="15" hidden="false" customHeight="false" outlineLevel="0" collapsed="false">
      <c r="A11" s="6" t="s">
        <v>163</v>
      </c>
      <c r="B11" s="16" t="s">
        <v>164</v>
      </c>
      <c r="C11" s="17" t="n">
        <v>36</v>
      </c>
      <c r="D11" s="6" t="s">
        <v>165</v>
      </c>
      <c r="F11" s="15" t="s">
        <v>166</v>
      </c>
    </row>
    <row r="13" customFormat="false" ht="18" hidden="false" customHeight="true" outlineLevel="0" collapsed="false">
      <c r="A13" s="3" t="s">
        <v>167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11" t="s">
        <v>168</v>
      </c>
      <c r="B14" s="11" t="s">
        <v>48</v>
      </c>
      <c r="C14" s="11" t="s">
        <v>169</v>
      </c>
      <c r="D14" s="11" t="s">
        <v>170</v>
      </c>
      <c r="E14" s="11" t="s">
        <v>50</v>
      </c>
      <c r="F14" s="11" t="s">
        <v>171</v>
      </c>
    </row>
    <row r="15" customFormat="false" ht="15" hidden="false" customHeight="false" outlineLevel="0" collapsed="false">
      <c r="A15" s="6" t="s">
        <v>172</v>
      </c>
      <c r="B15" s="16" t="s">
        <v>67</v>
      </c>
      <c r="C15" s="18" t="n">
        <f aca="false">(C6*SIN(RADIANS($C$11))-C8)/C7</f>
        <v>0.307367301744216</v>
      </c>
      <c r="D15" s="18" t="n">
        <f aca="false">(C6*SIN(RADIANS($C$11))-C8)/C7</f>
        <v>0.307367301744216</v>
      </c>
      <c r="E15" s="6" t="s">
        <v>68</v>
      </c>
      <c r="F15" s="15" t="s">
        <v>173</v>
      </c>
    </row>
    <row r="16" customFormat="false" ht="15" hidden="false" customHeight="false" outlineLevel="0" collapsed="false">
      <c r="A16" s="6" t="s">
        <v>174</v>
      </c>
      <c r="B16" s="16" t="s">
        <v>175</v>
      </c>
      <c r="C16" s="18" t="n">
        <f aca="false">180-DEGREES(ASIN(C15))</f>
        <v>162.099356715392</v>
      </c>
      <c r="D16" s="18" t="n">
        <f aca="false">MOD(DEGREES(ASIN(D15)),360)</f>
        <v>17.9006432846081</v>
      </c>
      <c r="E16" s="6" t="s">
        <v>115</v>
      </c>
      <c r="F16" s="15" t="s">
        <v>176</v>
      </c>
    </row>
    <row r="17" customFormat="false" ht="15" hidden="false" customHeight="false" outlineLevel="0" collapsed="false">
      <c r="A17" s="6" t="s">
        <v>177</v>
      </c>
      <c r="B17" s="16" t="s">
        <v>178</v>
      </c>
      <c r="C17" s="18" t="n">
        <f aca="false">C6*COS(RADIANS($C$11))-C7*COS(RADIANS(C16))</f>
        <v>153.925600598224</v>
      </c>
      <c r="D17" s="18" t="n">
        <f aca="false">C6*COS(RADIANS($C$11))-C7*COS(RADIANS(D16))</f>
        <v>-97.2944109919774</v>
      </c>
      <c r="E17" s="6" t="s">
        <v>54</v>
      </c>
      <c r="F17" s="15" t="s">
        <v>179</v>
      </c>
    </row>
    <row r="18" customFormat="false" ht="15" hidden="false" customHeight="false" outlineLevel="0" collapsed="false">
      <c r="A18" s="6" t="s">
        <v>180</v>
      </c>
      <c r="B18" s="16" t="s">
        <v>181</v>
      </c>
      <c r="C18" s="18" t="n">
        <f aca="false">C6*COS(RADIANS($C$11))</f>
        <v>28.3155948031232</v>
      </c>
      <c r="D18" s="18" t="n">
        <f aca="false">C6*COS(RADIANS($C$11))</f>
        <v>28.3155948031232</v>
      </c>
      <c r="E18" s="6" t="s">
        <v>54</v>
      </c>
      <c r="F18" s="15" t="s">
        <v>182</v>
      </c>
    </row>
    <row r="19" customFormat="false" ht="15" hidden="false" customHeight="false" outlineLevel="0" collapsed="false">
      <c r="A19" s="6" t="s">
        <v>183</v>
      </c>
      <c r="B19" s="16" t="s">
        <v>184</v>
      </c>
      <c r="C19" s="18" t="n">
        <f aca="false">C6*SIN(RADIANS($C$11))</f>
        <v>20.5724838302366</v>
      </c>
      <c r="D19" s="18" t="n">
        <f aca="false">C6*SIN(RADIANS($C$11))</f>
        <v>20.5724838302366</v>
      </c>
      <c r="E19" s="6" t="s">
        <v>54</v>
      </c>
      <c r="F19" s="15" t="s">
        <v>185</v>
      </c>
    </row>
    <row r="20" customFormat="false" ht="15" hidden="false" customHeight="false" outlineLevel="0" collapsed="false">
      <c r="A20" s="6" t="s">
        <v>186</v>
      </c>
      <c r="B20" s="16" t="s">
        <v>187</v>
      </c>
      <c r="C20" s="18" t="n">
        <f aca="false">C17</f>
        <v>153.925600598224</v>
      </c>
      <c r="D20" s="18" t="n">
        <f aca="false">D17</f>
        <v>-97.2944109919774</v>
      </c>
      <c r="E20" s="6" t="s">
        <v>54</v>
      </c>
      <c r="F20" s="15" t="s">
        <v>188</v>
      </c>
    </row>
    <row r="21" customFormat="false" ht="15" hidden="false" customHeight="false" outlineLevel="0" collapsed="false">
      <c r="A21" s="6" t="s">
        <v>189</v>
      </c>
      <c r="B21" s="16" t="s">
        <v>190</v>
      </c>
      <c r="C21" s="18" t="n">
        <f aca="false">C8</f>
        <v>-20</v>
      </c>
      <c r="D21" s="18" t="n">
        <f aca="false">C8</f>
        <v>-20</v>
      </c>
      <c r="E21" s="6" t="s">
        <v>54</v>
      </c>
      <c r="F21" s="15" t="s">
        <v>191</v>
      </c>
    </row>
    <row r="22" customFormat="false" ht="15" hidden="false" customHeight="false" outlineLevel="0" collapsed="false">
      <c r="A22" s="6" t="s">
        <v>192</v>
      </c>
      <c r="B22" s="16" t="s">
        <v>193</v>
      </c>
      <c r="C22" s="18" t="n">
        <f aca="false">IF(MOD(ABS(C16-90),180)&gt;90,180-MOD(ABS(C16-90),180),MOD(ABS(C16-90),180))</f>
        <v>72.0993567153919</v>
      </c>
      <c r="D22" s="18" t="n">
        <f aca="false">IF(MOD(ABS(D16-90),180)&gt;90,180-MOD(ABS(D16-90),180),MOD(ABS(D16-90),180))</f>
        <v>72.0993567153919</v>
      </c>
      <c r="E22" s="6" t="s">
        <v>115</v>
      </c>
      <c r="F22" s="15" t="s">
        <v>194</v>
      </c>
    </row>
    <row r="23" customFormat="false" ht="15" hidden="false" customHeight="false" outlineLevel="0" collapsed="false">
      <c r="A23" s="6" t="s">
        <v>195</v>
      </c>
      <c r="B23" s="16" t="s">
        <v>196</v>
      </c>
      <c r="C23" s="24" t="n">
        <f aca="false">C6*COS(RADIANS($C$11))-C7*COS(RADIANS(C16))-C17</f>
        <v>0</v>
      </c>
      <c r="D23" s="24" t="n">
        <f aca="false">C6*COS(RADIANS($C$11))-C7*COS(RADIANS(D16))-D17</f>
        <v>0</v>
      </c>
      <c r="E23" s="6" t="s">
        <v>54</v>
      </c>
      <c r="F23" s="15" t="s">
        <v>197</v>
      </c>
    </row>
    <row r="24" customFormat="false" ht="15" hidden="false" customHeight="false" outlineLevel="0" collapsed="false">
      <c r="A24" s="6" t="s">
        <v>198</v>
      </c>
      <c r="B24" s="16" t="s">
        <v>199</v>
      </c>
      <c r="C24" s="24" t="n">
        <f aca="false">C6*SIN(RADIANS($C$11))-C7*SIN(RADIANS(C16))-C8</f>
        <v>0</v>
      </c>
      <c r="D24" s="24" t="n">
        <f aca="false">C6*SIN(RADIANS($C$11))-C7*SIN(RADIANS(D16))-C8</f>
        <v>0</v>
      </c>
      <c r="E24" s="6" t="s">
        <v>54</v>
      </c>
      <c r="F24" s="15" t="s">
        <v>200</v>
      </c>
    </row>
    <row r="26" customFormat="false" ht="18" hidden="false" customHeight="true" outlineLevel="0" collapsed="false">
      <c r="A26" s="3" t="s">
        <v>201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11" t="s">
        <v>168</v>
      </c>
      <c r="B27" s="11" t="s">
        <v>48</v>
      </c>
      <c r="C27" s="11" t="s">
        <v>169</v>
      </c>
      <c r="D27" s="11" t="s">
        <v>170</v>
      </c>
      <c r="E27" s="11" t="s">
        <v>50</v>
      </c>
      <c r="F27" s="11" t="s">
        <v>109</v>
      </c>
    </row>
    <row r="28" customFormat="false" ht="15" hidden="false" customHeight="false" outlineLevel="0" collapsed="false">
      <c r="A28" s="6" t="s">
        <v>202</v>
      </c>
      <c r="B28" s="16" t="s">
        <v>203</v>
      </c>
      <c r="C28" s="18" t="n">
        <f aca="false">C6*C9*COS(RADIANS($C$11))/(C7*COS(RADIANS(C16)))</f>
        <v>-0.708192504668978</v>
      </c>
      <c r="D28" s="18" t="n">
        <f aca="false">C6*C9*COS(RADIANS($C$11))/(C7*COS(RADIANS(D16)))</f>
        <v>0.708192504668978</v>
      </c>
      <c r="E28" s="6" t="s">
        <v>76</v>
      </c>
      <c r="F28" s="15" t="s">
        <v>204</v>
      </c>
    </row>
    <row r="29" customFormat="false" ht="15" hidden="false" customHeight="false" outlineLevel="0" collapsed="false">
      <c r="A29" s="6" t="s">
        <v>205</v>
      </c>
      <c r="B29" s="16" t="s">
        <v>206</v>
      </c>
      <c r="C29" s="18" t="n">
        <f aca="false">-C6*C9*SIN(RADIANS($C$11))+C7*C28*SIN(RADIANS(C16))</f>
        <v>-93.3634930115428</v>
      </c>
      <c r="D29" s="18" t="n">
        <f aca="false">-C6*C9*SIN(RADIANS($C$11))+C7*D28*SIN(RADIANS(D16))</f>
        <v>-35.8972351227891</v>
      </c>
      <c r="E29" s="6" t="s">
        <v>207</v>
      </c>
      <c r="F29" s="15" t="s">
        <v>208</v>
      </c>
    </row>
    <row r="30" customFormat="false" ht="15" hidden="false" customHeight="false" outlineLevel="0" collapsed="false">
      <c r="A30" s="6" t="s">
        <v>209</v>
      </c>
      <c r="B30" s="16" t="s">
        <v>210</v>
      </c>
      <c r="C30" s="18" t="n">
        <f aca="false">-C6*C9*SIN(RADIANS($C$11))</f>
        <v>-64.630364067166</v>
      </c>
      <c r="D30" s="18" t="n">
        <f aca="false">-C6*C9*SIN(RADIANS($C$11))</f>
        <v>-64.630364067166</v>
      </c>
      <c r="E30" s="6" t="s">
        <v>207</v>
      </c>
      <c r="F30" s="15" t="s">
        <v>211</v>
      </c>
    </row>
    <row r="31" customFormat="false" ht="15" hidden="false" customHeight="false" outlineLevel="0" collapsed="false">
      <c r="A31" s="6" t="s">
        <v>212</v>
      </c>
      <c r="B31" s="16" t="s">
        <v>213</v>
      </c>
      <c r="C31" s="18" t="n">
        <f aca="false">C6*C9*COS(RADIANS($C$11))</f>
        <v>88.956064615517</v>
      </c>
      <c r="D31" s="18" t="n">
        <f aca="false">C6*C9*COS(RADIANS($C$11))</f>
        <v>88.956064615517</v>
      </c>
      <c r="E31" s="6" t="s">
        <v>207</v>
      </c>
      <c r="F31" s="15" t="s">
        <v>214</v>
      </c>
    </row>
    <row r="32" customFormat="false" ht="15" hidden="false" customHeight="false" outlineLevel="0" collapsed="false">
      <c r="A32" s="6" t="s">
        <v>215</v>
      </c>
      <c r="B32" s="16" t="s">
        <v>216</v>
      </c>
      <c r="C32" s="18" t="n">
        <f aca="false">SQRT(C30^2+C31^2)</f>
        <v>109.955742875643</v>
      </c>
      <c r="D32" s="18" t="n">
        <f aca="false">SQRT(D30^2+D31^2)</f>
        <v>109.955742875643</v>
      </c>
      <c r="E32" s="6" t="s">
        <v>207</v>
      </c>
      <c r="F32" s="15" t="s">
        <v>217</v>
      </c>
    </row>
    <row r="33" customFormat="false" ht="15" hidden="false" customHeight="false" outlineLevel="0" collapsed="false">
      <c r="A33" s="6" t="s">
        <v>218</v>
      </c>
      <c r="B33" s="16" t="s">
        <v>219</v>
      </c>
      <c r="C33" s="18" t="n">
        <f aca="false">ABS(C7*C28)</f>
        <v>93.481410616305</v>
      </c>
      <c r="D33" s="18" t="n">
        <f aca="false">ABS(C7*D28)</f>
        <v>93.481410616305</v>
      </c>
      <c r="E33" s="6" t="s">
        <v>207</v>
      </c>
      <c r="F33" s="15" t="s">
        <v>220</v>
      </c>
    </row>
    <row r="35" customFormat="false" ht="18" hidden="false" customHeight="true" outlineLevel="0" collapsed="false">
      <c r="A35" s="3" t="s">
        <v>221</v>
      </c>
      <c r="B35" s="3"/>
      <c r="C35" s="3"/>
      <c r="D35" s="3"/>
      <c r="E35" s="3"/>
      <c r="F35" s="3"/>
    </row>
    <row r="36" customFormat="false" ht="15" hidden="false" customHeight="false" outlineLevel="0" collapsed="false">
      <c r="A36" s="11" t="s">
        <v>168</v>
      </c>
      <c r="B36" s="11" t="s">
        <v>48</v>
      </c>
      <c r="C36" s="11" t="s">
        <v>169</v>
      </c>
      <c r="D36" s="11" t="s">
        <v>170</v>
      </c>
      <c r="E36" s="11" t="s">
        <v>50</v>
      </c>
      <c r="F36" s="11" t="s">
        <v>109</v>
      </c>
    </row>
    <row r="37" customFormat="false" ht="15" hidden="false" customHeight="false" outlineLevel="0" collapsed="false">
      <c r="A37" s="6" t="s">
        <v>222</v>
      </c>
      <c r="B37" s="16" t="s">
        <v>223</v>
      </c>
      <c r="C37" s="18" t="n">
        <f aca="false">(C6*C10*COS(RADIANS($C$11))-C6*C9^2*SIN(RADIANS($C$11))+C7*C28^2*SIN(RADIANS(C16)))/(C7*COS(RADIANS(C16)))</f>
        <v>1.45445173130685</v>
      </c>
      <c r="D37" s="18" t="n">
        <f aca="false">(C6*C10*COS(RADIANS($C$11))-C6*C9^2*SIN(RADIANS($C$11))+C7*D28^2*SIN(RADIANS(D16)))/(C7*COS(RADIANS(D16)))</f>
        <v>-1.45445173130685</v>
      </c>
      <c r="E37" s="6" t="s">
        <v>72</v>
      </c>
      <c r="F37" s="15" t="s">
        <v>224</v>
      </c>
    </row>
    <row r="38" customFormat="false" ht="15" hidden="false" customHeight="false" outlineLevel="0" collapsed="false">
      <c r="A38" s="6" t="s">
        <v>225</v>
      </c>
      <c r="B38" s="16" t="s">
        <v>226</v>
      </c>
      <c r="C38" s="18" t="n">
        <f aca="false">-C6*C10*SIN(RADIANS($C$11))-C6*C9^2*COS(RADIANS($C$11))+C7*C37*SIN(RADIANS(C16))+C7*C28^2*COS(RADIANS(C16))</f>
        <v>-283.451017943619</v>
      </c>
      <c r="D38" s="18" t="n">
        <f aca="false">-C6*C10*SIN(RADIANS($C$11))-C6*C9^2*COS(RADIANS($C$11))+C7*D37*SIN(RADIANS(D16))+C7*D28^2*COS(RADIANS(D16))</f>
        <v>-275.476420233116</v>
      </c>
      <c r="E38" s="6" t="s">
        <v>227</v>
      </c>
      <c r="F38" s="15" t="s">
        <v>228</v>
      </c>
    </row>
    <row r="39" customFormat="false" ht="15" hidden="false" customHeight="false" outlineLevel="0" collapsed="false">
      <c r="A39" s="6" t="s">
        <v>229</v>
      </c>
      <c r="B39" s="16" t="s">
        <v>230</v>
      </c>
      <c r="C39" s="18" t="n">
        <f aca="false">-C6*C9^2*COS(RADIANS($C$11))-C6*C10*SIN(RADIANS($C$11))</f>
        <v>-279.463719088367</v>
      </c>
      <c r="D39" s="18" t="n">
        <f aca="false">-C6*C9^2*COS(RADIANS($C$11))-C6*C10*SIN(RADIANS($C$11))</f>
        <v>-279.463719088367</v>
      </c>
      <c r="E39" s="6" t="s">
        <v>227</v>
      </c>
      <c r="F39" s="15" t="s">
        <v>231</v>
      </c>
    </row>
    <row r="40" customFormat="false" ht="15" hidden="false" customHeight="false" outlineLevel="0" collapsed="false">
      <c r="A40" s="6" t="s">
        <v>232</v>
      </c>
      <c r="B40" s="16" t="s">
        <v>233</v>
      </c>
      <c r="C40" s="18" t="n">
        <f aca="false">-C6*C9^2*SIN(RADIANS($C$11))+C6*C10*COS(RADIANS($C$11))</f>
        <v>-203.042276952242</v>
      </c>
      <c r="D40" s="18" t="n">
        <f aca="false">-C6*C9^2*SIN(RADIANS($C$11))+C6*C10*COS(RADIANS($C$11))</f>
        <v>-203.042276952242</v>
      </c>
      <c r="E40" s="6" t="s">
        <v>227</v>
      </c>
      <c r="F40" s="15" t="s">
        <v>234</v>
      </c>
    </row>
    <row r="41" customFormat="false" ht="15" hidden="false" customHeight="false" outlineLevel="0" collapsed="false">
      <c r="A41" s="6" t="s">
        <v>235</v>
      </c>
      <c r="B41" s="16" t="s">
        <v>236</v>
      </c>
      <c r="C41" s="18" t="n">
        <f aca="false">SQRT(C39^2+C40^2)</f>
        <v>345.436154038127</v>
      </c>
      <c r="D41" s="18" t="n">
        <f aca="false">SQRT(D39^2+D40^2)</f>
        <v>345.436154038127</v>
      </c>
      <c r="E41" s="6" t="s">
        <v>227</v>
      </c>
      <c r="F41" s="15" t="s">
        <v>237</v>
      </c>
    </row>
    <row r="43" customFormat="false" ht="15" hidden="false" customHeight="false" outlineLevel="0" collapsed="false">
      <c r="A43" s="15" t="s">
        <v>238</v>
      </c>
    </row>
  </sheetData>
  <mergeCells count="6">
    <mergeCell ref="A1:F1"/>
    <mergeCell ref="A2:F2"/>
    <mergeCell ref="A4:F4"/>
    <mergeCell ref="A13:F13"/>
    <mergeCell ref="A26:F26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788"/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7"/>
  </cols>
  <sheetData>
    <row r="1" customFormat="false" ht="25.5" hidden="false" customHeight="true" outlineLevel="0" collapsed="false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240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3" t="s">
        <v>241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11" t="s">
        <v>242</v>
      </c>
      <c r="B5" s="11" t="s">
        <v>243</v>
      </c>
      <c r="C5" s="11" t="s">
        <v>244</v>
      </c>
      <c r="D5" s="11" t="s">
        <v>245</v>
      </c>
      <c r="E5" s="11" t="s">
        <v>246</v>
      </c>
      <c r="F5" s="11" t="s">
        <v>247</v>
      </c>
      <c r="G5" s="11" t="s">
        <v>248</v>
      </c>
      <c r="H5" s="11" t="s">
        <v>249</v>
      </c>
      <c r="I5" s="11" t="s">
        <v>250</v>
      </c>
      <c r="J5" s="11" t="s">
        <v>251</v>
      </c>
      <c r="K5" s="11" t="s">
        <v>252</v>
      </c>
      <c r="L5" s="11" t="s">
        <v>253</v>
      </c>
    </row>
    <row r="6" customFormat="false" ht="15" hidden="false" customHeight="false" outlineLevel="0" collapsed="false">
      <c r="A6" s="25" t="n">
        <v>1</v>
      </c>
      <c r="B6" s="26" t="n">
        <v>0</v>
      </c>
      <c r="C6" s="18" t="n">
        <f aca="false">180-DEGREES(ASIN((P2_a*SIN(RADIANS($B6))-P2_c)/P2_b))</f>
        <v>171.285257981382</v>
      </c>
      <c r="D6" s="18" t="n">
        <f aca="false">P2_a*COS(RADIANS($B6))-P2_b*COS(RADIANS(C6))</f>
        <v>165.476051442401</v>
      </c>
      <c r="E6" s="21" t="n">
        <f aca="false">90-DEGREES(ASIN(ABS((P2_a*SIN(RADIANS($B6))-P2_c)/P2_b)))</f>
        <v>81.2852579813819</v>
      </c>
      <c r="F6" s="18" t="n">
        <f aca="false">P2_a*P2_w2*COS(RADIANS($B6))/(P2_b*COS(RADIANS(C6)))</f>
        <v>-0.842727394491879</v>
      </c>
      <c r="G6" s="27" t="n">
        <f aca="false">-P2_a*P2_w2*SIN(RADIANS($B6))+P2_b*F6*SIN(RADIANS(C6))</f>
        <v>-16.8545478898376</v>
      </c>
      <c r="H6" s="18" t="n">
        <f aca="false">(P2_a*P2_al2*COS(RADIANS($B6))-P2_a*P2_w2^2*SIN(RADIANS($B6))+P2_b*F6^2*SIN(RADIANS(C6)))/(P2_b*COS(RADIANS(C6)))</f>
        <v>-0.108861274322145</v>
      </c>
      <c r="I6" s="27" t="n">
        <f aca="false">-P2_a*P2_al2*SIN(RADIANS($B6))-P2_a*P2_w2^2*COS(RADIANS($B6))+P2_b*H6*SIN(RADIANS(C6))+P2_b*F6^2*COS(RADIANS(C6))</f>
        <v>-440.27609622758</v>
      </c>
      <c r="J6" s="27" t="n">
        <f aca="false">SQRT((-P2_a*P2_w2*SIN(RADIANS($B6)))^2+(P2_a*P2_w2*COS(RADIANS($B6)))^2)</f>
        <v>109.955742875643</v>
      </c>
      <c r="K6" s="27" t="n">
        <f aca="false">SQRT((-P2_a*P2_w2^2*COS(RADIANS($B6))-P2_a*P2_al2*SIN(RADIANS($B6)))^2+(-P2_a*P2_w2^2*SIN(RADIANS($B6))+P2_a*P2_al2*COS(RADIANS($B6)))^2)</f>
        <v>345.436154038127</v>
      </c>
      <c r="L6" s="28" t="str">
        <f aca="false">IF(G6&gt;0,"avanza (empuja)",IF(G6&lt;0,"retorna","detenido"))</f>
        <v>retorna</v>
      </c>
    </row>
    <row r="7" customFormat="false" ht="15" hidden="false" customHeight="false" outlineLevel="0" collapsed="false">
      <c r="A7" s="25" t="n">
        <v>2</v>
      </c>
      <c r="B7" s="26" t="n">
        <v>36</v>
      </c>
      <c r="C7" s="18" t="n">
        <f aca="false">180-DEGREES(ASIN((P2_a*SIN(RADIANS($B7))-P2_c)/P2_b))</f>
        <v>162.099356715392</v>
      </c>
      <c r="D7" s="18" t="n">
        <f aca="false">P2_a*COS(RADIANS($B7))-P2_b*COS(RADIANS(C7))</f>
        <v>153.925600598224</v>
      </c>
      <c r="E7" s="21" t="n">
        <f aca="false">90-DEGREES(ASIN(ABS((P2_a*SIN(RADIANS($B7))-P2_c)/P2_b)))</f>
        <v>72.0993567153919</v>
      </c>
      <c r="F7" s="18" t="n">
        <f aca="false">P2_a*P2_w2*COS(RADIANS($B7))/(P2_b*COS(RADIANS(C7)))</f>
        <v>-0.708192504668978</v>
      </c>
      <c r="G7" s="27" t="n">
        <f aca="false">-P2_a*P2_w2*SIN(RADIANS($B7))+P2_b*F7*SIN(RADIANS(C7))</f>
        <v>-93.3634930115428</v>
      </c>
      <c r="H7" s="18" t="n">
        <f aca="false">(P2_a*P2_al2*COS(RADIANS($B7))-P2_a*P2_w2^2*SIN(RADIANS($B7))+P2_b*F7^2*SIN(RADIANS(C7)))/(P2_b*COS(RADIANS(C7)))</f>
        <v>1.45445173130685</v>
      </c>
      <c r="I7" s="27" t="n">
        <f aca="false">-P2_a*P2_al2*SIN(RADIANS($B7))-P2_a*P2_w2^2*COS(RADIANS($B7))+P2_b*H7*SIN(RADIANS(C7))+P2_b*F7^2*COS(RADIANS(C7))</f>
        <v>-283.451017943619</v>
      </c>
      <c r="J7" s="27" t="n">
        <f aca="false">SQRT((-P2_a*P2_w2*SIN(RADIANS($B7)))^2+(P2_a*P2_w2*COS(RADIANS($B7)))^2)</f>
        <v>109.955742875643</v>
      </c>
      <c r="K7" s="27" t="n">
        <f aca="false">SQRT((-P2_a*P2_w2^2*COS(RADIANS($B7))-P2_a*P2_al2*SIN(RADIANS($B7)))^2+(-P2_a*P2_w2^2*SIN(RADIANS($B7))+P2_a*P2_al2*COS(RADIANS($B7)))^2)</f>
        <v>345.436154038127</v>
      </c>
      <c r="L7" s="28" t="str">
        <f aca="false">IF(G7&gt;0,"avanza (empuja)",IF(G7&lt;0,"retorna","detenido"))</f>
        <v>retorna</v>
      </c>
    </row>
    <row r="8" customFormat="false" ht="15" hidden="false" customHeight="false" outlineLevel="0" collapsed="false">
      <c r="A8" s="25" t="n">
        <v>3</v>
      </c>
      <c r="B8" s="26" t="n">
        <v>72</v>
      </c>
      <c r="C8" s="18" t="n">
        <f aca="false">180-DEGREES(ASIN((P2_a*SIN(RADIANS($B8))-P2_c)/P2_b))</f>
        <v>156.190986541559</v>
      </c>
      <c r="D8" s="18" t="n">
        <f aca="false">P2_a*COS(RADIANS($B8))-P2_b*COS(RADIANS(C8))</f>
        <v>131.581889637949</v>
      </c>
      <c r="E8" s="21" t="n">
        <f aca="false">90-DEGREES(ASIN(ABS((P2_a*SIN(RADIANS($B8))-P2_c)/P2_b)))</f>
        <v>66.1909865415589</v>
      </c>
      <c r="F8" s="18" t="n">
        <f aca="false">P2_a*P2_w2*COS(RADIANS($B8))/(P2_b*COS(RADIANS(C8)))</f>
        <v>-0.281354936194475</v>
      </c>
      <c r="G8" s="27" t="n">
        <f aca="false">-P2_a*P2_w2*SIN(RADIANS($B8))+P2_b*F8*SIN(RADIANS(C8))</f>
        <v>-119.566680080929</v>
      </c>
      <c r="H8" s="18" t="n">
        <f aca="false">(P2_a*P2_al2*COS(RADIANS($B8))-P2_a*P2_w2^2*SIN(RADIANS($B8))+P2_b*F8^2*SIN(RADIANS(C8)))/(P2_b*COS(RADIANS(C8)))</f>
        <v>2.68544362102672</v>
      </c>
      <c r="I8" s="27" t="n">
        <f aca="false">-P2_a*P2_al2*SIN(RADIANS($B8))-P2_a*P2_w2^2*COS(RADIANS($B8))+P2_b*H8*SIN(RADIANS(C8))+P2_b*F8^2*COS(RADIANS(C8))</f>
        <v>26.7936008999419</v>
      </c>
      <c r="J8" s="27" t="n">
        <f aca="false">SQRT((-P2_a*P2_w2*SIN(RADIANS($B8)))^2+(P2_a*P2_w2*COS(RADIANS($B8)))^2)</f>
        <v>109.955742875643</v>
      </c>
      <c r="K8" s="27" t="n">
        <f aca="false">SQRT((-P2_a*P2_w2^2*COS(RADIANS($B8))-P2_a*P2_al2*SIN(RADIANS($B8)))^2+(-P2_a*P2_w2^2*SIN(RADIANS($B8))+P2_a*P2_al2*COS(RADIANS($B8)))^2)</f>
        <v>345.436154038127</v>
      </c>
      <c r="L8" s="28" t="str">
        <f aca="false">IF(G8&gt;0,"avanza (empuja)",IF(G8&lt;0,"retorna","detenido"))</f>
        <v>retorna</v>
      </c>
    </row>
    <row r="9" customFormat="false" ht="15" hidden="false" customHeight="false" outlineLevel="0" collapsed="false">
      <c r="A9" s="25" t="n">
        <v>4</v>
      </c>
      <c r="B9" s="26" t="n">
        <v>108</v>
      </c>
      <c r="C9" s="18" t="n">
        <f aca="false">180-DEGREES(ASIN((P2_a*SIN(RADIANS($B9))-P2_c)/P2_b))</f>
        <v>156.190986541559</v>
      </c>
      <c r="D9" s="18" t="n">
        <f aca="false">P2_a*COS(RADIANS($B9))-P2_b*COS(RADIANS(C9))</f>
        <v>109.950700031703</v>
      </c>
      <c r="E9" s="21" t="n">
        <f aca="false">90-DEGREES(ASIN(ABS((P2_a*SIN(RADIANS($B9))-P2_c)/P2_b)))</f>
        <v>66.1909865415589</v>
      </c>
      <c r="F9" s="18" t="n">
        <f aca="false">P2_a*P2_w2*COS(RADIANS($B9))/(P2_b*COS(RADIANS(C9)))</f>
        <v>0.281354936194475</v>
      </c>
      <c r="G9" s="27" t="n">
        <f aca="false">-P2_a*P2_w2*SIN(RADIANS($B9))+P2_b*F9*SIN(RADIANS(C9))</f>
        <v>-89.5815714509803</v>
      </c>
      <c r="H9" s="18" t="n">
        <f aca="false">(P2_a*P2_al2*COS(RADIANS($B9))-P2_a*P2_w2^2*SIN(RADIANS($B9))+P2_b*F9^2*SIN(RADIANS(C9)))/(P2_b*COS(RADIANS(C9)))</f>
        <v>2.68544362102672</v>
      </c>
      <c r="I9" s="27" t="n">
        <f aca="false">-P2_a*P2_al2*SIN(RADIANS($B9))-P2_a*P2_w2^2*COS(RADIANS($B9))+P2_b*H9*SIN(RADIANS(C9))+P2_b*F9^2*COS(RADIANS(C9))</f>
        <v>240.284885038549</v>
      </c>
      <c r="J9" s="27" t="n">
        <f aca="false">SQRT((-P2_a*P2_w2*SIN(RADIANS($B9)))^2+(P2_a*P2_w2*COS(RADIANS($B9)))^2)</f>
        <v>109.955742875643</v>
      </c>
      <c r="K9" s="27" t="n">
        <f aca="false">SQRT((-P2_a*P2_w2^2*COS(RADIANS($B9))-P2_a*P2_al2*SIN(RADIANS($B9)))^2+(-P2_a*P2_w2^2*SIN(RADIANS($B9))+P2_a*P2_al2*COS(RADIANS($B9)))^2)</f>
        <v>345.436154038127</v>
      </c>
      <c r="L9" s="28" t="str">
        <f aca="false">IF(G9&gt;0,"avanza (empuja)",IF(G9&lt;0,"retorna","detenido"))</f>
        <v>retorna</v>
      </c>
    </row>
    <row r="10" customFormat="false" ht="15" hidden="false" customHeight="false" outlineLevel="0" collapsed="false">
      <c r="A10" s="25" t="n">
        <v>5</v>
      </c>
      <c r="B10" s="26" t="n">
        <v>144</v>
      </c>
      <c r="C10" s="18" t="n">
        <f aca="false">180-DEGREES(ASIN((P2_a*SIN(RADIANS($B10))-P2_c)/P2_b))</f>
        <v>162.099356715392</v>
      </c>
      <c r="D10" s="18" t="n">
        <f aca="false">P2_a*COS(RADIANS($B10))-P2_b*COS(RADIANS(C10))</f>
        <v>97.2944109919774</v>
      </c>
      <c r="E10" s="21" t="n">
        <f aca="false">90-DEGREES(ASIN(ABS((P2_a*SIN(RADIANS($B10))-P2_c)/P2_b)))</f>
        <v>72.0993567153919</v>
      </c>
      <c r="F10" s="18" t="n">
        <f aca="false">P2_a*P2_w2*COS(RADIANS($B10))/(P2_b*COS(RADIANS(C10)))</f>
        <v>0.708192504668977</v>
      </c>
      <c r="G10" s="27" t="n">
        <f aca="false">-P2_a*P2_w2*SIN(RADIANS($B10))+P2_b*F10*SIN(RADIANS(C10))</f>
        <v>-35.8972351227891</v>
      </c>
      <c r="H10" s="18" t="n">
        <f aca="false">(P2_a*P2_al2*COS(RADIANS($B10))-P2_a*P2_w2^2*SIN(RADIANS($B10))+P2_b*F10^2*SIN(RADIANS(C10)))/(P2_b*COS(RADIANS(C10)))</f>
        <v>1.45445173130685</v>
      </c>
      <c r="I10" s="27" t="n">
        <f aca="false">-P2_a*P2_al2*SIN(RADIANS($B10))-P2_a*P2_w2^2*COS(RADIANS($B10))+P2_b*H10*SIN(RADIANS(C10))+P2_b*F10^2*COS(RADIANS(C10))</f>
        <v>275.476420233116</v>
      </c>
      <c r="J10" s="27" t="n">
        <f aca="false">SQRT((-P2_a*P2_w2*SIN(RADIANS($B10)))^2+(P2_a*P2_w2*COS(RADIANS($B10)))^2)</f>
        <v>109.955742875643</v>
      </c>
      <c r="K10" s="27" t="n">
        <f aca="false">SQRT((-P2_a*P2_w2^2*COS(RADIANS($B10))-P2_a*P2_al2*SIN(RADIANS($B10)))^2+(-P2_a*P2_w2^2*SIN(RADIANS($B10))+P2_a*P2_al2*COS(RADIANS($B10)))^2)</f>
        <v>345.436154038127</v>
      </c>
      <c r="L10" s="28" t="str">
        <f aca="false">IF(G10&gt;0,"avanza (empuja)",IF(G10&lt;0,"retorna","detenido"))</f>
        <v>retorna</v>
      </c>
    </row>
    <row r="11" customFormat="false" ht="15" hidden="false" customHeight="false" outlineLevel="0" collapsed="false">
      <c r="A11" s="25" t="n">
        <v>6</v>
      </c>
      <c r="B11" s="26" t="n">
        <v>180</v>
      </c>
      <c r="C11" s="18" t="n">
        <f aca="false">180-DEGREES(ASIN((P2_a*SIN(RADIANS($B11))-P2_c)/P2_b))</f>
        <v>171.285257981382</v>
      </c>
      <c r="D11" s="18" t="n">
        <f aca="false">P2_a*COS(RADIANS($B11))-P2_b*COS(RADIANS(C11))</f>
        <v>95.4760514424007</v>
      </c>
      <c r="E11" s="21" t="n">
        <f aca="false">90-DEGREES(ASIN(ABS((P2_a*SIN(RADIANS($B11))-P2_c)/P2_b)))</f>
        <v>81.2852579813819</v>
      </c>
      <c r="F11" s="18" t="n">
        <f aca="false">P2_a*P2_w2*COS(RADIANS($B11))/(P2_b*COS(RADIANS(C11)))</f>
        <v>0.842727394491879</v>
      </c>
      <c r="G11" s="27" t="n">
        <f aca="false">-P2_a*P2_w2*SIN(RADIANS($B11))+P2_b*F11*SIN(RADIANS(C11))</f>
        <v>16.8545478898376</v>
      </c>
      <c r="H11" s="18" t="n">
        <f aca="false">(P2_a*P2_al2*COS(RADIANS($B11))-P2_a*P2_w2^2*SIN(RADIANS($B11))+P2_b*F11^2*SIN(RADIANS(C11)))/(P2_b*COS(RADIANS(C11)))</f>
        <v>-0.108861274322144</v>
      </c>
      <c r="I11" s="27" t="n">
        <f aca="false">-P2_a*P2_al2*SIN(RADIANS($B11))-P2_a*P2_w2^2*COS(RADIANS($B11))+P2_b*H11*SIN(RADIANS(C11))+P2_b*F11^2*COS(RADIANS(C11))</f>
        <v>250.596211848675</v>
      </c>
      <c r="J11" s="27" t="n">
        <f aca="false">SQRT((-P2_a*P2_w2*SIN(RADIANS($B11)))^2+(P2_a*P2_w2*COS(RADIANS($B11)))^2)</f>
        <v>109.955742875643</v>
      </c>
      <c r="K11" s="27" t="n">
        <f aca="false">SQRT((-P2_a*P2_w2^2*COS(RADIANS($B11))-P2_a*P2_al2*SIN(RADIANS($B11)))^2+(-P2_a*P2_w2^2*SIN(RADIANS($B11))+P2_a*P2_al2*COS(RADIANS($B11)))^2)</f>
        <v>345.436154038127</v>
      </c>
      <c r="L11" s="28" t="str">
        <f aca="false">IF(G11&gt;0,"avanza (empuja)",IF(G11&lt;0,"retorna","detenido"))</f>
        <v>avanza (empuja)</v>
      </c>
    </row>
    <row r="12" customFormat="false" ht="15" hidden="false" customHeight="false" outlineLevel="0" collapsed="false">
      <c r="A12" s="25" t="n">
        <v>7</v>
      </c>
      <c r="B12" s="26" t="n">
        <v>216</v>
      </c>
      <c r="C12" s="18" t="n">
        <f aca="false">180-DEGREES(ASIN((P2_a*SIN(RADIANS($B12))-P2_c)/P2_b))</f>
        <v>180.248492501071</v>
      </c>
      <c r="D12" s="18" t="n">
        <f aca="false">P2_a*COS(RADIANS($B12))-P2_b*COS(RADIANS(C12))</f>
        <v>103.683163760221</v>
      </c>
      <c r="E12" s="21" t="n">
        <f aca="false">90-DEGREES(ASIN(ABS((P2_a*SIN(RADIANS($B12))-P2_c)/P2_b)))</f>
        <v>89.7515074989293</v>
      </c>
      <c r="F12" s="18" t="n">
        <f aca="false">P2_a*P2_w2*COS(RADIANS($B12))/(P2_b*COS(RADIANS(C12)))</f>
        <v>0.673915918480613</v>
      </c>
      <c r="G12" s="27" t="n">
        <f aca="false">-P2_a*P2_w2*SIN(RADIANS($B12))+P2_b*F12*SIN(RADIANS(C12))</f>
        <v>64.2445581008968</v>
      </c>
      <c r="H12" s="18" t="n">
        <f aca="false">(P2_a*P2_al2*COS(RADIANS($B12))-P2_a*P2_w2^2*SIN(RADIANS($B12))+P2_b*F12^2*SIN(RADIANS(C12)))/(P2_b*COS(RADIANS(C12)))</f>
        <v>-1.53624381302659</v>
      </c>
      <c r="I12" s="27" t="n">
        <f aca="false">-P2_a*P2_al2*SIN(RADIANS($B12))-P2_a*P2_w2^2*COS(RADIANS($B12))+P2_b*H12*SIN(RADIANS(C12))+P2_b*F12^2*COS(RADIANS(C12))</f>
        <v>220.394285840839</v>
      </c>
      <c r="J12" s="27" t="n">
        <f aca="false">SQRT((-P2_a*P2_w2*SIN(RADIANS($B12)))^2+(P2_a*P2_w2*COS(RADIANS($B12)))^2)</f>
        <v>109.955742875643</v>
      </c>
      <c r="K12" s="27" t="n">
        <f aca="false">SQRT((-P2_a*P2_w2^2*COS(RADIANS($B12))-P2_a*P2_al2*SIN(RADIANS($B12)))^2+(-P2_a*P2_w2^2*SIN(RADIANS($B12))+P2_a*P2_al2*COS(RADIANS($B12)))^2)</f>
        <v>345.436154038127</v>
      </c>
      <c r="L12" s="28" t="str">
        <f aca="false">IF(G12&gt;0,"avanza (empuja)",IF(G12&lt;0,"retorna","detenido"))</f>
        <v>avanza (empuja)</v>
      </c>
    </row>
    <row r="13" customFormat="false" ht="15" hidden="false" customHeight="false" outlineLevel="0" collapsed="false">
      <c r="A13" s="25" t="n">
        <v>8</v>
      </c>
      <c r="B13" s="26" t="n">
        <v>252</v>
      </c>
      <c r="C13" s="18" t="n">
        <f aca="false">180-DEGREES(ASIN((P2_a*SIN(RADIANS($B13))-P2_c)/P2_b))</f>
        <v>185.777115547201</v>
      </c>
      <c r="D13" s="18" t="n">
        <f aca="false">P2_a*COS(RADIANS($B13))-P2_b*COS(RADIANS(C13))</f>
        <v>120.513976176754</v>
      </c>
      <c r="E13" s="21" t="n">
        <f aca="false">90-DEGREES(ASIN(ABS((P2_a*SIN(RADIANS($B13))-P2_c)/P2_b)))</f>
        <v>84.2228844527993</v>
      </c>
      <c r="F13" s="18" t="n">
        <f aca="false">P2_a*P2_w2*COS(RADIANS($B13))/(P2_b*COS(RADIANS(C13)))</f>
        <v>0.25872461871441</v>
      </c>
      <c r="G13" s="27" t="n">
        <f aca="false">-P2_a*P2_w2*SIN(RADIANS($B13))+P2_b*F13*SIN(RADIANS(C13))</f>
        <v>101.136457430841</v>
      </c>
      <c r="H13" s="18" t="n">
        <f aca="false">(P2_a*P2_al2*COS(RADIANS($B13))-P2_a*P2_w2^2*SIN(RADIANS($B13))+P2_b*F13^2*SIN(RADIANS(C13)))/(P2_b*COS(RADIANS(C13)))</f>
        <v>-2.49479148822341</v>
      </c>
      <c r="I13" s="27" t="n">
        <f aca="false">-P2_a*P2_al2*SIN(RADIANS($B13))-P2_a*P2_w2^2*COS(RADIANS($B13))+P2_b*H13*SIN(RADIANS(C13))+P2_b*F13^2*COS(RADIANS(C13))</f>
        <v>131.102886788871</v>
      </c>
      <c r="J13" s="27" t="n">
        <f aca="false">SQRT((-P2_a*P2_w2*SIN(RADIANS($B13)))^2+(P2_a*P2_w2*COS(RADIANS($B13)))^2)</f>
        <v>109.955742875643</v>
      </c>
      <c r="K13" s="27" t="n">
        <f aca="false">SQRT((-P2_a*P2_w2^2*COS(RADIANS($B13))-P2_a*P2_al2*SIN(RADIANS($B13)))^2+(-P2_a*P2_w2^2*SIN(RADIANS($B13))+P2_a*P2_al2*COS(RADIANS($B13)))^2)</f>
        <v>345.436154038127</v>
      </c>
      <c r="L13" s="28" t="str">
        <f aca="false">IF(G13&gt;0,"avanza (empuja)",IF(G13&lt;0,"retorna","detenido"))</f>
        <v>avanza (empuja)</v>
      </c>
    </row>
    <row r="14" customFormat="false" ht="15" hidden="false" customHeight="false" outlineLevel="0" collapsed="false">
      <c r="A14" s="25" t="n">
        <v>9</v>
      </c>
      <c r="B14" s="26" t="n">
        <v>288</v>
      </c>
      <c r="C14" s="18" t="n">
        <f aca="false">180-DEGREES(ASIN((P2_a*SIN(RADIANS($B14))-P2_c)/P2_b))</f>
        <v>185.777115547201</v>
      </c>
      <c r="D14" s="18" t="n">
        <f aca="false">P2_a*COS(RADIANS($B14))-P2_b*COS(RADIANS(C14))</f>
        <v>142.145165783</v>
      </c>
      <c r="E14" s="21" t="n">
        <f aca="false">90-DEGREES(ASIN(ABS((P2_a*SIN(RADIANS($B14))-P2_c)/P2_b)))</f>
        <v>84.2228844527993</v>
      </c>
      <c r="F14" s="18" t="n">
        <f aca="false">P2_a*P2_w2*COS(RADIANS($B14))/(P2_b*COS(RADIANS(C14)))</f>
        <v>-0.258724618714409</v>
      </c>
      <c r="G14" s="27" t="n">
        <f aca="false">-P2_a*P2_w2*SIN(RADIANS($B14))+P2_b*F14*SIN(RADIANS(C14))</f>
        <v>108.011794101067</v>
      </c>
      <c r="H14" s="18" t="n">
        <f aca="false">(P2_a*P2_al2*COS(RADIANS($B14))-P2_a*P2_w2^2*SIN(RADIANS($B14))+P2_b*F14^2*SIN(RADIANS(C14)))/(P2_b*COS(RADIANS(C14)))</f>
        <v>-2.49479148822341</v>
      </c>
      <c r="I14" s="27" t="n">
        <f aca="false">-P2_a*P2_al2*SIN(RADIANS($B14))-P2_a*P2_w2^2*COS(RADIANS($B14))+P2_b*H14*SIN(RADIANS(C14))+P2_b*F14^2*COS(RADIANS(C14))</f>
        <v>-82.3883973497361</v>
      </c>
      <c r="J14" s="27" t="n">
        <f aca="false">SQRT((-P2_a*P2_w2*SIN(RADIANS($B14)))^2+(P2_a*P2_w2*COS(RADIANS($B14)))^2)</f>
        <v>109.955742875643</v>
      </c>
      <c r="K14" s="27" t="n">
        <f aca="false">SQRT((-P2_a*P2_w2^2*COS(RADIANS($B14))-P2_a*P2_al2*SIN(RADIANS($B14)))^2+(-P2_a*P2_w2^2*SIN(RADIANS($B14))+P2_a*P2_al2*COS(RADIANS($B14)))^2)</f>
        <v>345.436154038127</v>
      </c>
      <c r="L14" s="28" t="str">
        <f aca="false">IF(G14&gt;0,"avanza (empuja)",IF(G14&lt;0,"retorna","detenido"))</f>
        <v>avanza (empuja)</v>
      </c>
    </row>
    <row r="15" customFormat="false" ht="15" hidden="false" customHeight="false" outlineLevel="0" collapsed="false">
      <c r="A15" s="25" t="n">
        <v>10</v>
      </c>
      <c r="B15" s="26" t="n">
        <v>324</v>
      </c>
      <c r="C15" s="18" t="n">
        <f aca="false">180-DEGREES(ASIN((P2_a*SIN(RADIANS($B15))-P2_c)/P2_b))</f>
        <v>180.248492501071</v>
      </c>
      <c r="D15" s="18" t="n">
        <f aca="false">P2_a*COS(RADIANS($B15))-P2_b*COS(RADIANS(C15))</f>
        <v>160.314353366468</v>
      </c>
      <c r="E15" s="21" t="n">
        <f aca="false">90-DEGREES(ASIN(ABS((P2_a*SIN(RADIANS($B15))-P2_c)/P2_b)))</f>
        <v>89.7515074989293</v>
      </c>
      <c r="F15" s="18" t="n">
        <f aca="false">P2_a*P2_w2*COS(RADIANS($B15))/(P2_b*COS(RADIANS(C15)))</f>
        <v>-0.673915918480613</v>
      </c>
      <c r="G15" s="27" t="n">
        <f aca="false">-P2_a*P2_w2*SIN(RADIANS($B15))+P2_b*F15*SIN(RADIANS(C15))</f>
        <v>65.0161700334352</v>
      </c>
      <c r="H15" s="18" t="n">
        <f aca="false">(P2_a*P2_al2*COS(RADIANS($B15))-P2_a*P2_w2^2*SIN(RADIANS($B15))+P2_b*F15^2*SIN(RADIANS(C15)))/(P2_b*COS(RADIANS(C15)))</f>
        <v>-1.53624381302659</v>
      </c>
      <c r="I15" s="27" t="n">
        <f aca="false">-P2_a*P2_al2*SIN(RADIANS($B15))-P2_a*P2_w2^2*COS(RADIANS($B15))+P2_b*H15*SIN(RADIANS(C15))+P2_b*F15^2*COS(RADIANS(C15))</f>
        <v>-338.533152335895</v>
      </c>
      <c r="J15" s="27" t="n">
        <f aca="false">SQRT((-P2_a*P2_w2*SIN(RADIANS($B15)))^2+(P2_a*P2_w2*COS(RADIANS($B15)))^2)</f>
        <v>109.955742875643</v>
      </c>
      <c r="K15" s="27" t="n">
        <f aca="false">SQRT((-P2_a*P2_w2^2*COS(RADIANS($B15))-P2_a*P2_al2*SIN(RADIANS($B15)))^2+(-P2_a*P2_w2^2*SIN(RADIANS($B15))+P2_a*P2_al2*COS(RADIANS($B15)))^2)</f>
        <v>345.436154038127</v>
      </c>
      <c r="L15" s="28" t="str">
        <f aca="false">IF(G15&gt;0,"avanza (empuja)",IF(G15&lt;0,"retorna","detenido"))</f>
        <v>avanza (empuja)</v>
      </c>
    </row>
    <row r="17" customFormat="false" ht="15" hidden="false" customHeight="false" outlineLevel="0" collapsed="false">
      <c r="A17" s="5" t="s">
        <v>254</v>
      </c>
    </row>
    <row r="18" customFormat="false" ht="15" hidden="false" customHeight="false" outlineLevel="0" collapsed="false">
      <c r="A18" s="6" t="s">
        <v>255</v>
      </c>
      <c r="D18" s="27" t="n">
        <f aca="false">SUMPRODUCT(MAX(ABS(G6:G15)))</f>
        <v>119.566680080929</v>
      </c>
      <c r="F18" s="15" t="s">
        <v>256</v>
      </c>
      <c r="J18" s="29" t="n">
        <f aca="false">SUMPRODUCT(MAX(ABS('P2 Curva'!F6:F726)))</f>
        <v>119.801798509473</v>
      </c>
      <c r="K18" s="15" t="str">
        <f aca="false">"en θ2 = "&amp;FIXED(SUMPRODUCT((ABS('P2 Curva'!F6:F726)=J18)*'P2 Curva'!A6:A726)/SUMPRODUCT(--(ABS('P2 Curva'!F6:F726)=J18)),1)&amp;"°"</f>
        <v>en θ2 = 69.0°</v>
      </c>
    </row>
    <row r="19" customFormat="false" ht="15" hidden="false" customHeight="false" outlineLevel="0" collapsed="false">
      <c r="A19" s="6" t="s">
        <v>257</v>
      </c>
      <c r="D19" s="27" t="n">
        <f aca="false">SUMPRODUCT(MAX(ABS(I6:I15)))</f>
        <v>440.27609622758</v>
      </c>
      <c r="F19" s="15" t="s">
        <v>258</v>
      </c>
      <c r="J19" s="29" t="n">
        <f aca="false">SUMPRODUCT(MAX(ABS('P2 Curva'!H6:H726)))</f>
        <v>441.489114224387</v>
      </c>
      <c r="K19" s="15" t="str">
        <f aca="false">"en θ2 = "&amp;FIXED(SUMPRODUCT((ABS('P2 Curva'!H6:H726)=J19)*'P2 Curva'!A6:A726)/SUMPRODUCT(--(ABS('P2 Curva'!H6:H726)=J19)),1)&amp;"°"</f>
        <v>en θ2 = 356.5°</v>
      </c>
    </row>
    <row r="20" customFormat="false" ht="15" hidden="false" customHeight="false" outlineLevel="0" collapsed="false">
      <c r="A20" s="6" t="s">
        <v>259</v>
      </c>
      <c r="D20" s="18" t="n">
        <f aca="false">SUMPRODUCT(MAX(ABS(F6:F15)))</f>
        <v>0.842727394491879</v>
      </c>
      <c r="F20" s="15" t="s">
        <v>260</v>
      </c>
      <c r="J20" s="18" t="n">
        <f aca="false">SUMPRODUCT(MAX(ABS('P2 Curva'!E6:E726)))</f>
        <v>0.843497374557917</v>
      </c>
    </row>
    <row r="21" customFormat="false" ht="15" hidden="false" customHeight="false" outlineLevel="0" collapsed="false">
      <c r="A21" s="6" t="s">
        <v>261</v>
      </c>
      <c r="D21" s="18" t="n">
        <f aca="false">SUMPRODUCT(MAX(ABS(H6:H15)))</f>
        <v>2.68544362102672</v>
      </c>
      <c r="F21" s="15" t="s">
        <v>262</v>
      </c>
      <c r="J21" s="18" t="n">
        <f aca="false">SUMPRODUCT(MAX(ABS('P2 Curva'!G6:G726)))</f>
        <v>2.87873457478143</v>
      </c>
    </row>
    <row r="23" customFormat="false" ht="18" hidden="false" customHeight="true" outlineLevel="0" collapsed="false">
      <c r="A23" s="3" t="s">
        <v>263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30" hidden="false" customHeight="true" outlineLevel="0" collapsed="false">
      <c r="A24" s="30" t="s">
        <v>264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customFormat="false" ht="15" hidden="false" customHeight="false" outlineLevel="0" collapsed="false">
      <c r="A25" s="11" t="s">
        <v>242</v>
      </c>
      <c r="B25" s="11" t="s">
        <v>243</v>
      </c>
      <c r="C25" s="11" t="s">
        <v>265</v>
      </c>
      <c r="D25" s="11" t="s">
        <v>266</v>
      </c>
      <c r="E25" s="11" t="s">
        <v>267</v>
      </c>
      <c r="F25" s="11" t="s">
        <v>268</v>
      </c>
      <c r="G25" s="11" t="s">
        <v>269</v>
      </c>
      <c r="H25" s="11" t="s">
        <v>270</v>
      </c>
      <c r="I25" s="11" t="s">
        <v>271</v>
      </c>
      <c r="J25" s="11" t="s">
        <v>272</v>
      </c>
      <c r="K25" s="11" t="s">
        <v>273</v>
      </c>
      <c r="L25" s="11"/>
    </row>
    <row r="26" customFormat="false" ht="15" hidden="false" customHeight="false" outlineLevel="0" collapsed="false">
      <c r="A26" s="25" t="n">
        <v>1</v>
      </c>
      <c r="B26" s="31" t="n">
        <v>0</v>
      </c>
      <c r="C26" s="32" t="n">
        <v>171.2853</v>
      </c>
      <c r="D26" s="32" t="n">
        <v>165.4761</v>
      </c>
      <c r="E26" s="32" t="n">
        <v>81.2853</v>
      </c>
      <c r="F26" s="32" t="n">
        <v>-0.8427</v>
      </c>
      <c r="G26" s="32" t="n">
        <v>-16.8545</v>
      </c>
      <c r="H26" s="32" t="n">
        <v>-0.1089</v>
      </c>
      <c r="I26" s="32" t="n">
        <v>-440.2761</v>
      </c>
      <c r="J26" s="24" t="n">
        <f aca="false">MAX(ABS(C6-C26),ABS(D6-D26),ABS(E6-E26),ABS(F6-F26),ABS(G6-G26),ABS(H6-H26),ABS(I6-I26))</f>
        <v>4.85575992854592E-005</v>
      </c>
      <c r="K26" s="33" t="str">
        <f aca="false">IF(AND(B26=B6,J26&lt;=0.00051),"SI (redondeo)","NO - revisar datos")</f>
        <v>SI (redondeo)</v>
      </c>
    </row>
    <row r="27" customFormat="false" ht="15" hidden="false" customHeight="false" outlineLevel="0" collapsed="false">
      <c r="A27" s="25" t="n">
        <v>2</v>
      </c>
      <c r="B27" s="31" t="n">
        <v>36</v>
      </c>
      <c r="C27" s="32" t="n">
        <v>162.0994</v>
      </c>
      <c r="D27" s="32" t="n">
        <v>153.9256</v>
      </c>
      <c r="E27" s="32" t="n">
        <v>72.0994</v>
      </c>
      <c r="F27" s="32" t="n">
        <v>-0.7082</v>
      </c>
      <c r="G27" s="32" t="n">
        <v>-93.3635</v>
      </c>
      <c r="H27" s="32" t="n">
        <v>1.4545</v>
      </c>
      <c r="I27" s="32" t="n">
        <v>-283.451</v>
      </c>
      <c r="J27" s="24" t="n">
        <f aca="false">MAX(ABS(C7-C27),ABS(D7-D27),ABS(E7-E27),ABS(F7-F27),ABS(G7-G27),ABS(H7-H27),ABS(I7-I27))</f>
        <v>4.82686931502219E-005</v>
      </c>
      <c r="K27" s="33" t="str">
        <f aca="false">IF(AND(B27=B7,J27&lt;=0.00051),"SI (redondeo)","NO - revisar datos")</f>
        <v>SI (redondeo)</v>
      </c>
    </row>
    <row r="28" customFormat="false" ht="15" hidden="false" customHeight="false" outlineLevel="0" collapsed="false">
      <c r="A28" s="25" t="n">
        <v>3</v>
      </c>
      <c r="B28" s="31" t="n">
        <v>72</v>
      </c>
      <c r="C28" s="32" t="n">
        <v>156.191</v>
      </c>
      <c r="D28" s="32" t="n">
        <v>131.5819</v>
      </c>
      <c r="E28" s="32" t="n">
        <v>66.191</v>
      </c>
      <c r="F28" s="32" t="n">
        <v>-0.2814</v>
      </c>
      <c r="G28" s="32" t="n">
        <v>-119.5667</v>
      </c>
      <c r="H28" s="32" t="n">
        <v>2.6854</v>
      </c>
      <c r="I28" s="32" t="n">
        <v>26.7936</v>
      </c>
      <c r="J28" s="24" t="n">
        <f aca="false">MAX(ABS(C8-C28),ABS(D8-D28),ABS(E8-E28),ABS(F8-F28),ABS(G8-G28),ABS(H8-H28),ABS(I8-I28))</f>
        <v>4.50638055247699E-005</v>
      </c>
      <c r="K28" s="33" t="str">
        <f aca="false">IF(AND(B28=B8,J28&lt;=0.00051),"SI (redondeo)","NO - revisar datos")</f>
        <v>SI (redondeo)</v>
      </c>
    </row>
    <row r="29" customFormat="false" ht="15" hidden="false" customHeight="false" outlineLevel="0" collapsed="false">
      <c r="A29" s="25" t="n">
        <v>4</v>
      </c>
      <c r="B29" s="31" t="n">
        <v>108</v>
      </c>
      <c r="C29" s="32" t="n">
        <v>156.191</v>
      </c>
      <c r="D29" s="32" t="n">
        <v>109.9507</v>
      </c>
      <c r="E29" s="32" t="n">
        <v>66.191</v>
      </c>
      <c r="F29" s="32" t="n">
        <v>0.2814</v>
      </c>
      <c r="G29" s="32" t="n">
        <v>-89.5816</v>
      </c>
      <c r="H29" s="32" t="n">
        <v>2.6854</v>
      </c>
      <c r="I29" s="32" t="n">
        <v>240.2849</v>
      </c>
      <c r="J29" s="24" t="n">
        <f aca="false">MAX(ABS(C9-C29),ABS(D9-D29),ABS(E9-E29),ABS(F9-F29),ABS(G9-G29),ABS(H9-H29),ABS(I9-I29))</f>
        <v>4.50638055248254E-005</v>
      </c>
      <c r="K29" s="33" t="str">
        <f aca="false">IF(AND(B29=B9,J29&lt;=0.00051),"SI (redondeo)","NO - revisar datos")</f>
        <v>SI (redondeo)</v>
      </c>
    </row>
    <row r="30" customFormat="false" ht="15" hidden="false" customHeight="false" outlineLevel="0" collapsed="false">
      <c r="A30" s="25" t="n">
        <v>5</v>
      </c>
      <c r="B30" s="31" t="n">
        <v>144</v>
      </c>
      <c r="C30" s="32" t="n">
        <v>162.0994</v>
      </c>
      <c r="D30" s="32" t="n">
        <v>97.2944</v>
      </c>
      <c r="E30" s="32" t="n">
        <v>72.0994</v>
      </c>
      <c r="F30" s="32" t="n">
        <v>0.7082</v>
      </c>
      <c r="G30" s="32" t="n">
        <v>-35.8972</v>
      </c>
      <c r="H30" s="32" t="n">
        <v>1.4545</v>
      </c>
      <c r="I30" s="32" t="n">
        <v>275.4764</v>
      </c>
      <c r="J30" s="24" t="n">
        <f aca="false">MAX(ABS(C10-C30),ABS(D10-D30),ABS(E10-E30),ABS(F10-F30),ABS(G10-G30),ABS(H10-H30),ABS(I10-I30))</f>
        <v>4.82686931497778E-005</v>
      </c>
      <c r="K30" s="33" t="str">
        <f aca="false">IF(AND(B30=B10,J30&lt;=0.00051),"SI (redondeo)","NO - revisar datos")</f>
        <v>SI (redondeo)</v>
      </c>
    </row>
    <row r="31" customFormat="false" ht="15" hidden="false" customHeight="false" outlineLevel="0" collapsed="false">
      <c r="A31" s="25" t="n">
        <v>6</v>
      </c>
      <c r="B31" s="31" t="n">
        <v>180</v>
      </c>
      <c r="C31" s="32" t="n">
        <v>171.2853</v>
      </c>
      <c r="D31" s="32" t="n">
        <v>95.4761</v>
      </c>
      <c r="E31" s="32" t="n">
        <v>81.2853</v>
      </c>
      <c r="F31" s="32" t="n">
        <v>0.8427</v>
      </c>
      <c r="G31" s="32" t="n">
        <v>16.8545</v>
      </c>
      <c r="H31" s="32" t="n">
        <v>-0.1089</v>
      </c>
      <c r="I31" s="32" t="n">
        <v>250.5962</v>
      </c>
      <c r="J31" s="24" t="n">
        <f aca="false">MAX(ABS(C11-C31),ABS(D11-D31),ABS(E11-E31),ABS(F11-F31),ABS(G11-G31),ABS(H11-H31),ABS(I11-I31))</f>
        <v>4.85575992854592E-005</v>
      </c>
      <c r="K31" s="33" t="str">
        <f aca="false">IF(AND(B31=B11,J31&lt;=0.00051),"SI (redondeo)","NO - revisar datos")</f>
        <v>SI (redondeo)</v>
      </c>
    </row>
    <row r="32" customFormat="false" ht="15" hidden="false" customHeight="false" outlineLevel="0" collapsed="false">
      <c r="A32" s="25" t="n">
        <v>7</v>
      </c>
      <c r="B32" s="31" t="n">
        <v>216</v>
      </c>
      <c r="C32" s="32" t="n">
        <v>180.2485</v>
      </c>
      <c r="D32" s="32" t="n">
        <v>103.6832</v>
      </c>
      <c r="E32" s="32" t="n">
        <v>89.7515</v>
      </c>
      <c r="F32" s="32" t="n">
        <v>0.6739</v>
      </c>
      <c r="G32" s="32" t="n">
        <v>64.2446</v>
      </c>
      <c r="H32" s="32" t="n">
        <v>-1.5362</v>
      </c>
      <c r="I32" s="32" t="n">
        <v>220.3943</v>
      </c>
      <c r="J32" s="24" t="n">
        <f aca="false">MAX(ABS(C12-C32),ABS(D12-D32),ABS(E12-E32),ABS(F12-F32),ABS(G12-G32),ABS(H12-H32),ABS(I12-I32))</f>
        <v>4.38130265907333E-005</v>
      </c>
      <c r="K32" s="33" t="str">
        <f aca="false">IF(AND(B32=B12,J32&lt;=0.00051),"SI (redondeo)","NO - revisar datos")</f>
        <v>SI (redondeo)</v>
      </c>
    </row>
    <row r="33" customFormat="false" ht="15" hidden="false" customHeight="false" outlineLevel="0" collapsed="false">
      <c r="A33" s="25" t="n">
        <v>8</v>
      </c>
      <c r="B33" s="31" t="n">
        <v>252</v>
      </c>
      <c r="C33" s="32" t="n">
        <v>185.7771</v>
      </c>
      <c r="D33" s="32" t="n">
        <v>120.514</v>
      </c>
      <c r="E33" s="32" t="n">
        <v>84.2229</v>
      </c>
      <c r="F33" s="32" t="n">
        <v>0.2587</v>
      </c>
      <c r="G33" s="32" t="n">
        <v>101.1365</v>
      </c>
      <c r="H33" s="32" t="n">
        <v>-2.4948</v>
      </c>
      <c r="I33" s="32" t="n">
        <v>131.1029</v>
      </c>
      <c r="J33" s="24" t="n">
        <f aca="false">MAX(ABS(C13-C33),ABS(D13-D33),ABS(E13-E33),ABS(F13-F33),ABS(G13-G33),ABS(H13-H33),ABS(I13-I33))</f>
        <v>4.25691585093091E-005</v>
      </c>
      <c r="K33" s="33" t="str">
        <f aca="false">IF(AND(B33=B13,J33&lt;=0.00051),"SI (redondeo)","NO - revisar datos")</f>
        <v>SI (redondeo)</v>
      </c>
    </row>
    <row r="34" customFormat="false" ht="15" hidden="false" customHeight="false" outlineLevel="0" collapsed="false">
      <c r="A34" s="25" t="n">
        <v>9</v>
      </c>
      <c r="B34" s="31" t="n">
        <v>288</v>
      </c>
      <c r="C34" s="32" t="n">
        <v>185.7771</v>
      </c>
      <c r="D34" s="32" t="n">
        <v>142.1452</v>
      </c>
      <c r="E34" s="32" t="n">
        <v>84.2229</v>
      </c>
      <c r="F34" s="32" t="n">
        <v>-0.2587</v>
      </c>
      <c r="G34" s="32" t="n">
        <v>108.0118</v>
      </c>
      <c r="H34" s="32" t="n">
        <v>-2.4948</v>
      </c>
      <c r="I34" s="32" t="n">
        <v>-82.3884</v>
      </c>
      <c r="J34" s="24" t="n">
        <f aca="false">MAX(ABS(C14-C34),ABS(D14-D34),ABS(E14-E34),ABS(F14-F34),ABS(G14-G34),ABS(H14-H34),ABS(I14-I34))</f>
        <v>3.42169997793462E-005</v>
      </c>
      <c r="K34" s="33" t="str">
        <f aca="false">IF(AND(B34=B14,J34&lt;=0.00051),"SI (redondeo)","NO - revisar datos")</f>
        <v>SI (redondeo)</v>
      </c>
    </row>
    <row r="35" customFormat="false" ht="15" hidden="false" customHeight="false" outlineLevel="0" collapsed="false">
      <c r="A35" s="25" t="n">
        <v>10</v>
      </c>
      <c r="B35" s="31" t="n">
        <v>324</v>
      </c>
      <c r="C35" s="32" t="n">
        <v>180.2485</v>
      </c>
      <c r="D35" s="32" t="n">
        <v>160.3144</v>
      </c>
      <c r="E35" s="32" t="n">
        <v>89.7515</v>
      </c>
      <c r="F35" s="32" t="n">
        <v>-0.6739</v>
      </c>
      <c r="G35" s="32" t="n">
        <v>65.0162</v>
      </c>
      <c r="H35" s="32" t="n">
        <v>-1.5362</v>
      </c>
      <c r="I35" s="32" t="n">
        <v>-338.5332</v>
      </c>
      <c r="J35" s="24" t="n">
        <f aca="false">MAX(ABS(C15-C35),ABS(D15-D35),ABS(E15-E35),ABS(F15-F35),ABS(G15-G35),ABS(H15-H35),ABS(I15-I35))</f>
        <v>4.76641045565884E-005</v>
      </c>
      <c r="K35" s="33" t="str">
        <f aca="false">IF(AND(B35=B15,J35&lt;=0.00051),"SI (redondeo)","NO - revisar datos")</f>
        <v>SI (redondeo)</v>
      </c>
    </row>
    <row r="37" customFormat="false" ht="15" hidden="false" customHeight="false" outlineLevel="0" collapsed="false">
      <c r="A37" s="15" t="s">
        <v>274</v>
      </c>
    </row>
  </sheetData>
  <mergeCells count="5">
    <mergeCell ref="A1:L1"/>
    <mergeCell ref="A2:L2"/>
    <mergeCell ref="A4:L4"/>
    <mergeCell ref="A23:L23"/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788"/>
    <pageSetUpPr fitToPage="false"/>
  </sheetPr>
  <dimension ref="A1:J1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7" min="5" style="0" width="15"/>
    <col collapsed="false" customWidth="true" hidden="false" outlineLevel="0" max="9" min="8" style="0" width="13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276</v>
      </c>
      <c r="B2" s="2"/>
      <c r="C2" s="2"/>
      <c r="D2" s="2"/>
      <c r="E2" s="2"/>
      <c r="F2" s="2"/>
      <c r="G2" s="2"/>
      <c r="H2" s="2"/>
      <c r="I2" s="2"/>
    </row>
    <row r="4" customFormat="false" ht="18" hidden="false" customHeight="true" outlineLevel="0" collapsed="false">
      <c r="A4" s="3" t="s">
        <v>277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6" t="s">
        <v>278</v>
      </c>
      <c r="D5" s="19" t="n">
        <v>30</v>
      </c>
      <c r="E5" s="6" t="s">
        <v>64</v>
      </c>
      <c r="F5" s="15" t="s">
        <v>279</v>
      </c>
    </row>
    <row r="6" customFormat="false" ht="15" hidden="false" customHeight="false" outlineLevel="0" collapsed="false">
      <c r="A6" s="6" t="s">
        <v>280</v>
      </c>
      <c r="D6" s="34" t="n">
        <f aca="false">D5*2*PI()/60</f>
        <v>3.14159265358979</v>
      </c>
      <c r="E6" s="6" t="s">
        <v>76</v>
      </c>
    </row>
    <row r="8" customFormat="false" ht="18" hidden="false" customHeight="true" outlineLevel="0" collapsed="false">
      <c r="A8" s="3" t="s">
        <v>281</v>
      </c>
      <c r="B8" s="3"/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11" t="s">
        <v>242</v>
      </c>
      <c r="B9" s="11" t="s">
        <v>243</v>
      </c>
      <c r="C9" s="11" t="s">
        <v>282</v>
      </c>
      <c r="D9" s="11" t="s">
        <v>283</v>
      </c>
      <c r="E9" s="11" t="s">
        <v>284</v>
      </c>
      <c r="F9" s="11" t="s">
        <v>285</v>
      </c>
      <c r="G9" s="11" t="s">
        <v>286</v>
      </c>
      <c r="H9" s="11" t="s">
        <v>287</v>
      </c>
      <c r="I9" s="11" t="s">
        <v>288</v>
      </c>
      <c r="J9" s="15" t="s">
        <v>289</v>
      </c>
    </row>
    <row r="10" customFormat="false" ht="15" hidden="false" customHeight="false" outlineLevel="0" collapsed="false">
      <c r="A10" s="25" t="n">
        <v>1</v>
      </c>
      <c r="B10" s="25" t="n">
        <f aca="false">B39</f>
        <v>0</v>
      </c>
      <c r="C10" s="24" t="n">
        <f aca="false">F39</f>
        <v>0</v>
      </c>
      <c r="D10" s="24" t="n">
        <f aca="false">F53</f>
        <v>0</v>
      </c>
      <c r="E10" s="24" t="n">
        <f aca="false">F67</f>
        <v>0.0011714691094943</v>
      </c>
      <c r="F10" s="24" t="n">
        <f aca="false">F81</f>
        <v>0.000988813242282702</v>
      </c>
      <c r="G10" s="24" t="n">
        <f aca="false">F95</f>
        <v>0.00211142461885121</v>
      </c>
      <c r="H10" s="24" t="n">
        <f aca="false">F109</f>
        <v>0.00101174810078128</v>
      </c>
      <c r="I10" s="24" t="n">
        <f aca="false">MAX(C10:H10)</f>
        <v>0.00211142461885121</v>
      </c>
    </row>
    <row r="11" customFormat="false" ht="15" hidden="false" customHeight="false" outlineLevel="0" collapsed="false">
      <c r="A11" s="25" t="n">
        <v>2</v>
      </c>
      <c r="B11" s="25" t="n">
        <f aca="false">B40</f>
        <v>36</v>
      </c>
      <c r="C11" s="24" t="n">
        <f aca="false">F40</f>
        <v>0</v>
      </c>
      <c r="D11" s="24" t="n">
        <f aca="false">F54</f>
        <v>0</v>
      </c>
      <c r="E11" s="24" t="n">
        <f aca="false">F68</f>
        <v>0.00138598171308021</v>
      </c>
      <c r="F11" s="24" t="n">
        <f aca="false">F82</f>
        <v>0.00185964565717951</v>
      </c>
      <c r="G11" s="24" t="n">
        <f aca="false">F96</f>
        <v>0.000290100257085857</v>
      </c>
      <c r="H11" s="24" t="n">
        <f aca="false">F110</f>
        <v>0.000967425752037952</v>
      </c>
      <c r="I11" s="24" t="n">
        <f aca="false">MAX(C11:H11)</f>
        <v>0.00185964565717951</v>
      </c>
    </row>
    <row r="12" customFormat="false" ht="15" hidden="false" customHeight="false" outlineLevel="0" collapsed="false">
      <c r="A12" s="25" t="n">
        <v>3</v>
      </c>
      <c r="B12" s="25" t="n">
        <f aca="false">B41</f>
        <v>72</v>
      </c>
      <c r="C12" s="24" t="n">
        <f aca="false">F41</f>
        <v>0</v>
      </c>
      <c r="D12" s="24" t="n">
        <f aca="false">F55</f>
        <v>0</v>
      </c>
      <c r="E12" s="24" t="n">
        <f aca="false">F69</f>
        <v>0.00171618547181182</v>
      </c>
      <c r="F12" s="24" t="n">
        <f aca="false">F83</f>
        <v>0.00162097021806848</v>
      </c>
      <c r="G12" s="24" t="n">
        <f aca="false">F97</f>
        <v>0.000796189584082856</v>
      </c>
      <c r="H12" s="24" t="n">
        <f aca="false">F111</f>
        <v>0.00693071839014549</v>
      </c>
      <c r="I12" s="24" t="n">
        <f aca="false">MAX(C12:H12)</f>
        <v>0.00693071839014549</v>
      </c>
    </row>
    <row r="13" customFormat="false" ht="15" hidden="false" customHeight="false" outlineLevel="0" collapsed="false">
      <c r="A13" s="25" t="n">
        <v>4</v>
      </c>
      <c r="B13" s="25" t="n">
        <f aca="false">B42</f>
        <v>108</v>
      </c>
      <c r="C13" s="24" t="n">
        <f aca="false">F42</f>
        <v>0</v>
      </c>
      <c r="D13" s="24" t="n">
        <f aca="false">F56</f>
        <v>0</v>
      </c>
      <c r="E13" s="24" t="n">
        <f aca="false">F70</f>
        <v>0.00171618547179209</v>
      </c>
      <c r="F13" s="24" t="n">
        <f aca="false">F84</f>
        <v>0.000799764170628762</v>
      </c>
      <c r="G13" s="24" t="n">
        <f aca="false">F98</f>
        <v>0.000796189584099392</v>
      </c>
      <c r="H13" s="24" t="n">
        <f aca="false">F112</f>
        <v>0.00133668135353209</v>
      </c>
      <c r="I13" s="24" t="n">
        <f aca="false">MAX(C13:H13)</f>
        <v>0.00171618547179209</v>
      </c>
    </row>
    <row r="14" customFormat="false" ht="15" hidden="false" customHeight="false" outlineLevel="0" collapsed="false">
      <c r="A14" s="25" t="n">
        <v>5</v>
      </c>
      <c r="B14" s="25" t="n">
        <f aca="false">B43</f>
        <v>144</v>
      </c>
      <c r="C14" s="24" t="n">
        <f aca="false">F43</f>
        <v>0</v>
      </c>
      <c r="D14" s="24" t="n">
        <f aca="false">F57</f>
        <v>0</v>
      </c>
      <c r="E14" s="24" t="n">
        <f aca="false">F71</f>
        <v>0.00138598172435187</v>
      </c>
      <c r="F14" s="24" t="n">
        <f aca="false">F85</f>
        <v>0.000266339438833218</v>
      </c>
      <c r="G14" s="24" t="n">
        <f aca="false">F99</f>
        <v>0.000290104214206224</v>
      </c>
      <c r="H14" s="24" t="n">
        <f aca="false">F113</f>
        <v>0.000292179396741504</v>
      </c>
      <c r="I14" s="24" t="n">
        <f aca="false">MAX(C14:H14)</f>
        <v>0.00138598172435187</v>
      </c>
    </row>
    <row r="15" customFormat="false" ht="15" hidden="false" customHeight="false" outlineLevel="0" collapsed="false">
      <c r="A15" s="25" t="n">
        <v>6</v>
      </c>
      <c r="B15" s="25" t="n">
        <f aca="false">B44</f>
        <v>180</v>
      </c>
      <c r="C15" s="24" t="n">
        <f aca="false">F44</f>
        <v>0</v>
      </c>
      <c r="D15" s="24" t="n">
        <f aca="false">F58</f>
        <v>0</v>
      </c>
      <c r="E15" s="24" t="n">
        <f aca="false">F72</f>
        <v>0.0011714691094943</v>
      </c>
      <c r="F15" s="24" t="n">
        <f aca="false">F86</f>
        <v>0.000988813242198388</v>
      </c>
      <c r="G15" s="24" t="n">
        <f aca="false">F100</f>
        <v>0.00211142461855801</v>
      </c>
      <c r="H15" s="24" t="n">
        <f aca="false">F114</f>
        <v>2.79672809542444E-005</v>
      </c>
      <c r="I15" s="24" t="n">
        <f aca="false">MAX(C15:H15)</f>
        <v>0.00211142461855801</v>
      </c>
    </row>
    <row r="16" customFormat="false" ht="15" hidden="false" customHeight="false" outlineLevel="0" collapsed="false">
      <c r="A16" s="25" t="n">
        <v>7</v>
      </c>
      <c r="B16" s="25" t="n">
        <f aca="false">B45</f>
        <v>216</v>
      </c>
      <c r="C16" s="24" t="n">
        <f aca="false">F45</f>
        <v>0</v>
      </c>
      <c r="D16" s="24" t="n">
        <f aca="false">F59</f>
        <v>0</v>
      </c>
      <c r="E16" s="24" t="n">
        <f aca="false">F73</f>
        <v>0.001213399559219</v>
      </c>
      <c r="F16" s="24" t="n">
        <f aca="false">F87</f>
        <v>0.000448571103668746</v>
      </c>
      <c r="G16" s="24" t="n">
        <f aca="false">F101</f>
        <v>0.000458353585084538</v>
      </c>
      <c r="H16" s="24" t="n">
        <f aca="false">F115</f>
        <v>0.000411847051321042</v>
      </c>
      <c r="I16" s="24" t="n">
        <f aca="false">MAX(C16:H16)</f>
        <v>0.001213399559219</v>
      </c>
    </row>
    <row r="17" customFormat="false" ht="15" hidden="false" customHeight="false" outlineLevel="0" collapsed="false">
      <c r="A17" s="25" t="n">
        <v>8</v>
      </c>
      <c r="B17" s="25" t="n">
        <f aca="false">B46</f>
        <v>252</v>
      </c>
      <c r="C17" s="24" t="n">
        <f aca="false">F46</f>
        <v>0</v>
      </c>
      <c r="D17" s="24" t="n">
        <f aca="false">F60</f>
        <v>0</v>
      </c>
      <c r="E17" s="24" t="n">
        <f aca="false">F74</f>
        <v>0.00135799829718457</v>
      </c>
      <c r="F17" s="24" t="n">
        <f aca="false">F88</f>
        <v>0.000942566974274362</v>
      </c>
      <c r="G17" s="24" t="n">
        <f aca="false">F102</f>
        <v>0.000651822143613099</v>
      </c>
      <c r="H17" s="24" t="n">
        <f aca="false">F116</f>
        <v>0.00170832522460699</v>
      </c>
      <c r="I17" s="24" t="n">
        <f aca="false">MAX(C17:H17)</f>
        <v>0.00170832522460699</v>
      </c>
    </row>
    <row r="18" customFormat="false" ht="15" hidden="false" customHeight="false" outlineLevel="0" collapsed="false">
      <c r="A18" s="25" t="n">
        <v>9</v>
      </c>
      <c r="B18" s="25" t="n">
        <f aca="false">B47</f>
        <v>288</v>
      </c>
      <c r="C18" s="24" t="n">
        <f aca="false">F47</f>
        <v>0</v>
      </c>
      <c r="D18" s="24" t="n">
        <f aca="false">F61</f>
        <v>0</v>
      </c>
      <c r="E18" s="24" t="n">
        <f aca="false">F75</f>
        <v>0.00135799832799494</v>
      </c>
      <c r="F18" s="24" t="n">
        <f aca="false">F89</f>
        <v>0.00157510830585352</v>
      </c>
      <c r="G18" s="24" t="n">
        <f aca="false">F103</f>
        <v>0.000651819836648294</v>
      </c>
      <c r="H18" s="24" t="n">
        <f aca="false">F117</f>
        <v>0.00107394910564646</v>
      </c>
      <c r="I18" s="24" t="n">
        <f aca="false">MAX(C18:H18)</f>
        <v>0.00157510830585352</v>
      </c>
    </row>
    <row r="19" customFormat="false" ht="15" hidden="false" customHeight="false" outlineLevel="0" collapsed="false">
      <c r="A19" s="25" t="n">
        <v>10</v>
      </c>
      <c r="B19" s="25" t="n">
        <f aca="false">B48</f>
        <v>324</v>
      </c>
      <c r="C19" s="24" t="n">
        <f aca="false">F48</f>
        <v>0</v>
      </c>
      <c r="D19" s="24" t="n">
        <f aca="false">F62</f>
        <v>0</v>
      </c>
      <c r="E19" s="24" t="n">
        <f aca="false">F76</f>
        <v>0.00121339955918605</v>
      </c>
      <c r="F19" s="24" t="n">
        <f aca="false">F90</f>
        <v>0.00208015809696092</v>
      </c>
      <c r="G19" s="24" t="n">
        <f aca="false">F104</f>
        <v>0.000458353585142352</v>
      </c>
      <c r="H19" s="24" t="n">
        <f aca="false">F118</f>
        <v>0.000779648531426545</v>
      </c>
      <c r="I19" s="24" t="n">
        <f aca="false">MAX(C19:H19)</f>
        <v>0.00208015809696092</v>
      </c>
    </row>
    <row r="20" customFormat="false" ht="15" hidden="false" customHeight="false" outlineLevel="0" collapsed="false">
      <c r="A20" s="35" t="s">
        <v>290</v>
      </c>
      <c r="B20" s="35"/>
      <c r="C20" s="35"/>
      <c r="D20" s="35"/>
      <c r="E20" s="35"/>
      <c r="F20" s="35"/>
      <c r="G20" s="35"/>
      <c r="H20" s="35"/>
      <c r="I20" s="24" t="n">
        <f aca="false">MAX(I10:I19)</f>
        <v>0.00693071839014549</v>
      </c>
    </row>
    <row r="21" customFormat="false" ht="15" hidden="false" customHeight="false" outlineLevel="0" collapsed="false">
      <c r="A21" s="11" t="s">
        <v>242</v>
      </c>
      <c r="B21" s="11" t="s">
        <v>243</v>
      </c>
      <c r="C21" s="11" t="s">
        <v>282</v>
      </c>
      <c r="D21" s="11" t="s">
        <v>283</v>
      </c>
      <c r="E21" s="11" t="s">
        <v>284</v>
      </c>
      <c r="F21" s="11" t="s">
        <v>285</v>
      </c>
      <c r="G21" s="11" t="s">
        <v>286</v>
      </c>
      <c r="H21" s="11" t="s">
        <v>287</v>
      </c>
      <c r="I21" s="11" t="s">
        <v>288</v>
      </c>
      <c r="J21" s="15" t="s">
        <v>291</v>
      </c>
    </row>
    <row r="22" customFormat="false" ht="15" hidden="false" customHeight="false" outlineLevel="0" collapsed="false">
      <c r="A22" s="25" t="n">
        <v>1</v>
      </c>
      <c r="B22" s="25" t="n">
        <f aca="false">B39</f>
        <v>0</v>
      </c>
      <c r="C22" s="24" t="n">
        <f aca="false">G39</f>
        <v>0</v>
      </c>
      <c r="D22" s="24" t="n">
        <f aca="false">G53</f>
        <v>1.05843697072139E-007</v>
      </c>
      <c r="E22" s="24" t="n">
        <f aca="false">G67</f>
        <v>0.0011714691284651</v>
      </c>
      <c r="F22" s="24" t="n">
        <f aca="false">G81</f>
        <v>0.000988874434511282</v>
      </c>
      <c r="G22" s="24" t="n">
        <f aca="false">G95</f>
        <v>0.00211142461874923</v>
      </c>
      <c r="H22" s="24" t="n">
        <f aca="false">G109</f>
        <v>0.00101176483323953</v>
      </c>
      <c r="I22" s="24" t="n">
        <f aca="false">MAX(C22:H22)</f>
        <v>0.00211142461874923</v>
      </c>
    </row>
    <row r="23" customFormat="false" ht="15" hidden="false" customHeight="false" outlineLevel="0" collapsed="false">
      <c r="A23" s="25" t="n">
        <v>2</v>
      </c>
      <c r="B23" s="25" t="n">
        <f aca="false">B40</f>
        <v>36</v>
      </c>
      <c r="C23" s="24" t="n">
        <f aca="false">G40</f>
        <v>0</v>
      </c>
      <c r="D23" s="24" t="n">
        <f aca="false">G54</f>
        <v>1.15759245890784E-007</v>
      </c>
      <c r="E23" s="24" t="n">
        <f aca="false">G68</f>
        <v>0.00138598173565488</v>
      </c>
      <c r="F23" s="24" t="n">
        <f aca="false">G82</f>
        <v>0.0018596652575621</v>
      </c>
      <c r="G23" s="24" t="n">
        <f aca="false">G96</f>
        <v>0.000290100257009524</v>
      </c>
      <c r="H23" s="24" t="n">
        <f aca="false">G110</f>
        <v>0.000967440046567306</v>
      </c>
      <c r="I23" s="24" t="n">
        <f aca="false">MAX(C23:H23)</f>
        <v>0.0018596652575621</v>
      </c>
    </row>
    <row r="24" customFormat="false" ht="15" hidden="false" customHeight="false" outlineLevel="0" collapsed="false">
      <c r="A24" s="25" t="n">
        <v>3</v>
      </c>
      <c r="B24" s="25" t="n">
        <f aca="false">B41</f>
        <v>72</v>
      </c>
      <c r="C24" s="24" t="n">
        <f aca="false">G41</f>
        <v>0</v>
      </c>
      <c r="D24" s="24" t="n">
        <f aca="false">G55</f>
        <v>1.37794646314846E-007</v>
      </c>
      <c r="E24" s="24" t="n">
        <f aca="false">G69</f>
        <v>0.00171618547181182</v>
      </c>
      <c r="F24" s="24" t="n">
        <f aca="false">G83</f>
        <v>0.00162097848885631</v>
      </c>
      <c r="G24" s="24" t="n">
        <f aca="false">G97</f>
        <v>0.000796189584049782</v>
      </c>
      <c r="H24" s="24" t="n">
        <f aca="false">G111</f>
        <v>0.00693100708788762</v>
      </c>
      <c r="I24" s="24" t="n">
        <f aca="false">MAX(C24:H24)</f>
        <v>0.00693100708788762</v>
      </c>
    </row>
    <row r="25" customFormat="false" ht="15" hidden="false" customHeight="false" outlineLevel="0" collapsed="false">
      <c r="A25" s="25" t="n">
        <v>4</v>
      </c>
      <c r="B25" s="25" t="n">
        <f aca="false">B42</f>
        <v>108</v>
      </c>
      <c r="C25" s="24" t="n">
        <f aca="false">G42</f>
        <v>0</v>
      </c>
      <c r="D25" s="24" t="n">
        <f aca="false">G56</f>
        <v>1.64903853724688E-007</v>
      </c>
      <c r="E25" s="24" t="n">
        <f aca="false">G70</f>
        <v>0.00171618544340071</v>
      </c>
      <c r="F25" s="24" t="n">
        <f aca="false">G84</f>
        <v>0.000799753182870621</v>
      </c>
      <c r="G25" s="24" t="n">
        <f aca="false">G98</f>
        <v>0.000796187440883675</v>
      </c>
      <c r="H25" s="24" t="n">
        <f aca="false">G112</f>
        <v>0.00133671047963267</v>
      </c>
      <c r="I25" s="24" t="n">
        <f aca="false">MAX(C25:H25)</f>
        <v>0.00171618544340071</v>
      </c>
    </row>
    <row r="26" customFormat="false" ht="15" hidden="false" customHeight="false" outlineLevel="0" collapsed="false">
      <c r="A26" s="25" t="n">
        <v>5</v>
      </c>
      <c r="B26" s="25" t="n">
        <f aca="false">B43</f>
        <v>144</v>
      </c>
      <c r="C26" s="24" t="n">
        <f aca="false">G43</f>
        <v>0</v>
      </c>
      <c r="D26" s="24" t="n">
        <f aca="false">G57</f>
        <v>1.83138180440847E-007</v>
      </c>
      <c r="E26" s="24" t="n">
        <f aca="false">G71</f>
        <v>0.00138598172435187</v>
      </c>
      <c r="F26" s="24" t="n">
        <f aca="false">G85</f>
        <v>0.000266390174304462</v>
      </c>
      <c r="G26" s="24" t="n">
        <f aca="false">G99</f>
        <v>0.000290080471651955</v>
      </c>
      <c r="H26" s="24" t="n">
        <f aca="false">G113</f>
        <v>0.000292192767973871</v>
      </c>
      <c r="I26" s="24" t="n">
        <f aca="false">MAX(C26:H26)</f>
        <v>0.00138598172435187</v>
      </c>
    </row>
    <row r="27" customFormat="false" ht="15" hidden="false" customHeight="false" outlineLevel="0" collapsed="false">
      <c r="A27" s="25" t="n">
        <v>6</v>
      </c>
      <c r="B27" s="25" t="n">
        <f aca="false">B44</f>
        <v>180</v>
      </c>
      <c r="C27" s="24" t="n">
        <f aca="false">G44</f>
        <v>0</v>
      </c>
      <c r="D27" s="24" t="n">
        <f aca="false">G58</f>
        <v>1.83444686490432E-007</v>
      </c>
      <c r="E27" s="24" t="n">
        <f aca="false">G72</f>
        <v>0.0011714691379505</v>
      </c>
      <c r="F27" s="24" t="n">
        <f aca="false">G86</f>
        <v>0.000988874737959743</v>
      </c>
      <c r="G27" s="24" t="n">
        <f aca="false">G100</f>
        <v>0.00211126601118292</v>
      </c>
      <c r="H27" s="24" t="n">
        <f aca="false">G114</f>
        <v>2.79907989813773E-005</v>
      </c>
      <c r="I27" s="24" t="n">
        <f aca="false">MAX(C27:H27)</f>
        <v>0.00211126601118292</v>
      </c>
    </row>
    <row r="28" customFormat="false" ht="15" hidden="false" customHeight="false" outlineLevel="0" collapsed="false">
      <c r="A28" s="25" t="n">
        <v>7</v>
      </c>
      <c r="B28" s="25" t="n">
        <f aca="false">B45</f>
        <v>216</v>
      </c>
      <c r="C28" s="24" t="n">
        <f aca="false">G45</f>
        <v>0</v>
      </c>
      <c r="D28" s="24" t="n">
        <f aca="false">G59</f>
        <v>1.68027895024086E-007</v>
      </c>
      <c r="E28" s="24" t="n">
        <f aca="false">G73</f>
        <v>0.00121339957108043</v>
      </c>
      <c r="F28" s="24" t="n">
        <f aca="false">G87</f>
        <v>0.000448570820975972</v>
      </c>
      <c r="G28" s="24" t="n">
        <f aca="false">G101</f>
        <v>0.000458342345860443</v>
      </c>
      <c r="H28" s="24" t="n">
        <f aca="false">G115</f>
        <v>0.000411824488708815</v>
      </c>
      <c r="I28" s="24" t="n">
        <f aca="false">MAX(C28:H28)</f>
        <v>0.00121339957108043</v>
      </c>
    </row>
    <row r="29" customFormat="false" ht="15" hidden="false" customHeight="false" outlineLevel="0" collapsed="false">
      <c r="A29" s="25" t="n">
        <v>8</v>
      </c>
      <c r="B29" s="25" t="n">
        <f aca="false">B46</f>
        <v>252</v>
      </c>
      <c r="C29" s="24" t="n">
        <f aca="false">G46</f>
        <v>0</v>
      </c>
      <c r="D29" s="24" t="n">
        <f aca="false">G60</f>
        <v>1.44899133721949E-007</v>
      </c>
      <c r="E29" s="24" t="n">
        <f aca="false">G74</f>
        <v>0.00135799829718457</v>
      </c>
      <c r="F29" s="24" t="n">
        <f aca="false">G88</f>
        <v>0.000942564963523953</v>
      </c>
      <c r="G29" s="24" t="n">
        <f aca="false">G102</f>
        <v>0.000651826757489308</v>
      </c>
      <c r="H29" s="24" t="n">
        <f aca="false">G116</f>
        <v>0.00170833786774013</v>
      </c>
      <c r="I29" s="24" t="n">
        <f aca="false">MAX(C29:H29)</f>
        <v>0.00170833786774013</v>
      </c>
    </row>
    <row r="30" customFormat="false" ht="15" hidden="false" customHeight="false" outlineLevel="0" collapsed="false">
      <c r="A30" s="25" t="n">
        <v>9</v>
      </c>
      <c r="B30" s="25" t="n">
        <f aca="false">B47</f>
        <v>288</v>
      </c>
      <c r="C30" s="24" t="n">
        <f aca="false">G47</f>
        <v>0</v>
      </c>
      <c r="D30" s="24" t="n">
        <f aca="false">G61</f>
        <v>1.22848764243507E-007</v>
      </c>
      <c r="E30" s="24" t="n">
        <f aca="false">G75</f>
        <v>0.00135799829707729</v>
      </c>
      <c r="F30" s="24" t="n">
        <f aca="false">G89</f>
        <v>0.00157511020508475</v>
      </c>
      <c r="G30" s="24" t="n">
        <f aca="false">G103</f>
        <v>0.000651822143577498</v>
      </c>
      <c r="H30" s="24" t="n">
        <f aca="false">G117</f>
        <v>0.0010739178097827</v>
      </c>
      <c r="I30" s="24" t="n">
        <f aca="false">MAX(C30:H30)</f>
        <v>0.00157511020508475</v>
      </c>
    </row>
    <row r="31" customFormat="false" ht="15" hidden="false" customHeight="false" outlineLevel="0" collapsed="false">
      <c r="A31" s="25" t="n">
        <v>10</v>
      </c>
      <c r="B31" s="25" t="n">
        <f aca="false">B48</f>
        <v>324</v>
      </c>
      <c r="C31" s="24" t="n">
        <f aca="false">G48</f>
        <v>0</v>
      </c>
      <c r="D31" s="24" t="n">
        <f aca="false">G62</f>
        <v>1.08671818970314E-007</v>
      </c>
      <c r="E31" s="24" t="n">
        <f aca="false">G76</f>
        <v>0.00121339958290891</v>
      </c>
      <c r="F31" s="24" t="n">
        <f aca="false">G90</f>
        <v>0.00208015841957637</v>
      </c>
      <c r="G31" s="24" t="n">
        <f aca="false">G104</f>
        <v>0.000458331106679709</v>
      </c>
      <c r="H31" s="24" t="n">
        <f aca="false">G118</f>
        <v>0.000779669204587543</v>
      </c>
      <c r="I31" s="24" t="n">
        <f aca="false">MAX(C31:H31)</f>
        <v>0.00208015841957637</v>
      </c>
    </row>
    <row r="32" customFormat="false" ht="15" hidden="false" customHeight="false" outlineLevel="0" collapsed="false">
      <c r="A32" s="35" t="s">
        <v>292</v>
      </c>
      <c r="B32" s="35"/>
      <c r="C32" s="35"/>
      <c r="D32" s="35"/>
      <c r="E32" s="35"/>
      <c r="F32" s="35"/>
      <c r="G32" s="35"/>
      <c r="H32" s="35"/>
      <c r="I32" s="24" t="n">
        <f aca="false">MAX(I22:I31)</f>
        <v>0.00693100708788762</v>
      </c>
    </row>
    <row r="33" customFormat="false" ht="15" hidden="false" customHeight="false" outlineLevel="0" collapsed="false">
      <c r="A33" s="36" t="str">
        <f aca="false">IF(MAX(I20,I32)&lt;0.01,"VALIDADO: el error maximo es "&amp;FIXED(MAX(I20,I32),4)&amp;" % (&lt; 0.01 %). Las diferencias vienen de la derivacion numerica con paso de 0.5°.","Revisar: error maximo "&amp;FIXED(MAX(I20,I32),4)&amp;" %")</f>
        <v>VALIDADO: el error maximo es 0.0069 % (&lt; 0.01 %). Las diferencias vienen de la derivacion numerica con paso de 0.5°.</v>
      </c>
      <c r="B33" s="36"/>
      <c r="C33" s="36"/>
      <c r="D33" s="36"/>
      <c r="E33" s="36"/>
      <c r="F33" s="36"/>
      <c r="G33" s="36"/>
      <c r="H33" s="36"/>
      <c r="I33" s="36"/>
    </row>
    <row r="35" customFormat="false" ht="18" hidden="false" customHeight="true" outlineLevel="0" collapsed="false">
      <c r="A35" s="3" t="s">
        <v>293</v>
      </c>
      <c r="B35" s="3"/>
      <c r="C35" s="3"/>
      <c r="D35" s="3"/>
      <c r="E35" s="3"/>
      <c r="F35" s="3"/>
      <c r="G35" s="3"/>
      <c r="H35" s="3"/>
      <c r="I35" s="3"/>
    </row>
    <row r="37" customFormat="false" ht="15" hidden="false" customHeight="false" outlineLevel="0" collapsed="false">
      <c r="A37" s="37" t="s">
        <v>294</v>
      </c>
      <c r="B37" s="37"/>
      <c r="C37" s="37"/>
      <c r="D37" s="37"/>
      <c r="E37" s="37"/>
      <c r="F37" s="37"/>
      <c r="G37" s="37"/>
      <c r="H37" s="37"/>
      <c r="I37" s="37"/>
    </row>
    <row r="38" customFormat="false" ht="15" hidden="false" customHeight="false" outlineLevel="0" collapsed="false">
      <c r="A38" s="11" t="s">
        <v>242</v>
      </c>
      <c r="B38" s="11" t="s">
        <v>243</v>
      </c>
      <c r="C38" s="11" t="s">
        <v>295</v>
      </c>
      <c r="D38" s="11" t="s">
        <v>296</v>
      </c>
      <c r="E38" s="11" t="s">
        <v>297</v>
      </c>
      <c r="F38" s="11" t="s">
        <v>298</v>
      </c>
      <c r="G38" s="11" t="s">
        <v>299</v>
      </c>
      <c r="H38" s="11" t="s">
        <v>300</v>
      </c>
      <c r="I38" s="11" t="s">
        <v>301</v>
      </c>
    </row>
    <row r="39" customFormat="false" ht="15" hidden="false" customHeight="false" outlineLevel="0" collapsed="false">
      <c r="A39" s="25" t="n">
        <v>1</v>
      </c>
      <c r="B39" s="38" t="n">
        <v>0</v>
      </c>
      <c r="C39" s="18" t="n">
        <f aca="false">180-DEGREES(ASIN((P2_a*SIN(RADIANS($B39))-P2_c)/P2_b))</f>
        <v>171.285257981382</v>
      </c>
      <c r="D39" s="32" t="n">
        <v>171.285257981382</v>
      </c>
      <c r="E39" s="32" t="n">
        <v>171.285257981382</v>
      </c>
      <c r="F39" s="24" t="n">
        <f aca="false">IF(C39=0,0,100*ABS(D39-C39)/ABS(C39))</f>
        <v>0</v>
      </c>
      <c r="G39" s="24" t="n">
        <f aca="false">IF(C39=0,0,100*ABS(E39-C39)/ABS(C39))</f>
        <v>0</v>
      </c>
      <c r="H39" s="24" t="n">
        <f aca="false">D39-C39</f>
        <v>0</v>
      </c>
      <c r="I39" s="24" t="n">
        <f aca="false">E39-C39</f>
        <v>0</v>
      </c>
    </row>
    <row r="40" customFormat="false" ht="15" hidden="false" customHeight="false" outlineLevel="0" collapsed="false">
      <c r="A40" s="25" t="n">
        <v>2</v>
      </c>
      <c r="B40" s="38" t="n">
        <v>36</v>
      </c>
      <c r="C40" s="18" t="n">
        <f aca="false">180-DEGREES(ASIN((P2_a*SIN(RADIANS($B40))-P2_c)/P2_b))</f>
        <v>162.099356715392</v>
      </c>
      <c r="D40" s="32" t="n">
        <v>162.099356715392</v>
      </c>
      <c r="E40" s="32" t="n">
        <v>162.099356715392</v>
      </c>
      <c r="F40" s="24" t="n">
        <f aca="false">IF(C40=0,0,100*ABS(D40-C40)/ABS(C40))</f>
        <v>0</v>
      </c>
      <c r="G40" s="24" t="n">
        <f aca="false">IF(C40=0,0,100*ABS(E40-C40)/ABS(C40))</f>
        <v>0</v>
      </c>
      <c r="H40" s="24" t="n">
        <f aca="false">D40-C40</f>
        <v>0</v>
      </c>
      <c r="I40" s="24" t="n">
        <f aca="false">E40-C40</f>
        <v>0</v>
      </c>
    </row>
    <row r="41" customFormat="false" ht="15" hidden="false" customHeight="false" outlineLevel="0" collapsed="false">
      <c r="A41" s="25" t="n">
        <v>3</v>
      </c>
      <c r="B41" s="38" t="n">
        <v>72</v>
      </c>
      <c r="C41" s="18" t="n">
        <f aca="false">180-DEGREES(ASIN((P2_a*SIN(RADIANS($B41))-P2_c)/P2_b))</f>
        <v>156.190986541559</v>
      </c>
      <c r="D41" s="32" t="n">
        <v>156.190986541559</v>
      </c>
      <c r="E41" s="32" t="n">
        <v>156.190986541559</v>
      </c>
      <c r="F41" s="24" t="n">
        <f aca="false">IF(C41=0,0,100*ABS(D41-C41)/ABS(C41))</f>
        <v>0</v>
      </c>
      <c r="G41" s="24" t="n">
        <f aca="false">IF(C41=0,0,100*ABS(E41-C41)/ABS(C41))</f>
        <v>0</v>
      </c>
      <c r="H41" s="24" t="n">
        <f aca="false">D41-C41</f>
        <v>0</v>
      </c>
      <c r="I41" s="24" t="n">
        <f aca="false">E41-C41</f>
        <v>0</v>
      </c>
    </row>
    <row r="42" customFormat="false" ht="15" hidden="false" customHeight="false" outlineLevel="0" collapsed="false">
      <c r="A42" s="25" t="n">
        <v>4</v>
      </c>
      <c r="B42" s="38" t="n">
        <v>108</v>
      </c>
      <c r="C42" s="18" t="n">
        <f aca="false">180-DEGREES(ASIN((P2_a*SIN(RADIANS($B42))-P2_c)/P2_b))</f>
        <v>156.190986541559</v>
      </c>
      <c r="D42" s="32" t="n">
        <v>156.190986541559</v>
      </c>
      <c r="E42" s="32" t="n">
        <v>156.190986541559</v>
      </c>
      <c r="F42" s="24" t="n">
        <f aca="false">IF(C42=0,0,100*ABS(D42-C42)/ABS(C42))</f>
        <v>0</v>
      </c>
      <c r="G42" s="24" t="n">
        <f aca="false">IF(C42=0,0,100*ABS(E42-C42)/ABS(C42))</f>
        <v>0</v>
      </c>
      <c r="H42" s="24" t="n">
        <f aca="false">D42-C42</f>
        <v>0</v>
      </c>
      <c r="I42" s="24" t="n">
        <f aca="false">E42-C42</f>
        <v>0</v>
      </c>
    </row>
    <row r="43" customFormat="false" ht="15" hidden="false" customHeight="false" outlineLevel="0" collapsed="false">
      <c r="A43" s="25" t="n">
        <v>5</v>
      </c>
      <c r="B43" s="38" t="n">
        <v>144</v>
      </c>
      <c r="C43" s="18" t="n">
        <f aca="false">180-DEGREES(ASIN((P2_a*SIN(RADIANS($B43))-P2_c)/P2_b))</f>
        <v>162.099356715392</v>
      </c>
      <c r="D43" s="32" t="n">
        <v>162.099356715392</v>
      </c>
      <c r="E43" s="32" t="n">
        <v>162.099356715392</v>
      </c>
      <c r="F43" s="24" t="n">
        <f aca="false">IF(C43=0,0,100*ABS(D43-C43)/ABS(C43))</f>
        <v>0</v>
      </c>
      <c r="G43" s="24" t="n">
        <f aca="false">IF(C43=0,0,100*ABS(E43-C43)/ABS(C43))</f>
        <v>0</v>
      </c>
      <c r="H43" s="24" t="n">
        <f aca="false">D43-C43</f>
        <v>0</v>
      </c>
      <c r="I43" s="24" t="n">
        <f aca="false">E43-C43</f>
        <v>0</v>
      </c>
    </row>
    <row r="44" customFormat="false" ht="15" hidden="false" customHeight="false" outlineLevel="0" collapsed="false">
      <c r="A44" s="25" t="n">
        <v>6</v>
      </c>
      <c r="B44" s="38" t="n">
        <v>180</v>
      </c>
      <c r="C44" s="18" t="n">
        <f aca="false">180-DEGREES(ASIN((P2_a*SIN(RADIANS($B44))-P2_c)/P2_b))</f>
        <v>171.285257981382</v>
      </c>
      <c r="D44" s="32" t="n">
        <v>171.285257981382</v>
      </c>
      <c r="E44" s="32" t="n">
        <v>171.285257981382</v>
      </c>
      <c r="F44" s="24" t="n">
        <f aca="false">IF(C44=0,0,100*ABS(D44-C44)/ABS(C44))</f>
        <v>0</v>
      </c>
      <c r="G44" s="24" t="n">
        <f aca="false">IF(C44=0,0,100*ABS(E44-C44)/ABS(C44))</f>
        <v>0</v>
      </c>
      <c r="H44" s="24" t="n">
        <f aca="false">D44-C44</f>
        <v>0</v>
      </c>
      <c r="I44" s="24" t="n">
        <f aca="false">E44-C44</f>
        <v>0</v>
      </c>
    </row>
    <row r="45" customFormat="false" ht="15" hidden="false" customHeight="false" outlineLevel="0" collapsed="false">
      <c r="A45" s="25" t="n">
        <v>7</v>
      </c>
      <c r="B45" s="38" t="n">
        <v>216</v>
      </c>
      <c r="C45" s="18" t="n">
        <f aca="false">180-DEGREES(ASIN((P2_a*SIN(RADIANS($B45))-P2_c)/P2_b))</f>
        <v>180.248492501071</v>
      </c>
      <c r="D45" s="32" t="n">
        <v>180.248492501071</v>
      </c>
      <c r="E45" s="32" t="n">
        <v>180.248492501071</v>
      </c>
      <c r="F45" s="24" t="n">
        <f aca="false">IF(C45=0,0,100*ABS(D45-C45)/ABS(C45))</f>
        <v>0</v>
      </c>
      <c r="G45" s="24" t="n">
        <f aca="false">IF(C45=0,0,100*ABS(E45-C45)/ABS(C45))</f>
        <v>0</v>
      </c>
      <c r="H45" s="24" t="n">
        <f aca="false">D45-C45</f>
        <v>0</v>
      </c>
      <c r="I45" s="24" t="n">
        <f aca="false">E45-C45</f>
        <v>0</v>
      </c>
    </row>
    <row r="46" customFormat="false" ht="15" hidden="false" customHeight="false" outlineLevel="0" collapsed="false">
      <c r="A46" s="25" t="n">
        <v>8</v>
      </c>
      <c r="B46" s="38" t="n">
        <v>252</v>
      </c>
      <c r="C46" s="18" t="n">
        <f aca="false">180-DEGREES(ASIN((P2_a*SIN(RADIANS($B46))-P2_c)/P2_b))</f>
        <v>185.777115547201</v>
      </c>
      <c r="D46" s="32" t="n">
        <v>185.777115547201</v>
      </c>
      <c r="E46" s="32" t="n">
        <v>185.777115547201</v>
      </c>
      <c r="F46" s="24" t="n">
        <f aca="false">IF(C46=0,0,100*ABS(D46-C46)/ABS(C46))</f>
        <v>0</v>
      </c>
      <c r="G46" s="24" t="n">
        <f aca="false">IF(C46=0,0,100*ABS(E46-C46)/ABS(C46))</f>
        <v>0</v>
      </c>
      <c r="H46" s="24" t="n">
        <f aca="false">D46-C46</f>
        <v>0</v>
      </c>
      <c r="I46" s="24" t="n">
        <f aca="false">E46-C46</f>
        <v>0</v>
      </c>
    </row>
    <row r="47" customFormat="false" ht="15" hidden="false" customHeight="false" outlineLevel="0" collapsed="false">
      <c r="A47" s="25" t="n">
        <v>9</v>
      </c>
      <c r="B47" s="38" t="n">
        <v>288</v>
      </c>
      <c r="C47" s="18" t="n">
        <f aca="false">180-DEGREES(ASIN((P2_a*SIN(RADIANS($B47))-P2_c)/P2_b))</f>
        <v>185.777115547201</v>
      </c>
      <c r="D47" s="32" t="n">
        <v>185.777115547201</v>
      </c>
      <c r="E47" s="32" t="n">
        <v>185.777115547201</v>
      </c>
      <c r="F47" s="24" t="n">
        <f aca="false">IF(C47=0,0,100*ABS(D47-C47)/ABS(C47))</f>
        <v>0</v>
      </c>
      <c r="G47" s="24" t="n">
        <f aca="false">IF(C47=0,0,100*ABS(E47-C47)/ABS(C47))</f>
        <v>0</v>
      </c>
      <c r="H47" s="24" t="n">
        <f aca="false">D47-C47</f>
        <v>0</v>
      </c>
      <c r="I47" s="24" t="n">
        <f aca="false">E47-C47</f>
        <v>0</v>
      </c>
    </row>
    <row r="48" customFormat="false" ht="15" hidden="false" customHeight="false" outlineLevel="0" collapsed="false">
      <c r="A48" s="25" t="n">
        <v>10</v>
      </c>
      <c r="B48" s="38" t="n">
        <v>324</v>
      </c>
      <c r="C48" s="18" t="n">
        <f aca="false">180-DEGREES(ASIN((P2_a*SIN(RADIANS($B48))-P2_c)/P2_b))</f>
        <v>180.248492501071</v>
      </c>
      <c r="D48" s="32" t="n">
        <v>180.248492501071</v>
      </c>
      <c r="E48" s="32" t="n">
        <v>180.248492501071</v>
      </c>
      <c r="F48" s="24" t="n">
        <f aca="false">IF(C48=0,0,100*ABS(D48-C48)/ABS(C48))</f>
        <v>0</v>
      </c>
      <c r="G48" s="24" t="n">
        <f aca="false">IF(C48=0,0,100*ABS(E48-C48)/ABS(C48))</f>
        <v>0</v>
      </c>
      <c r="H48" s="24" t="n">
        <f aca="false">D48-C48</f>
        <v>0</v>
      </c>
      <c r="I48" s="24" t="n">
        <f aca="false">E48-C48</f>
        <v>0</v>
      </c>
    </row>
    <row r="51" customFormat="false" ht="15" hidden="false" customHeight="false" outlineLevel="0" collapsed="false">
      <c r="A51" s="37" t="s">
        <v>302</v>
      </c>
      <c r="B51" s="37"/>
      <c r="C51" s="37"/>
      <c r="D51" s="37"/>
      <c r="E51" s="37"/>
      <c r="F51" s="37"/>
      <c r="G51" s="37"/>
      <c r="H51" s="37"/>
      <c r="I51" s="37"/>
    </row>
    <row r="52" customFormat="false" ht="15" hidden="false" customHeight="false" outlineLevel="0" collapsed="false">
      <c r="A52" s="11" t="s">
        <v>242</v>
      </c>
      <c r="B52" s="11" t="s">
        <v>243</v>
      </c>
      <c r="C52" s="11" t="s">
        <v>295</v>
      </c>
      <c r="D52" s="11" t="s">
        <v>296</v>
      </c>
      <c r="E52" s="11" t="s">
        <v>297</v>
      </c>
      <c r="F52" s="11" t="s">
        <v>298</v>
      </c>
      <c r="G52" s="11" t="s">
        <v>299</v>
      </c>
      <c r="H52" s="11" t="s">
        <v>300</v>
      </c>
      <c r="I52" s="11" t="s">
        <v>301</v>
      </c>
    </row>
    <row r="53" customFormat="false" ht="15" hidden="false" customHeight="false" outlineLevel="0" collapsed="false">
      <c r="A53" s="25" t="n">
        <v>1</v>
      </c>
      <c r="B53" s="38" t="n">
        <v>0</v>
      </c>
      <c r="C53" s="18" t="n">
        <f aca="false">P2_a*COS(RADIANS($B53))-P2_b*COS(RADIANS((180-DEGREES(ASIN((P2_a*SIN(RADIANS($B53))-P2_c)/P2_b)))))</f>
        <v>165.476051442401</v>
      </c>
      <c r="D53" s="32" t="n">
        <v>165.476051442401</v>
      </c>
      <c r="E53" s="32" t="n">
        <v>165.476051617547</v>
      </c>
      <c r="F53" s="24" t="n">
        <f aca="false">IF(C53=0,0,100*ABS(D53-C53)/ABS(C53))</f>
        <v>0</v>
      </c>
      <c r="G53" s="24" t="n">
        <f aca="false">IF(C53=0,0,100*ABS(E53-C53)/ABS(C53))</f>
        <v>1.05843697072139E-007</v>
      </c>
      <c r="H53" s="24" t="n">
        <f aca="false">D53-C53</f>
        <v>0</v>
      </c>
      <c r="I53" s="24" t="n">
        <f aca="false">E53-C53</f>
        <v>1.75145970615631E-007</v>
      </c>
    </row>
    <row r="54" customFormat="false" ht="15" hidden="false" customHeight="false" outlineLevel="0" collapsed="false">
      <c r="A54" s="25" t="n">
        <v>2</v>
      </c>
      <c r="B54" s="38" t="n">
        <v>36</v>
      </c>
      <c r="C54" s="18" t="n">
        <f aca="false">P2_a*COS(RADIANS($B54))-P2_b*COS(RADIANS((180-DEGREES(ASIN((P2_a*SIN(RADIANS($B54))-P2_c)/P2_b)))))</f>
        <v>153.925600598224</v>
      </c>
      <c r="D54" s="32" t="n">
        <v>153.925600598224</v>
      </c>
      <c r="E54" s="32" t="n">
        <v>153.925600776407</v>
      </c>
      <c r="F54" s="24" t="n">
        <f aca="false">IF(C54=0,0,100*ABS(D54-C54)/ABS(C54))</f>
        <v>0</v>
      </c>
      <c r="G54" s="24" t="n">
        <f aca="false">IF(C54=0,0,100*ABS(E54-C54)/ABS(C54))</f>
        <v>1.15759245890784E-007</v>
      </c>
      <c r="H54" s="24" t="n">
        <f aca="false">D54-C54</f>
        <v>0</v>
      </c>
      <c r="I54" s="24" t="n">
        <f aca="false">E54-C54</f>
        <v>1.78183114485364E-007</v>
      </c>
    </row>
    <row r="55" customFormat="false" ht="15" hidden="false" customHeight="false" outlineLevel="0" collapsed="false">
      <c r="A55" s="25" t="n">
        <v>3</v>
      </c>
      <c r="B55" s="38" t="n">
        <v>72</v>
      </c>
      <c r="C55" s="18" t="n">
        <f aca="false">P2_a*COS(RADIANS($B55))-P2_b*COS(RADIANS((180-DEGREES(ASIN((P2_a*SIN(RADIANS($B55))-P2_c)/P2_b)))))</f>
        <v>131.581889637949</v>
      </c>
      <c r="D55" s="32" t="n">
        <v>131.581889637949</v>
      </c>
      <c r="E55" s="32" t="n">
        <v>131.581889819262</v>
      </c>
      <c r="F55" s="24" t="n">
        <f aca="false">IF(C55=0,0,100*ABS(D55-C55)/ABS(C55))</f>
        <v>0</v>
      </c>
      <c r="G55" s="24" t="n">
        <f aca="false">IF(C55=0,0,100*ABS(E55-C55)/ABS(C55))</f>
        <v>1.37794646314846E-007</v>
      </c>
      <c r="H55" s="24" t="n">
        <f aca="false">D55-C55</f>
        <v>0</v>
      </c>
      <c r="I55" s="24" t="n">
        <f aca="false">E55-C55</f>
        <v>1.81312799441002E-007</v>
      </c>
    </row>
    <row r="56" customFormat="false" ht="15" hidden="false" customHeight="false" outlineLevel="0" collapsed="false">
      <c r="A56" s="25" t="n">
        <v>4</v>
      </c>
      <c r="B56" s="38" t="n">
        <v>108</v>
      </c>
      <c r="C56" s="18" t="n">
        <f aca="false">P2_a*COS(RADIANS($B56))-P2_b*COS(RADIANS((180-DEGREES(ASIN((P2_a*SIN(RADIANS($B56))-P2_c)/P2_b)))))</f>
        <v>109.950700031703</v>
      </c>
      <c r="D56" s="32" t="n">
        <v>109.950700031703</v>
      </c>
      <c r="E56" s="32" t="n">
        <v>109.950700213016</v>
      </c>
      <c r="F56" s="24" t="n">
        <f aca="false">IF(C56=0,0,100*ABS(D56-C56)/ABS(C56))</f>
        <v>0</v>
      </c>
      <c r="G56" s="24" t="n">
        <f aca="false">IF(C56=0,0,100*ABS(E56-C56)/ABS(C56))</f>
        <v>1.64903853724688E-007</v>
      </c>
      <c r="H56" s="24" t="n">
        <f aca="false">D56-C56</f>
        <v>0</v>
      </c>
      <c r="I56" s="24" t="n">
        <f aca="false">E56-C56</f>
        <v>1.8131294154955E-007</v>
      </c>
    </row>
    <row r="57" customFormat="false" ht="15" hidden="false" customHeight="false" outlineLevel="0" collapsed="false">
      <c r="A57" s="25" t="n">
        <v>5</v>
      </c>
      <c r="B57" s="38" t="n">
        <v>144</v>
      </c>
      <c r="C57" s="18" t="n">
        <f aca="false">P2_a*COS(RADIANS($B57))-P2_b*COS(RADIANS((180-DEGREES(ASIN((P2_a*SIN(RADIANS($B57))-P2_c)/P2_b)))))</f>
        <v>97.2944109919774</v>
      </c>
      <c r="D57" s="32" t="n">
        <v>97.2944109919774</v>
      </c>
      <c r="E57" s="32" t="n">
        <v>97.2944111701606</v>
      </c>
      <c r="F57" s="24" t="n">
        <f aca="false">IF(C57=0,0,100*ABS(D57-C57)/ABS(C57))</f>
        <v>0</v>
      </c>
      <c r="G57" s="24" t="n">
        <f aca="false">IF(C57=0,0,100*ABS(E57-C57)/ABS(C57))</f>
        <v>1.83138180440847E-007</v>
      </c>
      <c r="H57" s="24" t="n">
        <f aca="false">D57-C57</f>
        <v>0</v>
      </c>
      <c r="I57" s="24" t="n">
        <f aca="false">E57-C57</f>
        <v>1.78183213961347E-007</v>
      </c>
    </row>
    <row r="58" customFormat="false" ht="15" hidden="false" customHeight="false" outlineLevel="0" collapsed="false">
      <c r="A58" s="25" t="n">
        <v>6</v>
      </c>
      <c r="B58" s="38" t="n">
        <v>180</v>
      </c>
      <c r="C58" s="18" t="n">
        <f aca="false">P2_a*COS(RADIANS($B58))-P2_b*COS(RADIANS((180-DEGREES(ASIN((P2_a*SIN(RADIANS($B58))-P2_c)/P2_b)))))</f>
        <v>95.4760514424007</v>
      </c>
      <c r="D58" s="32" t="n">
        <v>95.4760514424007</v>
      </c>
      <c r="E58" s="32" t="n">
        <v>95.4760516175465</v>
      </c>
      <c r="F58" s="24" t="n">
        <f aca="false">IF(C58=0,0,100*ABS(D58-C58)/ABS(C58))</f>
        <v>0</v>
      </c>
      <c r="G58" s="24" t="n">
        <f aca="false">IF(C58=0,0,100*ABS(E58-C58)/ABS(C58))</f>
        <v>1.83444686490432E-007</v>
      </c>
      <c r="H58" s="24" t="n">
        <f aca="false">D58-C58</f>
        <v>0</v>
      </c>
      <c r="I58" s="24" t="n">
        <f aca="false">E58-C58</f>
        <v>1.75145743241956E-007</v>
      </c>
    </row>
    <row r="59" customFormat="false" ht="15" hidden="false" customHeight="false" outlineLevel="0" collapsed="false">
      <c r="A59" s="25" t="n">
        <v>7</v>
      </c>
      <c r="B59" s="38" t="n">
        <v>216</v>
      </c>
      <c r="C59" s="18" t="n">
        <f aca="false">P2_a*COS(RADIANS($B59))-P2_b*COS(RADIANS((180-DEGREES(ASIN((P2_a*SIN(RADIANS($B59))-P2_c)/P2_b)))))</f>
        <v>103.683163760221</v>
      </c>
      <c r="D59" s="32" t="n">
        <v>103.683163760221</v>
      </c>
      <c r="E59" s="32" t="n">
        <v>103.683163934438</v>
      </c>
      <c r="F59" s="24" t="n">
        <f aca="false">IF(C59=0,0,100*ABS(D59-C59)/ABS(C59))</f>
        <v>0</v>
      </c>
      <c r="G59" s="24" t="n">
        <f aca="false">IF(C59=0,0,100*ABS(E59-C59)/ABS(C59))</f>
        <v>1.68027895024086E-007</v>
      </c>
      <c r="H59" s="24" t="n">
        <f aca="false">D59-C59</f>
        <v>0</v>
      </c>
      <c r="I59" s="24" t="n">
        <f aca="false">E59-C59</f>
        <v>1.74216637560676E-007</v>
      </c>
    </row>
    <row r="60" customFormat="false" ht="15" hidden="false" customHeight="false" outlineLevel="0" collapsed="false">
      <c r="A60" s="25" t="n">
        <v>8</v>
      </c>
      <c r="B60" s="38" t="n">
        <v>252</v>
      </c>
      <c r="C60" s="18" t="n">
        <f aca="false">P2_a*COS(RADIANS($B60))-P2_b*COS(RADIANS((180-DEGREES(ASIN((P2_a*SIN(RADIANS($B60))-P2_c)/P2_b)))))</f>
        <v>120.513976176754</v>
      </c>
      <c r="D60" s="32" t="n">
        <v>120.513976176754</v>
      </c>
      <c r="E60" s="32" t="n">
        <v>120.513976351378</v>
      </c>
      <c r="F60" s="24" t="n">
        <f aca="false">IF(C60=0,0,100*ABS(D60-C60)/ABS(C60))</f>
        <v>0</v>
      </c>
      <c r="G60" s="24" t="n">
        <f aca="false">IF(C60=0,0,100*ABS(E60-C60)/ABS(C60))</f>
        <v>1.44899133721949E-007</v>
      </c>
      <c r="H60" s="24" t="n">
        <f aca="false">D60-C60</f>
        <v>0</v>
      </c>
      <c r="I60" s="24" t="n">
        <f aca="false">E60-C60</f>
        <v>1.74623707493993E-007</v>
      </c>
    </row>
    <row r="61" customFormat="false" ht="15" hidden="false" customHeight="false" outlineLevel="0" collapsed="false">
      <c r="A61" s="25" t="n">
        <v>9</v>
      </c>
      <c r="B61" s="38" t="n">
        <v>288</v>
      </c>
      <c r="C61" s="18" t="n">
        <f aca="false">P2_a*COS(RADIANS($B61))-P2_b*COS(RADIANS((180-DEGREES(ASIN((P2_a*SIN(RADIANS($B61))-P2_c)/P2_b)))))</f>
        <v>142.145165783</v>
      </c>
      <c r="D61" s="32" t="n">
        <v>142.145165783</v>
      </c>
      <c r="E61" s="32" t="n">
        <v>142.145165957624</v>
      </c>
      <c r="F61" s="24" t="n">
        <f aca="false">IF(C61=0,0,100*ABS(D61-C61)/ABS(C61))</f>
        <v>0</v>
      </c>
      <c r="G61" s="24" t="n">
        <f aca="false">IF(C61=0,0,100*ABS(E61-C61)/ABS(C61))</f>
        <v>1.22848764243507E-007</v>
      </c>
      <c r="H61" s="24" t="n">
        <f aca="false">D61-C61</f>
        <v>0</v>
      </c>
      <c r="I61" s="24" t="n">
        <f aca="false">E61-C61</f>
        <v>1.746235795963E-007</v>
      </c>
    </row>
    <row r="62" customFormat="false" ht="15" hidden="false" customHeight="false" outlineLevel="0" collapsed="false">
      <c r="A62" s="25" t="n">
        <v>10</v>
      </c>
      <c r="B62" s="38" t="n">
        <v>324</v>
      </c>
      <c r="C62" s="18" t="n">
        <f aca="false">P2_a*COS(RADIANS($B62))-P2_b*COS(RADIANS((180-DEGREES(ASIN((P2_a*SIN(RADIANS($B62))-P2_c)/P2_b)))))</f>
        <v>160.314353366468</v>
      </c>
      <c r="D62" s="32" t="n">
        <v>160.314353366468</v>
      </c>
      <c r="E62" s="32" t="n">
        <v>160.314353540684</v>
      </c>
      <c r="F62" s="24" t="n">
        <f aca="false">IF(C62=0,0,100*ABS(D62-C62)/ABS(C62))</f>
        <v>0</v>
      </c>
      <c r="G62" s="24" t="n">
        <f aca="false">IF(C62=0,0,100*ABS(E62-C62)/ABS(C62))</f>
        <v>1.08671818970314E-007</v>
      </c>
      <c r="H62" s="24" t="n">
        <f aca="false">D62-C62</f>
        <v>0</v>
      </c>
      <c r="I62" s="24" t="n">
        <f aca="false">E62-C62</f>
        <v>1.74216523873838E-007</v>
      </c>
    </row>
    <row r="65" customFormat="false" ht="15" hidden="false" customHeight="false" outlineLevel="0" collapsed="false">
      <c r="A65" s="37" t="s">
        <v>303</v>
      </c>
      <c r="B65" s="37"/>
      <c r="C65" s="37"/>
      <c r="D65" s="37"/>
      <c r="E65" s="37"/>
      <c r="F65" s="37"/>
      <c r="G65" s="37"/>
      <c r="H65" s="37"/>
      <c r="I65" s="37"/>
    </row>
    <row r="66" customFormat="false" ht="15" hidden="false" customHeight="false" outlineLevel="0" collapsed="false">
      <c r="A66" s="11" t="s">
        <v>242</v>
      </c>
      <c r="B66" s="11" t="s">
        <v>243</v>
      </c>
      <c r="C66" s="11" t="s">
        <v>295</v>
      </c>
      <c r="D66" s="11" t="s">
        <v>296</v>
      </c>
      <c r="E66" s="11" t="s">
        <v>297</v>
      </c>
      <c r="F66" s="11" t="s">
        <v>298</v>
      </c>
      <c r="G66" s="11" t="s">
        <v>299</v>
      </c>
      <c r="H66" s="11" t="s">
        <v>300</v>
      </c>
      <c r="I66" s="11" t="s">
        <v>301</v>
      </c>
    </row>
    <row r="67" customFormat="false" ht="15" hidden="false" customHeight="false" outlineLevel="0" collapsed="false">
      <c r="A67" s="25" t="n">
        <v>1</v>
      </c>
      <c r="B67" s="38" t="n">
        <v>0</v>
      </c>
      <c r="C67" s="34" t="n">
        <f aca="false">P2_a*P2_w2sim*COS(RADIANS($B67))/(P2_b*COS(RADIANS(180-DEGREES(ASIN((P2_a*SIN(RADIANS($B67))-P2_c)/P2_b)))))</f>
        <v>-0.842727394491879</v>
      </c>
      <c r="D67" s="39" t="n">
        <v>-0.842717522200775</v>
      </c>
      <c r="E67" s="39" t="n">
        <v>-0.842717522200616</v>
      </c>
      <c r="F67" s="24" t="n">
        <f aca="false">IF(C67=0,0,100*ABS(D67-C67)/ABS(C67))</f>
        <v>0.0011714691094943</v>
      </c>
      <c r="G67" s="24" t="n">
        <f aca="false">IF(C67=0,0,100*ABS(E67-C67)/ABS(C67))</f>
        <v>0.0011714691284651</v>
      </c>
      <c r="H67" s="24" t="n">
        <f aca="false">D67-C67</f>
        <v>9.87229110371857E-006</v>
      </c>
      <c r="I67" s="24" t="n">
        <f aca="false">E67-C67</f>
        <v>9.87229126359068E-006</v>
      </c>
    </row>
    <row r="68" customFormat="false" ht="15" hidden="false" customHeight="false" outlineLevel="0" collapsed="false">
      <c r="A68" s="25" t="n">
        <v>2</v>
      </c>
      <c r="B68" s="38" t="n">
        <v>36</v>
      </c>
      <c r="C68" s="34" t="n">
        <f aca="false">P2_a*P2_w2sim*COS(RADIANS($B68))/(P2_b*COS(RADIANS(180-DEGREES(ASIN((P2_a*SIN(RADIANS($B68))-P2_c)/P2_b)))))</f>
        <v>-0.708192504668978</v>
      </c>
      <c r="D68" s="39" t="n">
        <v>-0.708182689250369</v>
      </c>
      <c r="E68" s="39" t="n">
        <v>-0.70818268925021</v>
      </c>
      <c r="F68" s="24" t="n">
        <f aca="false">IF(C68=0,0,100*ABS(D68-C68)/ABS(C68))</f>
        <v>0.00138598171308021</v>
      </c>
      <c r="G68" s="24" t="n">
        <f aca="false">IF(C68=0,0,100*ABS(E68-C68)/ABS(C68))</f>
        <v>0.00138598173565488</v>
      </c>
      <c r="H68" s="24" t="n">
        <f aca="false">D68-C68</f>
        <v>9.81541860811674E-006</v>
      </c>
      <c r="I68" s="24" t="n">
        <f aca="false">E68-C68</f>
        <v>9.81541876798886E-006</v>
      </c>
    </row>
    <row r="69" customFormat="false" ht="15" hidden="false" customHeight="false" outlineLevel="0" collapsed="false">
      <c r="A69" s="25" t="n">
        <v>3</v>
      </c>
      <c r="B69" s="38" t="n">
        <v>72</v>
      </c>
      <c r="C69" s="34" t="n">
        <f aca="false">P2_a*P2_w2sim*COS(RADIANS($B69))/(P2_b*COS(RADIANS(180-DEGREES(ASIN((P2_a*SIN(RADIANS($B69))-P2_c)/P2_b)))))</f>
        <v>-0.281354936194475</v>
      </c>
      <c r="D69" s="39" t="n">
        <v>-0.281350107621936</v>
      </c>
      <c r="E69" s="39" t="n">
        <v>-0.281350107621936</v>
      </c>
      <c r="F69" s="24" t="n">
        <f aca="false">IF(C69=0,0,100*ABS(D69-C69)/ABS(C69))</f>
        <v>0.00171618547181182</v>
      </c>
      <c r="G69" s="24" t="n">
        <f aca="false">IF(C69=0,0,100*ABS(E69-C69)/ABS(C69))</f>
        <v>0.00171618547181182</v>
      </c>
      <c r="H69" s="24" t="n">
        <f aca="false">D69-C69</f>
        <v>4.828572539195E-006</v>
      </c>
      <c r="I69" s="24" t="n">
        <f aca="false">E69-C69</f>
        <v>4.828572539195E-006</v>
      </c>
    </row>
    <row r="70" customFormat="false" ht="15" hidden="false" customHeight="false" outlineLevel="0" collapsed="false">
      <c r="A70" s="25" t="n">
        <v>4</v>
      </c>
      <c r="B70" s="38" t="n">
        <v>108</v>
      </c>
      <c r="C70" s="34" t="n">
        <f aca="false">P2_a*P2_w2sim*COS(RADIANS($B70))/(P2_b*COS(RADIANS(180-DEGREES(ASIN((P2_a*SIN(RADIANS($B70))-P2_c)/P2_b)))))</f>
        <v>0.281354936194475</v>
      </c>
      <c r="D70" s="39" t="n">
        <v>0.281350107621936</v>
      </c>
      <c r="E70" s="39" t="n">
        <v>0.281350107622016</v>
      </c>
      <c r="F70" s="24" t="n">
        <f aca="false">IF(C70=0,0,100*ABS(D70-C70)/ABS(C70))</f>
        <v>0.00171618547179209</v>
      </c>
      <c r="G70" s="24" t="n">
        <f aca="false">IF(C70=0,0,100*ABS(E70-C70)/ABS(C70))</f>
        <v>0.00171618544340071</v>
      </c>
      <c r="H70" s="24" t="n">
        <f aca="false">D70-C70</f>
        <v>-4.82857253913949E-006</v>
      </c>
      <c r="I70" s="24" t="n">
        <f aca="false">E70-C70</f>
        <v>-4.82857245925894E-006</v>
      </c>
    </row>
    <row r="71" customFormat="false" ht="15" hidden="false" customHeight="false" outlineLevel="0" collapsed="false">
      <c r="A71" s="25" t="n">
        <v>5</v>
      </c>
      <c r="B71" s="38" t="n">
        <v>144</v>
      </c>
      <c r="C71" s="34" t="n">
        <f aca="false">P2_a*P2_w2sim*COS(RADIANS($B71))/(P2_b*COS(RADIANS(180-DEGREES(ASIN((P2_a*SIN(RADIANS($B71))-P2_c)/P2_b)))))</f>
        <v>0.708192504668977</v>
      </c>
      <c r="D71" s="39" t="n">
        <v>0.70818268925029</v>
      </c>
      <c r="E71" s="39" t="n">
        <v>0.70818268925029</v>
      </c>
      <c r="F71" s="24" t="n">
        <f aca="false">IF(C71=0,0,100*ABS(D71-C71)/ABS(C71))</f>
        <v>0.00138598172435187</v>
      </c>
      <c r="G71" s="24" t="n">
        <f aca="false">IF(C71=0,0,100*ABS(E71-C71)/ABS(C71))</f>
        <v>0.00138598172435187</v>
      </c>
      <c r="H71" s="24" t="n">
        <f aca="false">D71-C71</f>
        <v>-9.81541868794178E-006</v>
      </c>
      <c r="I71" s="24" t="n">
        <f aca="false">E71-C71</f>
        <v>-9.81541868794178E-006</v>
      </c>
    </row>
    <row r="72" customFormat="false" ht="15" hidden="false" customHeight="false" outlineLevel="0" collapsed="false">
      <c r="A72" s="25" t="n">
        <v>6</v>
      </c>
      <c r="B72" s="38" t="n">
        <v>180</v>
      </c>
      <c r="C72" s="34" t="n">
        <f aca="false">P2_a*P2_w2sim*COS(RADIANS($B72))/(P2_b*COS(RADIANS(180-DEGREES(ASIN((P2_a*SIN(RADIANS($B72))-P2_c)/P2_b)))))</f>
        <v>0.842727394491879</v>
      </c>
      <c r="D72" s="39" t="n">
        <v>0.842717522200775</v>
      </c>
      <c r="E72" s="39" t="n">
        <v>0.842717522200536</v>
      </c>
      <c r="F72" s="24" t="n">
        <f aca="false">IF(C72=0,0,100*ABS(D72-C72)/ABS(C72))</f>
        <v>0.0011714691094943</v>
      </c>
      <c r="G72" s="24" t="n">
        <f aca="false">IF(C72=0,0,100*ABS(E72-C72)/ABS(C72))</f>
        <v>0.0011714691379505</v>
      </c>
      <c r="H72" s="24" t="n">
        <f aca="false">D72-C72</f>
        <v>-9.87229110371857E-006</v>
      </c>
      <c r="I72" s="24" t="n">
        <f aca="false">E72-C72</f>
        <v>-9.87229134352674E-006</v>
      </c>
    </row>
    <row r="73" customFormat="false" ht="15" hidden="false" customHeight="false" outlineLevel="0" collapsed="false">
      <c r="A73" s="25" t="n">
        <v>7</v>
      </c>
      <c r="B73" s="38" t="n">
        <v>216</v>
      </c>
      <c r="C73" s="34" t="n">
        <f aca="false">P2_a*P2_w2sim*COS(RADIANS($B73))/(P2_b*COS(RADIANS(180-DEGREES(ASIN((P2_a*SIN(RADIANS($B73))-P2_c)/P2_b)))))</f>
        <v>0.673915918480613</v>
      </c>
      <c r="D73" s="39" t="n">
        <v>0.673907741187829</v>
      </c>
      <c r="E73" s="39" t="n">
        <v>0.673907741187749</v>
      </c>
      <c r="F73" s="24" t="n">
        <f aca="false">IF(C73=0,0,100*ABS(D73-C73)/ABS(C73))</f>
        <v>0.001213399559219</v>
      </c>
      <c r="G73" s="24" t="n">
        <f aca="false">IF(C73=0,0,100*ABS(E73-C73)/ABS(C73))</f>
        <v>0.00121339957108043</v>
      </c>
      <c r="H73" s="24" t="n">
        <f aca="false">D73-C73</f>
        <v>-8.17729278435042E-006</v>
      </c>
      <c r="I73" s="24" t="n">
        <f aca="false">E73-C73</f>
        <v>-8.17729286428648E-006</v>
      </c>
    </row>
    <row r="74" customFormat="false" ht="15" hidden="false" customHeight="false" outlineLevel="0" collapsed="false">
      <c r="A74" s="25" t="n">
        <v>8</v>
      </c>
      <c r="B74" s="38" t="n">
        <v>252</v>
      </c>
      <c r="C74" s="34" t="n">
        <f aca="false">P2_a*P2_w2sim*COS(RADIANS($B74))/(P2_b*COS(RADIANS(180-DEGREES(ASIN((P2_a*SIN(RADIANS($B74))-P2_c)/P2_b)))))</f>
        <v>0.25872461871441</v>
      </c>
      <c r="D74" s="39" t="n">
        <v>0.258721105238493</v>
      </c>
      <c r="E74" s="39" t="n">
        <v>0.258721105238493</v>
      </c>
      <c r="F74" s="24" t="n">
        <f aca="false">IF(C74=0,0,100*ABS(D74-C74)/ABS(C74))</f>
        <v>0.00135799829718457</v>
      </c>
      <c r="G74" s="24" t="n">
        <f aca="false">IF(C74=0,0,100*ABS(E74-C74)/ABS(C74))</f>
        <v>0.00135799829718457</v>
      </c>
      <c r="H74" s="24" t="n">
        <f aca="false">D74-C74</f>
        <v>-3.51347591653894E-006</v>
      </c>
      <c r="I74" s="24" t="n">
        <f aca="false">E74-C74</f>
        <v>-3.51347591653894E-006</v>
      </c>
    </row>
    <row r="75" customFormat="false" ht="15" hidden="false" customHeight="false" outlineLevel="0" collapsed="false">
      <c r="A75" s="25" t="n">
        <v>9</v>
      </c>
      <c r="B75" s="38" t="n">
        <v>288</v>
      </c>
      <c r="C75" s="34" t="n">
        <f aca="false">P2_a*P2_w2sim*COS(RADIANS($B75))/(P2_b*COS(RADIANS(180-DEGREES(ASIN((P2_a*SIN(RADIANS($B75))-P2_c)/P2_b)))))</f>
        <v>-0.258724618714409</v>
      </c>
      <c r="D75" s="39" t="n">
        <v>-0.258721105238413</v>
      </c>
      <c r="E75" s="39" t="n">
        <v>-0.258721105238493</v>
      </c>
      <c r="F75" s="24" t="n">
        <f aca="false">IF(C75=0,0,100*ABS(D75-C75)/ABS(C75))</f>
        <v>0.00135799832799494</v>
      </c>
      <c r="G75" s="24" t="n">
        <f aca="false">IF(C75=0,0,100*ABS(E75-C75)/ABS(C75))</f>
        <v>0.00135799829707729</v>
      </c>
      <c r="H75" s="24" t="n">
        <f aca="false">D75-C75</f>
        <v>3.51347599625296E-006</v>
      </c>
      <c r="I75" s="24" t="n">
        <f aca="false">E75-C75</f>
        <v>3.51347591626139E-006</v>
      </c>
    </row>
    <row r="76" customFormat="false" ht="15" hidden="false" customHeight="false" outlineLevel="0" collapsed="false">
      <c r="A76" s="25" t="n">
        <v>10</v>
      </c>
      <c r="B76" s="38" t="n">
        <v>324</v>
      </c>
      <c r="C76" s="34" t="n">
        <f aca="false">P2_a*P2_w2sim*COS(RADIANS($B76))/(P2_b*COS(RADIANS(180-DEGREES(ASIN((P2_a*SIN(RADIANS($B76))-P2_c)/P2_b)))))</f>
        <v>-0.673915918480613</v>
      </c>
      <c r="D76" s="39" t="n">
        <v>-0.673907741187829</v>
      </c>
      <c r="E76" s="39" t="n">
        <v>-0.673907741187669</v>
      </c>
      <c r="F76" s="24" t="n">
        <f aca="false">IF(C76=0,0,100*ABS(D76-C76)/ABS(C76))</f>
        <v>0.00121339955918605</v>
      </c>
      <c r="G76" s="24" t="n">
        <f aca="false">IF(C76=0,0,100*ABS(E76-C76)/ABS(C76))</f>
        <v>0.00121339958290891</v>
      </c>
      <c r="H76" s="24" t="n">
        <f aca="false">D76-C76</f>
        <v>8.17729278412838E-006</v>
      </c>
      <c r="I76" s="24" t="n">
        <f aca="false">E76-C76</f>
        <v>8.17729294400049E-006</v>
      </c>
    </row>
    <row r="79" customFormat="false" ht="15" hidden="false" customHeight="false" outlineLevel="0" collapsed="false">
      <c r="A79" s="37" t="s">
        <v>304</v>
      </c>
      <c r="B79" s="37"/>
      <c r="C79" s="37"/>
      <c r="D79" s="37"/>
      <c r="E79" s="37"/>
      <c r="F79" s="37"/>
      <c r="G79" s="37"/>
      <c r="H79" s="37"/>
      <c r="I79" s="37"/>
    </row>
    <row r="80" customFormat="false" ht="15" hidden="false" customHeight="false" outlineLevel="0" collapsed="false">
      <c r="A80" s="11" t="s">
        <v>242</v>
      </c>
      <c r="B80" s="11" t="s">
        <v>243</v>
      </c>
      <c r="C80" s="11" t="s">
        <v>295</v>
      </c>
      <c r="D80" s="11" t="s">
        <v>296</v>
      </c>
      <c r="E80" s="11" t="s">
        <v>297</v>
      </c>
      <c r="F80" s="11" t="s">
        <v>298</v>
      </c>
      <c r="G80" s="11" t="s">
        <v>299</v>
      </c>
      <c r="H80" s="11" t="s">
        <v>300</v>
      </c>
      <c r="I80" s="11" t="s">
        <v>301</v>
      </c>
    </row>
    <row r="81" customFormat="false" ht="15" hidden="false" customHeight="false" outlineLevel="0" collapsed="false">
      <c r="A81" s="25" t="n">
        <v>1</v>
      </c>
      <c r="B81" s="38" t="n">
        <v>0</v>
      </c>
      <c r="C81" s="18" t="n">
        <f aca="false">-P2_a*P2_w2sim*SIN(RADIANS($B81))+P2_b*(P2_a*P2_w2sim*COS(RADIANS($B81))/(P2_b*COS(RADIANS(180-DEGREES(ASIN((P2_a*SIN(RADIANS($B81))-P2_c)/P2_b))))))*SIN(RADIANS((180-DEGREES(ASIN((P2_a*SIN(RADIANS($B81))-P2_c)/P2_b)))))</f>
        <v>-16.8545478898376</v>
      </c>
      <c r="D81" s="32" t="n">
        <v>-16.8543812298361</v>
      </c>
      <c r="E81" s="32" t="n">
        <v>-16.8543812195225</v>
      </c>
      <c r="F81" s="24" t="n">
        <f aca="false">IF(C81=0,0,100*ABS(D81-C81)/ABS(C81))</f>
        <v>0.000988813242282702</v>
      </c>
      <c r="G81" s="24" t="n">
        <f aca="false">IF(C81=0,0,100*ABS(E81-C81)/ABS(C81))</f>
        <v>0.000988874434511282</v>
      </c>
      <c r="H81" s="24" t="n">
        <f aca="false">D81-C81</f>
        <v>0.000166660001461594</v>
      </c>
      <c r="I81" s="24" t="n">
        <f aca="false">E81-C81</f>
        <v>0.000166670315135065</v>
      </c>
    </row>
    <row r="82" customFormat="false" ht="15" hidden="false" customHeight="false" outlineLevel="0" collapsed="false">
      <c r="A82" s="25" t="n">
        <v>2</v>
      </c>
      <c r="B82" s="38" t="n">
        <v>36</v>
      </c>
      <c r="C82" s="18" t="n">
        <f aca="false">-P2_a*P2_w2sim*SIN(RADIANS($B82))+P2_b*(P2_a*P2_w2sim*COS(RADIANS($B82))/(P2_b*COS(RADIANS(180-DEGREES(ASIN((P2_a*SIN(RADIANS($B82))-P2_c)/P2_b))))))*SIN(RADIANS((180-DEGREES(ASIN((P2_a*SIN(RADIANS($B82))-P2_c)/P2_b)))))</f>
        <v>-93.3634930115428</v>
      </c>
      <c r="D82" s="32" t="n">
        <v>-93.3617567813997</v>
      </c>
      <c r="E82" s="32" t="n">
        <v>-93.3617567631001</v>
      </c>
      <c r="F82" s="24" t="n">
        <f aca="false">IF(C82=0,0,100*ABS(D82-C82)/ABS(C82))</f>
        <v>0.00185964565717951</v>
      </c>
      <c r="G82" s="24" t="n">
        <f aca="false">IF(C82=0,0,100*ABS(E82-C82)/ABS(C82))</f>
        <v>0.0018596652575621</v>
      </c>
      <c r="H82" s="24" t="n">
        <f aca="false">D82-C82</f>
        <v>0.00173623014318025</v>
      </c>
      <c r="I82" s="24" t="n">
        <f aca="false">E82-C82</f>
        <v>0.00173624844278208</v>
      </c>
    </row>
    <row r="83" customFormat="false" ht="15" hidden="false" customHeight="false" outlineLevel="0" collapsed="false">
      <c r="A83" s="25" t="n">
        <v>3</v>
      </c>
      <c r="B83" s="38" t="n">
        <v>72</v>
      </c>
      <c r="C83" s="18" t="n">
        <f aca="false">-P2_a*P2_w2sim*SIN(RADIANS($B83))+P2_b*(P2_a*P2_w2sim*COS(RADIANS($B83))/(P2_b*COS(RADIANS(180-DEGREES(ASIN((P2_a*SIN(RADIANS($B83))-P2_c)/P2_b))))))*SIN(RADIANS((180-DEGREES(ASIN((P2_a*SIN(RADIANS($B83))-P2_c)/P2_b)))))</f>
        <v>-119.566680080929</v>
      </c>
      <c r="D83" s="32" t="n">
        <v>-119.564741940654</v>
      </c>
      <c r="E83" s="32" t="n">
        <v>-119.564741930765</v>
      </c>
      <c r="F83" s="24" t="n">
        <f aca="false">IF(C83=0,0,100*ABS(D83-C83)/ABS(C83))</f>
        <v>0.00162097021806848</v>
      </c>
      <c r="G83" s="24" t="n">
        <f aca="false">IF(C83=0,0,100*ABS(E83-C83)/ABS(C83))</f>
        <v>0.00162097848885631</v>
      </c>
      <c r="H83" s="24" t="n">
        <f aca="false">D83-C83</f>
        <v>0.00193814027484507</v>
      </c>
      <c r="I83" s="24" t="n">
        <f aca="false">E83-C83</f>
        <v>0.00193815016395149</v>
      </c>
    </row>
    <row r="84" customFormat="false" ht="15" hidden="false" customHeight="false" outlineLevel="0" collapsed="false">
      <c r="A84" s="25" t="n">
        <v>4</v>
      </c>
      <c r="B84" s="38" t="n">
        <v>108</v>
      </c>
      <c r="C84" s="18" t="n">
        <f aca="false">-P2_a*P2_w2sim*SIN(RADIANS($B84))+P2_b*(P2_a*P2_w2sim*COS(RADIANS($B84))/(P2_b*COS(RADIANS(180-DEGREES(ASIN((P2_a*SIN(RADIANS($B84))-P2_c)/P2_b))))))*SIN(RADIANS((180-DEGREES(ASIN((P2_a*SIN(RADIANS($B84))-P2_c)/P2_b)))))</f>
        <v>-89.5815714509803</v>
      </c>
      <c r="D84" s="32" t="n">
        <v>-89.5808550096683</v>
      </c>
      <c r="E84" s="32" t="n">
        <v>-89.5808550195113</v>
      </c>
      <c r="F84" s="24" t="n">
        <f aca="false">IF(C84=0,0,100*ABS(D84-C84)/ABS(C84))</f>
        <v>0.000799764170628762</v>
      </c>
      <c r="G84" s="24" t="n">
        <f aca="false">IF(C84=0,0,100*ABS(E84-C84)/ABS(C84))</f>
        <v>0.000799753182870621</v>
      </c>
      <c r="H84" s="24" t="n">
        <f aca="false">D84-C84</f>
        <v>0.000716441311951144</v>
      </c>
      <c r="I84" s="24" t="n">
        <f aca="false">E84-C84</f>
        <v>0.000716431468944734</v>
      </c>
    </row>
    <row r="85" customFormat="false" ht="15" hidden="false" customHeight="false" outlineLevel="0" collapsed="false">
      <c r="A85" s="25" t="n">
        <v>5</v>
      </c>
      <c r="B85" s="38" t="n">
        <v>144</v>
      </c>
      <c r="C85" s="18" t="n">
        <f aca="false">-P2_a*P2_w2sim*SIN(RADIANS($B85))+P2_b*(P2_a*P2_w2sim*COS(RADIANS($B85))/(P2_b*COS(RADIANS(180-DEGREES(ASIN((P2_a*SIN(RADIANS($B85))-P2_c)/P2_b))))))*SIN(RADIANS((180-DEGREES(ASIN((P2_a*SIN(RADIANS($B85))-P2_c)/P2_b)))))</f>
        <v>-35.8972351227891</v>
      </c>
      <c r="D85" s="32" t="n">
        <v>-35.8973307312837</v>
      </c>
      <c r="E85" s="32" t="n">
        <v>-35.8973307494963</v>
      </c>
      <c r="F85" s="24" t="n">
        <f aca="false">IF(C85=0,0,100*ABS(D85-C85)/ABS(C85))</f>
        <v>0.000266339438833218</v>
      </c>
      <c r="G85" s="24" t="n">
        <f aca="false">IF(C85=0,0,100*ABS(E85-C85)/ABS(C85))</f>
        <v>0.000266390174304462</v>
      </c>
      <c r="H85" s="24" t="n">
        <f aca="false">D85-C85</f>
        <v>-9.56084945826774E-005</v>
      </c>
      <c r="I85" s="24" t="n">
        <f aca="false">E85-C85</f>
        <v>-9.56267072140804E-005</v>
      </c>
    </row>
    <row r="86" customFormat="false" ht="15" hidden="false" customHeight="false" outlineLevel="0" collapsed="false">
      <c r="A86" s="25" t="n">
        <v>6</v>
      </c>
      <c r="B86" s="38" t="n">
        <v>180</v>
      </c>
      <c r="C86" s="18" t="n">
        <f aca="false">-P2_a*P2_w2sim*SIN(RADIANS($B86))+P2_b*(P2_a*P2_w2sim*COS(RADIANS($B86))/(P2_b*COS(RADIANS(180-DEGREES(ASIN((P2_a*SIN(RADIANS($B86))-P2_c)/P2_b))))))*SIN(RADIANS((180-DEGREES(ASIN((P2_a*SIN(RADIANS($B86))-P2_c)/P2_b)))))</f>
        <v>16.8545478898376</v>
      </c>
      <c r="D86" s="32" t="n">
        <v>16.8543812298361</v>
      </c>
      <c r="E86" s="32" t="n">
        <v>16.8543812194713</v>
      </c>
      <c r="F86" s="24" t="n">
        <f aca="false">IF(C86=0,0,100*ABS(D86-C86)/ABS(C86))</f>
        <v>0.000988813242198388</v>
      </c>
      <c r="G86" s="24" t="n">
        <f aca="false">IF(C86=0,0,100*ABS(E86-C86)/ABS(C86))</f>
        <v>0.000988874737959743</v>
      </c>
      <c r="H86" s="24" t="n">
        <f aca="false">D86-C86</f>
        <v>-0.000166660001447383</v>
      </c>
      <c r="I86" s="24" t="n">
        <f aca="false">E86-C86</f>
        <v>-0.000166670366279931</v>
      </c>
    </row>
    <row r="87" customFormat="false" ht="15" hidden="false" customHeight="false" outlineLevel="0" collapsed="false">
      <c r="A87" s="25" t="n">
        <v>7</v>
      </c>
      <c r="B87" s="38" t="n">
        <v>216</v>
      </c>
      <c r="C87" s="18" t="n">
        <f aca="false">-P2_a*P2_w2sim*SIN(RADIANS($B87))+P2_b*(P2_a*P2_w2sim*COS(RADIANS($B87))/(P2_b*COS(RADIANS(180-DEGREES(ASIN((P2_a*SIN(RADIANS($B87))-P2_c)/P2_b))))))*SIN(RADIANS((180-DEGREES(ASIN((P2_a*SIN(RADIANS($B87))-P2_c)/P2_b)))))</f>
        <v>64.2445581008968</v>
      </c>
      <c r="D87" s="32" t="n">
        <v>64.2442699183735</v>
      </c>
      <c r="E87" s="32" t="n">
        <v>64.2442699185551</v>
      </c>
      <c r="F87" s="24" t="n">
        <f aca="false">IF(C87=0,0,100*ABS(D87-C87)/ABS(C87))</f>
        <v>0.000448571103668746</v>
      </c>
      <c r="G87" s="24" t="n">
        <f aca="false">IF(C87=0,0,100*ABS(E87-C87)/ABS(C87))</f>
        <v>0.000448570820975972</v>
      </c>
      <c r="H87" s="24" t="n">
        <f aca="false">D87-C87</f>
        <v>-0.000288182523320302</v>
      </c>
      <c r="I87" s="24" t="n">
        <f aca="false">E87-C87</f>
        <v>-0.000288182341705578</v>
      </c>
    </row>
    <row r="88" customFormat="false" ht="15" hidden="false" customHeight="false" outlineLevel="0" collapsed="false">
      <c r="A88" s="25" t="n">
        <v>8</v>
      </c>
      <c r="B88" s="38" t="n">
        <v>252</v>
      </c>
      <c r="C88" s="18" t="n">
        <f aca="false">-P2_a*P2_w2sim*SIN(RADIANS($B88))+P2_b*(P2_a*P2_w2sim*COS(RADIANS($B88))/(P2_b*COS(RADIANS(180-DEGREES(ASIN((P2_a*SIN(RADIANS($B88))-P2_c)/P2_b))))))*SIN(RADIANS((180-DEGREES(ASIN((P2_a*SIN(RADIANS($B88))-P2_c)/P2_b)))))</f>
        <v>101.136457430841</v>
      </c>
      <c r="D88" s="32" t="n">
        <v>101.135504151995</v>
      </c>
      <c r="E88" s="32" t="n">
        <v>101.135504154028</v>
      </c>
      <c r="F88" s="24" t="n">
        <f aca="false">IF(C88=0,0,100*ABS(D88-C88)/ABS(C88))</f>
        <v>0.000942566974274362</v>
      </c>
      <c r="G88" s="24" t="n">
        <f aca="false">IF(C88=0,0,100*ABS(E88-C88)/ABS(C88))</f>
        <v>0.000942564963523953</v>
      </c>
      <c r="H88" s="24" t="n">
        <f aca="false">D88-C88</f>
        <v>-0.000953278846694161</v>
      </c>
      <c r="I88" s="24" t="n">
        <f aca="false">E88-C88</f>
        <v>-0.00095327681309243</v>
      </c>
    </row>
    <row r="89" customFormat="false" ht="15" hidden="false" customHeight="false" outlineLevel="0" collapsed="false">
      <c r="A89" s="25" t="n">
        <v>9</v>
      </c>
      <c r="B89" s="38" t="n">
        <v>288</v>
      </c>
      <c r="C89" s="18" t="n">
        <f aca="false">-P2_a*P2_w2sim*SIN(RADIANS($B89))+P2_b*(P2_a*P2_w2sim*COS(RADIANS($B89))/(P2_b*COS(RADIANS(180-DEGREES(ASIN((P2_a*SIN(RADIANS($B89))-P2_c)/P2_b))))))*SIN(RADIANS((180-DEGREES(ASIN((P2_a*SIN(RADIANS($B89))-P2_c)/P2_b)))))</f>
        <v>108.011794101067</v>
      </c>
      <c r="D89" s="32" t="n">
        <v>108.010092798327</v>
      </c>
      <c r="E89" s="32" t="n">
        <v>108.010092796276</v>
      </c>
      <c r="F89" s="24" t="n">
        <f aca="false">IF(C89=0,0,100*ABS(D89-C89)/ABS(C89))</f>
        <v>0.00157510830585352</v>
      </c>
      <c r="G89" s="24" t="n">
        <f aca="false">IF(C89=0,0,100*ABS(E89-C89)/ABS(C89))</f>
        <v>0.00157511020508475</v>
      </c>
      <c r="H89" s="24" t="n">
        <f aca="false">D89-C89</f>
        <v>-0.00170130274018732</v>
      </c>
      <c r="I89" s="24" t="n">
        <f aca="false">E89-C89</f>
        <v>-0.00170130479158104</v>
      </c>
    </row>
    <row r="90" customFormat="false" ht="15" hidden="false" customHeight="false" outlineLevel="0" collapsed="false">
      <c r="A90" s="25" t="n">
        <v>10</v>
      </c>
      <c r="B90" s="38" t="n">
        <v>324</v>
      </c>
      <c r="C90" s="18" t="n">
        <f aca="false">-P2_a*P2_w2sim*SIN(RADIANS($B90))+P2_b*(P2_a*P2_w2sim*COS(RADIANS($B90))/(P2_b*COS(RADIANS(180-DEGREES(ASIN((P2_a*SIN(RADIANS($B90))-P2_c)/P2_b))))))*SIN(RADIANS((180-DEGREES(ASIN((P2_a*SIN(RADIANS($B90))-P2_c)/P2_b)))))</f>
        <v>65.0161700334352</v>
      </c>
      <c r="D90" s="32" t="n">
        <v>65.0148175943099</v>
      </c>
      <c r="E90" s="32" t="n">
        <v>65.0148175941001</v>
      </c>
      <c r="F90" s="24" t="n">
        <f aca="false">IF(C90=0,0,100*ABS(D90-C90)/ABS(C90))</f>
        <v>0.00208015809696092</v>
      </c>
      <c r="G90" s="24" t="n">
        <f aca="false">IF(C90=0,0,100*ABS(E90-C90)/ABS(C90))</f>
        <v>0.00208015841957637</v>
      </c>
      <c r="H90" s="24" t="n">
        <f aca="false">D90-C90</f>
        <v>-0.00135243912528438</v>
      </c>
      <c r="I90" s="24" t="n">
        <f aca="false">E90-C90</f>
        <v>-0.00135243933503659</v>
      </c>
    </row>
    <row r="93" customFormat="false" ht="15" hidden="false" customHeight="false" outlineLevel="0" collapsed="false">
      <c r="A93" s="37" t="s">
        <v>305</v>
      </c>
      <c r="B93" s="37"/>
      <c r="C93" s="37"/>
      <c r="D93" s="37"/>
      <c r="E93" s="37"/>
      <c r="F93" s="37"/>
      <c r="G93" s="37"/>
      <c r="H93" s="37"/>
      <c r="I93" s="37"/>
    </row>
    <row r="94" customFormat="false" ht="15" hidden="false" customHeight="false" outlineLevel="0" collapsed="false">
      <c r="A94" s="11" t="s">
        <v>242</v>
      </c>
      <c r="B94" s="11" t="s">
        <v>243</v>
      </c>
      <c r="C94" s="11" t="s">
        <v>295</v>
      </c>
      <c r="D94" s="11" t="s">
        <v>296</v>
      </c>
      <c r="E94" s="11" t="s">
        <v>297</v>
      </c>
      <c r="F94" s="11" t="s">
        <v>298</v>
      </c>
      <c r="G94" s="11" t="s">
        <v>299</v>
      </c>
      <c r="H94" s="11" t="s">
        <v>300</v>
      </c>
      <c r="I94" s="11" t="s">
        <v>301</v>
      </c>
    </row>
    <row r="95" customFormat="false" ht="15" hidden="false" customHeight="false" outlineLevel="0" collapsed="false">
      <c r="A95" s="25" t="n">
        <v>1</v>
      </c>
      <c r="B95" s="38" t="n">
        <v>0</v>
      </c>
      <c r="C95" s="34" t="n">
        <f aca="false">(P2_a*0*COS(RADIANS($B95))-P2_a*P2_w2sim^2*SIN(RADIANS($B95))+P2_b*(P2_a*P2_w2sim*COS(RADIANS($B95))/(P2_b*COS(RADIANS(180-DEGREES(ASIN((P2_a*SIN(RADIANS($B95))-P2_c)/P2_b))))))^2*SIN(RADIANS(180-DEGREES(ASIN((P2_a*SIN(RADIANS($B95))-P2_c)/P2_b)))))/(P2_b*COS(RADIANS(180-DEGREES(ASIN((P2_a*SIN(RADIANS($B95))-P2_c)/P2_b)))))</f>
        <v>-0.108861274322145</v>
      </c>
      <c r="D95" s="39" t="n">
        <v>-0.108858975798398</v>
      </c>
      <c r="E95" s="39" t="n">
        <v>-0.108858975798398</v>
      </c>
      <c r="F95" s="24" t="n">
        <f aca="false">IF(C95=0,0,100*ABS(D95-C95)/ABS(C95))</f>
        <v>0.00211142461885121</v>
      </c>
      <c r="G95" s="24" t="n">
        <f aca="false">IF(C95=0,0,100*ABS(E95-C95)/ABS(C95))</f>
        <v>0.00211142461874923</v>
      </c>
      <c r="H95" s="24" t="n">
        <f aca="false">D95-C95</f>
        <v>2.29852374643291E-006</v>
      </c>
      <c r="I95" s="24" t="n">
        <f aca="false">E95-C95</f>
        <v>2.29852374632189E-006</v>
      </c>
    </row>
    <row r="96" customFormat="false" ht="15" hidden="false" customHeight="false" outlineLevel="0" collapsed="false">
      <c r="A96" s="25" t="n">
        <v>2</v>
      </c>
      <c r="B96" s="38" t="n">
        <v>36</v>
      </c>
      <c r="C96" s="34" t="n">
        <f aca="false">(P2_a*0*COS(RADIANS($B96))-P2_a*P2_w2sim^2*SIN(RADIANS($B96))+P2_b*(P2_a*P2_w2sim*COS(RADIANS($B96))/(P2_b*COS(RADIANS(180-DEGREES(ASIN((P2_a*SIN(RADIANS($B96))-P2_c)/P2_b))))))^2*SIN(RADIANS(180-DEGREES(ASIN((P2_a*SIN(RADIANS($B96))-P2_c)/P2_b)))))/(P2_b*COS(RADIANS(180-DEGREES(ASIN((P2_a*SIN(RADIANS($B96))-P2_c)/P2_b)))))</f>
        <v>1.45445173130685</v>
      </c>
      <c r="D96" s="39" t="n">
        <v>1.45444751193864</v>
      </c>
      <c r="E96" s="39" t="n">
        <v>1.45444751193864</v>
      </c>
      <c r="F96" s="24" t="n">
        <f aca="false">IF(C96=0,0,100*ABS(D96-C96)/ABS(C96))</f>
        <v>0.000290100257085857</v>
      </c>
      <c r="G96" s="24" t="n">
        <f aca="false">IF(C96=0,0,100*ABS(E96-C96)/ABS(C96))</f>
        <v>0.000290100257009524</v>
      </c>
      <c r="H96" s="24" t="n">
        <f aca="false">D96-C96</f>
        <v>-4.21936821171087E-006</v>
      </c>
      <c r="I96" s="24" t="n">
        <f aca="false">E96-C96</f>
        <v>-4.21936821060065E-006</v>
      </c>
    </row>
    <row r="97" customFormat="false" ht="15" hidden="false" customHeight="false" outlineLevel="0" collapsed="false">
      <c r="A97" s="25" t="n">
        <v>3</v>
      </c>
      <c r="B97" s="38" t="n">
        <v>72</v>
      </c>
      <c r="C97" s="34" t="n">
        <f aca="false">(P2_a*0*COS(RADIANS($B97))-P2_a*P2_w2sim^2*SIN(RADIANS($B97))+P2_b*(P2_a*P2_w2sim*COS(RADIANS($B97))/(P2_b*COS(RADIANS(180-DEGREES(ASIN((P2_a*SIN(RADIANS($B97))-P2_c)/P2_b))))))^2*SIN(RADIANS(180-DEGREES(ASIN((P2_a*SIN(RADIANS($B97))-P2_c)/P2_b)))))/(P2_b*COS(RADIANS(180-DEGREES(ASIN((P2_a*SIN(RADIANS($B97))-P2_c)/P2_b)))))</f>
        <v>2.68544362102672</v>
      </c>
      <c r="D97" s="39" t="n">
        <v>2.68542223980432</v>
      </c>
      <c r="E97" s="39" t="n">
        <v>2.68542223980432</v>
      </c>
      <c r="F97" s="24" t="n">
        <f aca="false">IF(C97=0,0,100*ABS(D97-C97)/ABS(C97))</f>
        <v>0.000796189584082856</v>
      </c>
      <c r="G97" s="24" t="n">
        <f aca="false">IF(C97=0,0,100*ABS(E97-C97)/ABS(C97))</f>
        <v>0.000796189584049782</v>
      </c>
      <c r="H97" s="24" t="n">
        <f aca="false">D97-C97</f>
        <v>-2.13812223970322E-005</v>
      </c>
      <c r="I97" s="24" t="n">
        <f aca="false">E97-C97</f>
        <v>-2.1381222396144E-005</v>
      </c>
    </row>
    <row r="98" customFormat="false" ht="15" hidden="false" customHeight="false" outlineLevel="0" collapsed="false">
      <c r="A98" s="25" t="n">
        <v>4</v>
      </c>
      <c r="B98" s="38" t="n">
        <v>108</v>
      </c>
      <c r="C98" s="34" t="n">
        <f aca="false">(P2_a*0*COS(RADIANS($B98))-P2_a*P2_w2sim^2*SIN(RADIANS($B98))+P2_b*(P2_a*P2_w2sim*COS(RADIANS($B98))/(P2_b*COS(RADIANS(180-DEGREES(ASIN((P2_a*SIN(RADIANS($B98))-P2_c)/P2_b))))))^2*SIN(RADIANS(180-DEGREES(ASIN((P2_a*SIN(RADIANS($B98))-P2_c)/P2_b)))))/(P2_b*COS(RADIANS(180-DEGREES(ASIN((P2_a*SIN(RADIANS($B98))-P2_c)/P2_b)))))</f>
        <v>2.68544362102672</v>
      </c>
      <c r="D98" s="39" t="n">
        <v>2.68542223980432</v>
      </c>
      <c r="E98" s="39" t="n">
        <v>2.68542223986188</v>
      </c>
      <c r="F98" s="24" t="n">
        <f aca="false">IF(C98=0,0,100*ABS(D98-C98)/ABS(C98))</f>
        <v>0.000796189584099392</v>
      </c>
      <c r="G98" s="24" t="n">
        <f aca="false">IF(C98=0,0,100*ABS(E98-C98)/ABS(C98))</f>
        <v>0.000796187440883675</v>
      </c>
      <c r="H98" s="24" t="n">
        <f aca="false">D98-C98</f>
        <v>-2.13812223974763E-005</v>
      </c>
      <c r="I98" s="24" t="n">
        <f aca="false">E98-C98</f>
        <v>-2.13811648426265E-005</v>
      </c>
    </row>
    <row r="99" customFormat="false" ht="15" hidden="false" customHeight="false" outlineLevel="0" collapsed="false">
      <c r="A99" s="25" t="n">
        <v>5</v>
      </c>
      <c r="B99" s="38" t="n">
        <v>144</v>
      </c>
      <c r="C99" s="34" t="n">
        <f aca="false">(P2_a*0*COS(RADIANS($B99))-P2_a*P2_w2sim^2*SIN(RADIANS($B99))+P2_b*(P2_a*P2_w2sim*COS(RADIANS($B99))/(P2_b*COS(RADIANS(180-DEGREES(ASIN((P2_a*SIN(RADIANS($B99))-P2_c)/P2_b))))))^2*SIN(RADIANS(180-DEGREES(ASIN((P2_a*SIN(RADIANS($B99))-P2_c)/P2_b)))))/(P2_b*COS(RADIANS(180-DEGREES(ASIN((P2_a*SIN(RADIANS($B99))-P2_c)/P2_b)))))</f>
        <v>1.45445173130685</v>
      </c>
      <c r="D99" s="39" t="n">
        <v>1.45444751188108</v>
      </c>
      <c r="E99" s="39" t="n">
        <v>1.45444751222641</v>
      </c>
      <c r="F99" s="24" t="n">
        <f aca="false">IF(C99=0,0,100*ABS(D99-C99)/ABS(C99))</f>
        <v>0.000290104214206224</v>
      </c>
      <c r="G99" s="24" t="n">
        <f aca="false">IF(C99=0,0,100*ABS(E99-C99)/ABS(C99))</f>
        <v>0.000290080471651955</v>
      </c>
      <c r="H99" s="24" t="n">
        <f aca="false">D99-C99</f>
        <v>-4.21942576611656E-006</v>
      </c>
      <c r="I99" s="24" t="n">
        <f aca="false">E99-C99</f>
        <v>-4.21908044212493E-006</v>
      </c>
    </row>
    <row r="100" customFormat="false" ht="15" hidden="false" customHeight="false" outlineLevel="0" collapsed="false">
      <c r="A100" s="25" t="n">
        <v>6</v>
      </c>
      <c r="B100" s="38" t="n">
        <v>180</v>
      </c>
      <c r="C100" s="34" t="n">
        <f aca="false">(P2_a*0*COS(RADIANS($B100))-P2_a*P2_w2sim^2*SIN(RADIANS($B100))+P2_b*(P2_a*P2_w2sim*COS(RADIANS($B100))/(P2_b*COS(RADIANS(180-DEGREES(ASIN((P2_a*SIN(RADIANS($B100))-P2_c)/P2_b))))))^2*SIN(RADIANS(180-DEGREES(ASIN((P2_a*SIN(RADIANS($B100))-P2_c)/P2_b)))))/(P2_b*COS(RADIANS(180-DEGREES(ASIN((P2_a*SIN(RADIANS($B100))-P2_c)/P2_b)))))</f>
        <v>-0.108861274322144</v>
      </c>
      <c r="D100" s="39" t="n">
        <v>-0.108858975798398</v>
      </c>
      <c r="E100" s="39" t="n">
        <v>-0.10885897597106</v>
      </c>
      <c r="F100" s="24" t="n">
        <f aca="false">IF(C100=0,0,100*ABS(D100-C100)/ABS(C100))</f>
        <v>0.00211142461855801</v>
      </c>
      <c r="G100" s="24" t="n">
        <f aca="false">IF(C100=0,0,100*ABS(E100-C100)/ABS(C100))</f>
        <v>0.00211126601118292</v>
      </c>
      <c r="H100" s="24" t="n">
        <f aca="false">D100-C100</f>
        <v>2.29852374611372E-006</v>
      </c>
      <c r="I100" s="24" t="n">
        <f aca="false">E100-C100</f>
        <v>2.29835108410403E-006</v>
      </c>
    </row>
    <row r="101" customFormat="false" ht="15" hidden="false" customHeight="false" outlineLevel="0" collapsed="false">
      <c r="A101" s="25" t="n">
        <v>7</v>
      </c>
      <c r="B101" s="38" t="n">
        <v>216</v>
      </c>
      <c r="C101" s="34" t="n">
        <f aca="false">(P2_a*0*COS(RADIANS($B101))-P2_a*P2_w2sim^2*SIN(RADIANS($B101))+P2_b*(P2_a*P2_w2sim*COS(RADIANS($B101))/(P2_b*COS(RADIANS(180-DEGREES(ASIN((P2_a*SIN(RADIANS($B101))-P2_c)/P2_b))))))^2*SIN(RADIANS(180-DEGREES(ASIN((P2_a*SIN(RADIANS($B101))-P2_c)/P2_b)))))/(P2_b*COS(RADIANS(180-DEGREES(ASIN((P2_a*SIN(RADIANS($B101))-P2_c)/P2_b)))))</f>
        <v>-1.53624381302659</v>
      </c>
      <c r="D101" s="39" t="n">
        <v>-1.536236771598</v>
      </c>
      <c r="E101" s="39" t="n">
        <v>-1.53623677177066</v>
      </c>
      <c r="F101" s="24" t="n">
        <f aca="false">IF(C101=0,0,100*ABS(D101-C101)/ABS(C101))</f>
        <v>0.000458353585084538</v>
      </c>
      <c r="G101" s="24" t="n">
        <f aca="false">IF(C101=0,0,100*ABS(E101-C101)/ABS(C101))</f>
        <v>0.000458342345860443</v>
      </c>
      <c r="H101" s="24" t="n">
        <f aca="false">D101-C101</f>
        <v>7.04142859264678E-006</v>
      </c>
      <c r="I101" s="24" t="n">
        <f aca="false">E101-C101</f>
        <v>7.04125593076199E-006</v>
      </c>
    </row>
    <row r="102" customFormat="false" ht="15" hidden="false" customHeight="false" outlineLevel="0" collapsed="false">
      <c r="A102" s="25" t="n">
        <v>8</v>
      </c>
      <c r="B102" s="38" t="n">
        <v>252</v>
      </c>
      <c r="C102" s="34" t="n">
        <f aca="false">(P2_a*0*COS(RADIANS($B102))-P2_a*P2_w2sim^2*SIN(RADIANS($B102))+P2_b*(P2_a*P2_w2sim*COS(RADIANS($B102))/(P2_b*COS(RADIANS(180-DEGREES(ASIN((P2_a*SIN(RADIANS($B102))-P2_c)/P2_b))))))^2*SIN(RADIANS(180-DEGREES(ASIN((P2_a*SIN(RADIANS($B102))-P2_c)/P2_b)))))/(P2_b*COS(RADIANS(180-DEGREES(ASIN((P2_a*SIN(RADIANS($B102))-P2_c)/P2_b)))))</f>
        <v>-2.49479148822341</v>
      </c>
      <c r="D102" s="39" t="n">
        <v>-2.49477522662005</v>
      </c>
      <c r="E102" s="39" t="n">
        <v>-2.49477522650494</v>
      </c>
      <c r="F102" s="24" t="n">
        <f aca="false">IF(C102=0,0,100*ABS(D102-C102)/ABS(C102))</f>
        <v>0.000651822143613099</v>
      </c>
      <c r="G102" s="24" t="n">
        <f aca="false">IF(C102=0,0,100*ABS(E102-C102)/ABS(C102))</f>
        <v>0.000651826757489308</v>
      </c>
      <c r="H102" s="24" t="n">
        <f aca="false">D102-C102</f>
        <v>1.62616033572149E-005</v>
      </c>
      <c r="I102" s="24" t="n">
        <f aca="false">E102-C102</f>
        <v>1.62617184638059E-005</v>
      </c>
    </row>
    <row r="103" customFormat="false" ht="15" hidden="false" customHeight="false" outlineLevel="0" collapsed="false">
      <c r="A103" s="25" t="n">
        <v>9</v>
      </c>
      <c r="B103" s="38" t="n">
        <v>288</v>
      </c>
      <c r="C103" s="34" t="n">
        <f aca="false">(P2_a*0*COS(RADIANS($B103))-P2_a*P2_w2sim^2*SIN(RADIANS($B103))+P2_b*(P2_a*P2_w2sim*COS(RADIANS($B103))/(P2_b*COS(RADIANS(180-DEGREES(ASIN((P2_a*SIN(RADIANS($B103))-P2_c)/P2_b))))))^2*SIN(RADIANS(180-DEGREES(ASIN((P2_a*SIN(RADIANS($B103))-P2_c)/P2_b)))))/(P2_b*COS(RADIANS(180-DEGREES(ASIN((P2_a*SIN(RADIANS($B103))-P2_c)/P2_b)))))</f>
        <v>-2.49479148822341</v>
      </c>
      <c r="D103" s="39" t="n">
        <v>-2.4947752266776</v>
      </c>
      <c r="E103" s="39" t="n">
        <v>-2.49477522662005</v>
      </c>
      <c r="F103" s="24" t="n">
        <f aca="false">IF(C103=0,0,100*ABS(D103-C103)/ABS(C103))</f>
        <v>0.000651819836648294</v>
      </c>
      <c r="G103" s="24" t="n">
        <f aca="false">IF(C103=0,0,100*ABS(E103-C103)/ABS(C103))</f>
        <v>0.000651822143577498</v>
      </c>
      <c r="H103" s="24" t="n">
        <f aca="false">D103-C103</f>
        <v>1.62615458032533E-005</v>
      </c>
      <c r="I103" s="24" t="n">
        <f aca="false">E103-C103</f>
        <v>1.62616033563268E-005</v>
      </c>
    </row>
    <row r="104" customFormat="false" ht="15" hidden="false" customHeight="false" outlineLevel="0" collapsed="false">
      <c r="A104" s="25" t="n">
        <v>10</v>
      </c>
      <c r="B104" s="38" t="n">
        <v>324</v>
      </c>
      <c r="C104" s="34" t="n">
        <f aca="false">(P2_a*0*COS(RADIANS($B104))-P2_a*P2_w2sim^2*SIN(RADIANS($B104))+P2_b*(P2_a*P2_w2sim*COS(RADIANS($B104))/(P2_b*COS(RADIANS(180-DEGREES(ASIN((P2_a*SIN(RADIANS($B104))-P2_c)/P2_b))))))^2*SIN(RADIANS(180-DEGREES(ASIN((P2_a*SIN(RADIANS($B104))-P2_c)/P2_b)))))/(P2_b*COS(RADIANS(180-DEGREES(ASIN((P2_a*SIN(RADIANS($B104))-P2_c)/P2_b)))))</f>
        <v>-1.53624381302659</v>
      </c>
      <c r="D104" s="39" t="n">
        <v>-1.536236771598</v>
      </c>
      <c r="E104" s="39" t="n">
        <v>-1.53623677194332</v>
      </c>
      <c r="F104" s="24" t="n">
        <f aca="false">IF(C104=0,0,100*ABS(D104-C104)/ABS(C104))</f>
        <v>0.000458353585142352</v>
      </c>
      <c r="G104" s="24" t="n">
        <f aca="false">IF(C104=0,0,100*ABS(E104-C104)/ABS(C104))</f>
        <v>0.000458331106679709</v>
      </c>
      <c r="H104" s="24" t="n">
        <f aca="false">D104-C104</f>
        <v>7.04142859353496E-006</v>
      </c>
      <c r="I104" s="24" t="n">
        <f aca="false">E104-C104</f>
        <v>7.04108326954334E-006</v>
      </c>
    </row>
    <row r="107" customFormat="false" ht="15" hidden="false" customHeight="false" outlineLevel="0" collapsed="false">
      <c r="A107" s="37" t="s">
        <v>306</v>
      </c>
      <c r="B107" s="37"/>
      <c r="C107" s="37"/>
      <c r="D107" s="37"/>
      <c r="E107" s="37"/>
      <c r="F107" s="37"/>
      <c r="G107" s="37"/>
      <c r="H107" s="37"/>
      <c r="I107" s="37"/>
    </row>
    <row r="108" customFormat="false" ht="15" hidden="false" customHeight="false" outlineLevel="0" collapsed="false">
      <c r="A108" s="11" t="s">
        <v>242</v>
      </c>
      <c r="B108" s="11" t="s">
        <v>243</v>
      </c>
      <c r="C108" s="11" t="s">
        <v>295</v>
      </c>
      <c r="D108" s="11" t="s">
        <v>296</v>
      </c>
      <c r="E108" s="11" t="s">
        <v>297</v>
      </c>
      <c r="F108" s="11" t="s">
        <v>298</v>
      </c>
      <c r="G108" s="11" t="s">
        <v>299</v>
      </c>
      <c r="H108" s="11" t="s">
        <v>300</v>
      </c>
      <c r="I108" s="11" t="s">
        <v>301</v>
      </c>
    </row>
    <row r="109" customFormat="false" ht="15" hidden="false" customHeight="false" outlineLevel="0" collapsed="false">
      <c r="A109" s="25" t="n">
        <v>1</v>
      </c>
      <c r="B109" s="38" t="n">
        <v>0</v>
      </c>
      <c r="C109" s="18" t="n">
        <f aca="false">-P2_a*0*SIN(RADIANS($B109))-P2_a*P2_w2sim^2*COS(RADIANS($B109))+P2_b*((P2_a*0*COS(RADIANS($B109))-P2_a*P2_w2sim^2*SIN(RADIANS($B109))+P2_b*(P2_a*P2_w2sim*COS(RADIANS($B109))/(P2_b*COS(RADIANS(180-DEGREES(ASIN((P2_a*SIN(RADIANS($B109))-P2_c)/P2_b))))))^2*SIN(RADIANS(180-DEGREES(ASIN((P2_a*SIN(RADIANS($B109))-P2_c)/P2_b)))))/(P2_b*COS(RADIANS(180-DEGREES(ASIN((P2_a*SIN(RADIANS($B109))-P2_c)/P2_b))))))*SIN(RADIANS((180-DEGREES(ASIN((P2_a*SIN(RADIANS($B109))-P2_c)/P2_b)))))+P2_b*(P2_a*P2_w2sim*COS(RADIANS($B109))/(P2_b*COS(RADIANS(180-DEGREES(ASIN((P2_a*SIN(RADIANS($B109))-P2_c)/P2_b))))))^2*COS(RADIANS((180-DEGREES(ASIN((P2_a*SIN(RADIANS($B109))-P2_c)/P2_b)))))</f>
        <v>-440.27609622758</v>
      </c>
      <c r="D109" s="32" t="n">
        <v>-440.271641742538</v>
      </c>
      <c r="E109" s="32" t="n">
        <v>-440.271641668869</v>
      </c>
      <c r="F109" s="24" t="n">
        <f aca="false">IF(C109=0,0,100*ABS(D109-C109)/ABS(C109))</f>
        <v>0.00101174810078128</v>
      </c>
      <c r="G109" s="24" t="n">
        <f aca="false">IF(C109=0,0,100*ABS(E109-C109)/ABS(C109))</f>
        <v>0.00101176483323953</v>
      </c>
      <c r="H109" s="24" t="n">
        <f aca="false">D109-C109</f>
        <v>0.00445448504177648</v>
      </c>
      <c r="I109" s="24" t="n">
        <f aca="false">E109-C109</f>
        <v>0.00445455871079048</v>
      </c>
    </row>
    <row r="110" customFormat="false" ht="15" hidden="false" customHeight="false" outlineLevel="0" collapsed="false">
      <c r="A110" s="25" t="n">
        <v>2</v>
      </c>
      <c r="B110" s="38" t="n">
        <v>36</v>
      </c>
      <c r="C110" s="18" t="n">
        <f aca="false">-P2_a*0*SIN(RADIANS($B110))-P2_a*P2_w2sim^2*COS(RADIANS($B110))+P2_b*((P2_a*0*COS(RADIANS($B110))-P2_a*P2_w2sim^2*SIN(RADIANS($B110))+P2_b*(P2_a*P2_w2sim*COS(RADIANS($B110))/(P2_b*COS(RADIANS(180-DEGREES(ASIN((P2_a*SIN(RADIANS($B110))-P2_c)/P2_b))))))^2*SIN(RADIANS(180-DEGREES(ASIN((P2_a*SIN(RADIANS($B110))-P2_c)/P2_b)))))/(P2_b*COS(RADIANS(180-DEGREES(ASIN((P2_a*SIN(RADIANS($B110))-P2_c)/P2_b))))))*SIN(RADIANS((180-DEGREES(ASIN((P2_a*SIN(RADIANS($B110))-P2_c)/P2_b)))))+P2_b*(P2_a*P2_w2sim*COS(RADIANS($B110))/(P2_b*COS(RADIANS(180-DEGREES(ASIN((P2_a*SIN(RADIANS($B110))-P2_c)/P2_b))))))^2*COS(RADIANS((180-DEGREES(ASIN((P2_a*SIN(RADIANS($B110))-P2_c)/P2_b)))))</f>
        <v>-283.451017943619</v>
      </c>
      <c r="D110" s="32" t="n">
        <v>-283.448275765477</v>
      </c>
      <c r="E110" s="32" t="n">
        <v>-283.448275724959</v>
      </c>
      <c r="F110" s="24" t="n">
        <f aca="false">IF(C110=0,0,100*ABS(D110-C110)/ABS(C110))</f>
        <v>0.000967425752037952</v>
      </c>
      <c r="G110" s="24" t="n">
        <f aca="false">IF(C110=0,0,100*ABS(E110-C110)/ABS(C110))</f>
        <v>0.000967440046567306</v>
      </c>
      <c r="H110" s="24" t="n">
        <f aca="false">D110-C110</f>
        <v>0.00274217814200028</v>
      </c>
      <c r="I110" s="24" t="n">
        <f aca="false">E110-C110</f>
        <v>0.00274221865998925</v>
      </c>
    </row>
    <row r="111" customFormat="false" ht="15" hidden="false" customHeight="false" outlineLevel="0" collapsed="false">
      <c r="A111" s="25" t="n">
        <v>3</v>
      </c>
      <c r="B111" s="38" t="n">
        <v>72</v>
      </c>
      <c r="C111" s="18" t="n">
        <f aca="false">-P2_a*0*SIN(RADIANS($B111))-P2_a*P2_w2sim^2*COS(RADIANS($B111))+P2_b*((P2_a*0*COS(RADIANS($B111))-P2_a*P2_w2sim^2*SIN(RADIANS($B111))+P2_b*(P2_a*P2_w2sim*COS(RADIANS($B111))/(P2_b*COS(RADIANS(180-DEGREES(ASIN((P2_a*SIN(RADIANS($B111))-P2_c)/P2_b))))))^2*SIN(RADIANS(180-DEGREES(ASIN((P2_a*SIN(RADIANS($B111))-P2_c)/P2_b)))))/(P2_b*COS(RADIANS(180-DEGREES(ASIN((P2_a*SIN(RADIANS($B111))-P2_c)/P2_b))))))*SIN(RADIANS((180-DEGREES(ASIN((P2_a*SIN(RADIANS($B111))-P2_c)/P2_b)))))+P2_b*(P2_a*P2_w2sim*COS(RADIANS($B111))/(P2_b*COS(RADIANS(180-DEGREES(ASIN((P2_a*SIN(RADIANS($B111))-P2_c)/P2_b))))))^2*COS(RADIANS((180-DEGREES(ASIN((P2_a*SIN(RADIANS($B111))-P2_c)/P2_b)))))</f>
        <v>26.7936008999419</v>
      </c>
      <c r="D111" s="32" t="n">
        <v>26.7917439109169</v>
      </c>
      <c r="E111" s="32" t="n">
        <v>26.7917438335644</v>
      </c>
      <c r="F111" s="24" t="n">
        <f aca="false">IF(C111=0,0,100*ABS(D111-C111)/ABS(C111))</f>
        <v>0.00693071839014549</v>
      </c>
      <c r="G111" s="24" t="n">
        <f aca="false">IF(C111=0,0,100*ABS(E111-C111)/ABS(C111))</f>
        <v>0.00693100708788762</v>
      </c>
      <c r="H111" s="24" t="n">
        <f aca="false">D111-C111</f>
        <v>-0.00185698902495446</v>
      </c>
      <c r="I111" s="24" t="n">
        <f aca="false">E111-C111</f>
        <v>-0.00185706637747529</v>
      </c>
    </row>
    <row r="112" customFormat="false" ht="15" hidden="false" customHeight="false" outlineLevel="0" collapsed="false">
      <c r="A112" s="25" t="n">
        <v>4</v>
      </c>
      <c r="B112" s="38" t="n">
        <v>108</v>
      </c>
      <c r="C112" s="18" t="n">
        <f aca="false">-P2_a*0*SIN(RADIANS($B112))-P2_a*P2_w2sim^2*COS(RADIANS($B112))+P2_b*((P2_a*0*COS(RADIANS($B112))-P2_a*P2_w2sim^2*SIN(RADIANS($B112))+P2_b*(P2_a*P2_w2sim*COS(RADIANS($B112))/(P2_b*COS(RADIANS(180-DEGREES(ASIN((P2_a*SIN(RADIANS($B112))-P2_c)/P2_b))))))^2*SIN(RADIANS(180-DEGREES(ASIN((P2_a*SIN(RADIANS($B112))-P2_c)/P2_b)))))/(P2_b*COS(RADIANS(180-DEGREES(ASIN((P2_a*SIN(RADIANS($B112))-P2_c)/P2_b))))))*SIN(RADIANS((180-DEGREES(ASIN((P2_a*SIN(RADIANS($B112))-P2_c)/P2_b)))))+P2_b*(P2_a*P2_w2sim*COS(RADIANS($B112))/(P2_b*COS(RADIANS(180-DEGREES(ASIN((P2_a*SIN(RADIANS($B112))-P2_c)/P2_b))))))^2*COS(RADIANS((180-DEGREES(ASIN((P2_a*SIN(RADIANS($B112))-P2_c)/P2_b)))))</f>
        <v>240.284885038549</v>
      </c>
      <c r="D112" s="32" t="n">
        <v>240.281673195295</v>
      </c>
      <c r="E112" s="32" t="n">
        <v>240.28167312531</v>
      </c>
      <c r="F112" s="24" t="n">
        <f aca="false">IF(C112=0,0,100*ABS(D112-C112)/ABS(C112))</f>
        <v>0.00133668135353209</v>
      </c>
      <c r="G112" s="24" t="n">
        <f aca="false">IF(C112=0,0,100*ABS(E112-C112)/ABS(C112))</f>
        <v>0.00133671047963267</v>
      </c>
      <c r="H112" s="24" t="n">
        <f aca="false">D112-C112</f>
        <v>-0.0032118432536663</v>
      </c>
      <c r="I112" s="24" t="n">
        <f aca="false">E112-C112</f>
        <v>-0.0032119132392836</v>
      </c>
    </row>
    <row r="113" customFormat="false" ht="15" hidden="false" customHeight="false" outlineLevel="0" collapsed="false">
      <c r="A113" s="25" t="n">
        <v>5</v>
      </c>
      <c r="B113" s="38" t="n">
        <v>144</v>
      </c>
      <c r="C113" s="18" t="n">
        <f aca="false">-P2_a*0*SIN(RADIANS($B113))-P2_a*P2_w2sim^2*COS(RADIANS($B113))+P2_b*((P2_a*0*COS(RADIANS($B113))-P2_a*P2_w2sim^2*SIN(RADIANS($B113))+P2_b*(P2_a*P2_w2sim*COS(RADIANS($B113))/(P2_b*COS(RADIANS(180-DEGREES(ASIN((P2_a*SIN(RADIANS($B113))-P2_c)/P2_b))))))^2*SIN(RADIANS(180-DEGREES(ASIN((P2_a*SIN(RADIANS($B113))-P2_c)/P2_b)))))/(P2_b*COS(RADIANS(180-DEGREES(ASIN((P2_a*SIN(RADIANS($B113))-P2_c)/P2_b))))))*SIN(RADIANS((180-DEGREES(ASIN((P2_a*SIN(RADIANS($B113))-P2_c)/P2_b)))))+P2_b*(P2_a*P2_w2sim*COS(RADIANS($B113))/(P2_b*COS(RADIANS(180-DEGREES(ASIN((P2_a*SIN(RADIANS($B113))-P2_c)/P2_b))))))^2*COS(RADIANS((180-DEGREES(ASIN((P2_a*SIN(RADIANS($B113))-P2_c)/P2_b)))))</f>
        <v>275.476420233116</v>
      </c>
      <c r="D113" s="32" t="n">
        <v>275.475615347773</v>
      </c>
      <c r="E113" s="32" t="n">
        <v>275.475615310938</v>
      </c>
      <c r="F113" s="24" t="n">
        <f aca="false">IF(C113=0,0,100*ABS(D113-C113)/ABS(C113))</f>
        <v>0.000292179396741504</v>
      </c>
      <c r="G113" s="24" t="n">
        <f aca="false">IF(C113=0,0,100*ABS(E113-C113)/ABS(C113))</f>
        <v>0.000292192767973871</v>
      </c>
      <c r="H113" s="24" t="n">
        <f aca="false">D113-C113</f>
        <v>-0.000804885342802209</v>
      </c>
      <c r="I113" s="24" t="n">
        <f aca="false">E113-C113</f>
        <v>-0.000804922177394474</v>
      </c>
    </row>
    <row r="114" customFormat="false" ht="15" hidden="false" customHeight="false" outlineLevel="0" collapsed="false">
      <c r="A114" s="25" t="n">
        <v>6</v>
      </c>
      <c r="B114" s="38" t="n">
        <v>180</v>
      </c>
      <c r="C114" s="18" t="n">
        <f aca="false">-P2_a*0*SIN(RADIANS($B114))-P2_a*P2_w2sim^2*COS(RADIANS($B114))+P2_b*((P2_a*0*COS(RADIANS($B114))-P2_a*P2_w2sim^2*SIN(RADIANS($B114))+P2_b*(P2_a*P2_w2sim*COS(RADIANS($B114))/(P2_b*COS(RADIANS(180-DEGREES(ASIN((P2_a*SIN(RADIANS($B114))-P2_c)/P2_b))))))^2*SIN(RADIANS(180-DEGREES(ASIN((P2_a*SIN(RADIANS($B114))-P2_c)/P2_b)))))/(P2_b*COS(RADIANS(180-DEGREES(ASIN((P2_a*SIN(RADIANS($B114))-P2_c)/P2_b))))))*SIN(RADIANS((180-DEGREES(ASIN((P2_a*SIN(RADIANS($B114))-P2_c)/P2_b)))))+P2_b*(P2_a*P2_w2sim*COS(RADIANS($B114))/(P2_b*COS(RADIANS(180-DEGREES(ASIN((P2_a*SIN(RADIANS($B114))-P2_c)/P2_b))))))^2*COS(RADIANS((180-DEGREES(ASIN((P2_a*SIN(RADIANS($B114))-P2_c)/P2_b)))))</f>
        <v>250.596211848675</v>
      </c>
      <c r="D114" s="32" t="n">
        <v>250.596281933622</v>
      </c>
      <c r="E114" s="32" t="n">
        <v>250.596281992557</v>
      </c>
      <c r="F114" s="24" t="n">
        <f aca="false">IF(C114=0,0,100*ABS(D114-C114)/ABS(C114))</f>
        <v>2.79672809542444E-005</v>
      </c>
      <c r="G114" s="24" t="n">
        <f aca="false">IF(C114=0,0,100*ABS(E114-C114)/ABS(C114))</f>
        <v>2.79907989813773E-005</v>
      </c>
      <c r="H114" s="24" t="n">
        <f aca="false">D114-C114</f>
        <v>7.00849466284126E-005</v>
      </c>
      <c r="I114" s="24" t="n">
        <f aca="false">E114-C114</f>
        <v>7.01438819135092E-005</v>
      </c>
    </row>
    <row r="115" customFormat="false" ht="15" hidden="false" customHeight="false" outlineLevel="0" collapsed="false">
      <c r="A115" s="25" t="n">
        <v>7</v>
      </c>
      <c r="B115" s="38" t="n">
        <v>216</v>
      </c>
      <c r="C115" s="18" t="n">
        <f aca="false">-P2_a*0*SIN(RADIANS($B115))-P2_a*P2_w2sim^2*COS(RADIANS($B115))+P2_b*((P2_a*0*COS(RADIANS($B115))-P2_a*P2_w2sim^2*SIN(RADIANS($B115))+P2_b*(P2_a*P2_w2sim*COS(RADIANS($B115))/(P2_b*COS(RADIANS(180-DEGREES(ASIN((P2_a*SIN(RADIANS($B115))-P2_c)/P2_b))))))^2*SIN(RADIANS(180-DEGREES(ASIN((P2_a*SIN(RADIANS($B115))-P2_c)/P2_b)))))/(P2_b*COS(RADIANS(180-DEGREES(ASIN((P2_a*SIN(RADIANS($B115))-P2_c)/P2_b))))))*SIN(RADIANS((180-DEGREES(ASIN((P2_a*SIN(RADIANS($B115))-P2_c)/P2_b)))))+P2_b*(P2_a*P2_w2sim*COS(RADIANS($B115))/(P2_b*COS(RADIANS(180-DEGREES(ASIN((P2_a*SIN(RADIANS($B115))-P2_c)/P2_b))))))^2*COS(RADIANS((180-DEGREES(ASIN((P2_a*SIN(RADIANS($B115))-P2_c)/P2_b)))))</f>
        <v>220.394285840839</v>
      </c>
      <c r="D115" s="32" t="n">
        <v>220.393378153471</v>
      </c>
      <c r="E115" s="32" t="n">
        <v>220.393378203198</v>
      </c>
      <c r="F115" s="24" t="n">
        <f aca="false">IF(C115=0,0,100*ABS(D115-C115)/ABS(C115))</f>
        <v>0.000411847051321042</v>
      </c>
      <c r="G115" s="24" t="n">
        <f aca="false">IF(C115=0,0,100*ABS(E115-C115)/ABS(C115))</f>
        <v>0.000411824488708815</v>
      </c>
      <c r="H115" s="24" t="n">
        <f aca="false">D115-C115</f>
        <v>-0.000907687367515564</v>
      </c>
      <c r="I115" s="24" t="n">
        <f aca="false">E115-C115</f>
        <v>-0.000907637640807479</v>
      </c>
    </row>
    <row r="116" customFormat="false" ht="15" hidden="false" customHeight="false" outlineLevel="0" collapsed="false">
      <c r="A116" s="25" t="n">
        <v>8</v>
      </c>
      <c r="B116" s="38" t="n">
        <v>252</v>
      </c>
      <c r="C116" s="18" t="n">
        <f aca="false">-P2_a*0*SIN(RADIANS($B116))-P2_a*P2_w2sim^2*COS(RADIANS($B116))+P2_b*((P2_a*0*COS(RADIANS($B116))-P2_a*P2_w2sim^2*SIN(RADIANS($B116))+P2_b*(P2_a*P2_w2sim*COS(RADIANS($B116))/(P2_b*COS(RADIANS(180-DEGREES(ASIN((P2_a*SIN(RADIANS($B116))-P2_c)/P2_b))))))^2*SIN(RADIANS(180-DEGREES(ASIN((P2_a*SIN(RADIANS($B116))-P2_c)/P2_b)))))/(P2_b*COS(RADIANS(180-DEGREES(ASIN((P2_a*SIN(RADIANS($B116))-P2_c)/P2_b))))))*SIN(RADIANS((180-DEGREES(ASIN((P2_a*SIN(RADIANS($B116))-P2_c)/P2_b)))))+P2_b*(P2_a*P2_w2sim*COS(RADIANS($B116))/(P2_b*COS(RADIANS(180-DEGREES(ASIN((P2_a*SIN(RADIANS($B116))-P2_c)/P2_b))))))^2*COS(RADIANS((180-DEGREES(ASIN((P2_a*SIN(RADIANS($B116))-P2_c)/P2_b)))))</f>
        <v>131.102886788871</v>
      </c>
      <c r="D116" s="32" t="n">
        <v>131.100647125186</v>
      </c>
      <c r="E116" s="32" t="n">
        <v>131.10064710861</v>
      </c>
      <c r="F116" s="24" t="n">
        <f aca="false">IF(C116=0,0,100*ABS(D116-C116)/ABS(C116))</f>
        <v>0.00170832522460699</v>
      </c>
      <c r="G116" s="24" t="n">
        <f aca="false">IF(C116=0,0,100*ABS(E116-C116)/ABS(C116))</f>
        <v>0.00170833786774013</v>
      </c>
      <c r="H116" s="24" t="n">
        <f aca="false">D116-C116</f>
        <v>-0.00223966368520223</v>
      </c>
      <c r="I116" s="24" t="n">
        <f aca="false">E116-C116</f>
        <v>-0.00223968026071475</v>
      </c>
    </row>
    <row r="117" customFormat="false" ht="15" hidden="false" customHeight="false" outlineLevel="0" collapsed="false">
      <c r="A117" s="25" t="n">
        <v>9</v>
      </c>
      <c r="B117" s="38" t="n">
        <v>288</v>
      </c>
      <c r="C117" s="18" t="n">
        <f aca="false">-P2_a*0*SIN(RADIANS($B117))-P2_a*P2_w2sim^2*COS(RADIANS($B117))+P2_b*((P2_a*0*COS(RADIANS($B117))-P2_a*P2_w2sim^2*SIN(RADIANS($B117))+P2_b*(P2_a*P2_w2sim*COS(RADIANS($B117))/(P2_b*COS(RADIANS(180-DEGREES(ASIN((P2_a*SIN(RADIANS($B117))-P2_c)/P2_b))))))^2*SIN(RADIANS(180-DEGREES(ASIN((P2_a*SIN(RADIANS($B117))-P2_c)/P2_b)))))/(P2_b*COS(RADIANS(180-DEGREES(ASIN((P2_a*SIN(RADIANS($B117))-P2_c)/P2_b))))))*SIN(RADIANS((180-DEGREES(ASIN((P2_a*SIN(RADIANS($B117))-P2_c)/P2_b)))))+P2_b*(P2_a*P2_w2sim*COS(RADIANS($B117))/(P2_b*COS(RADIANS(180-DEGREES(ASIN((P2_a*SIN(RADIANS($B117))-P2_c)/P2_b))))))^2*COS(RADIANS((180-DEGREES(ASIN((P2_a*SIN(RADIANS($B117))-P2_c)/P2_b)))))</f>
        <v>-82.3883973497361</v>
      </c>
      <c r="D117" s="32" t="n">
        <v>-82.3892821591926</v>
      </c>
      <c r="E117" s="32" t="n">
        <v>-82.3892821334084</v>
      </c>
      <c r="F117" s="24" t="n">
        <f aca="false">IF(C117=0,0,100*ABS(D117-C117)/ABS(C117))</f>
        <v>0.00107394910564646</v>
      </c>
      <c r="G117" s="24" t="n">
        <f aca="false">IF(C117=0,0,100*ABS(E117-C117)/ABS(C117))</f>
        <v>0.0010739178097827</v>
      </c>
      <c r="H117" s="24" t="n">
        <f aca="false">D117-C117</f>
        <v>-0.00088480945649394</v>
      </c>
      <c r="I117" s="24" t="n">
        <f aca="false">E117-C117</f>
        <v>-0.000884783672333356</v>
      </c>
    </row>
    <row r="118" customFormat="false" ht="15" hidden="false" customHeight="false" outlineLevel="0" collapsed="false">
      <c r="A118" s="25" t="n">
        <v>10</v>
      </c>
      <c r="B118" s="38" t="n">
        <v>324</v>
      </c>
      <c r="C118" s="18" t="n">
        <f aca="false">-P2_a*0*SIN(RADIANS($B118))-P2_a*P2_w2sim^2*COS(RADIANS($B118))+P2_b*((P2_a*0*COS(RADIANS($B118))-P2_a*P2_w2sim^2*SIN(RADIANS($B118))+P2_b*(P2_a*P2_w2sim*COS(RADIANS($B118))/(P2_b*COS(RADIANS(180-DEGREES(ASIN((P2_a*SIN(RADIANS($B118))-P2_c)/P2_b))))))^2*SIN(RADIANS(180-DEGREES(ASIN((P2_a*SIN(RADIANS($B118))-P2_c)/P2_b)))))/(P2_b*COS(RADIANS(180-DEGREES(ASIN((P2_a*SIN(RADIANS($B118))-P2_c)/P2_b))))))*SIN(RADIANS((180-DEGREES(ASIN((P2_a*SIN(RADIANS($B118))-P2_c)/P2_b)))))+P2_b*(P2_a*P2_w2sim*COS(RADIANS($B118))/(P2_b*COS(RADIANS(180-DEGREES(ASIN((P2_a*SIN(RADIANS($B118))-P2_c)/P2_b))))))^2*COS(RADIANS((180-DEGREES(ASIN((P2_a*SIN(RADIANS($B118))-P2_c)/P2_b)))))</f>
        <v>-338.533152335895</v>
      </c>
      <c r="D118" s="32" t="n">
        <v>-338.530512967145</v>
      </c>
      <c r="E118" s="32" t="n">
        <v>-338.530512897159</v>
      </c>
      <c r="F118" s="24" t="n">
        <f aca="false">IF(C118=0,0,100*ABS(D118-C118)/ABS(C118))</f>
        <v>0.000779648531426545</v>
      </c>
      <c r="G118" s="24" t="n">
        <f aca="false">IF(C118=0,0,100*ABS(E118-C118)/ABS(C118))</f>
        <v>0.000779669204587543</v>
      </c>
      <c r="H118" s="24" t="n">
        <f aca="false">D118-C118</f>
        <v>0.0026393687505788</v>
      </c>
      <c r="I118" s="24" t="n">
        <f aca="false">E118-C118</f>
        <v>0.00263943873608241</v>
      </c>
    </row>
  </sheetData>
  <mergeCells count="14">
    <mergeCell ref="A1:I1"/>
    <mergeCell ref="A2:I2"/>
    <mergeCell ref="A4:I4"/>
    <mergeCell ref="A8:I8"/>
    <mergeCell ref="A20:H20"/>
    <mergeCell ref="A32:H32"/>
    <mergeCell ref="A33:I33"/>
    <mergeCell ref="A35:I35"/>
    <mergeCell ref="A37:I37"/>
    <mergeCell ref="A51:I51"/>
    <mergeCell ref="A65:I65"/>
    <mergeCell ref="A79:I79"/>
    <mergeCell ref="A93:I93"/>
    <mergeCell ref="A107:I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788"/>
    <pageSetUpPr fitToPage="false"/>
  </sheetPr>
  <dimension ref="A1:T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25.5" hidden="false" customHeight="true" outlineLevel="0" collapsed="false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7.75" hidden="false" customHeight="true" outlineLevel="0" collapsed="false">
      <c r="A2" s="2" t="s">
        <v>308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58" customFormat="false" ht="15" hidden="false" customHeight="false" outlineLevel="0" collapsed="false">
      <c r="A58" s="15" t="s">
        <v>309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788"/>
    <pageSetUpPr fitToPage="false"/>
  </sheetPr>
  <dimension ref="A1:M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25.5" hidden="false" customHeight="true" outlineLevel="0" collapsed="false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311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5.05" hidden="false" customHeight="false" outlineLevel="0" collapsed="false">
      <c r="A5" s="11" t="s">
        <v>243</v>
      </c>
      <c r="B5" s="11" t="s">
        <v>244</v>
      </c>
      <c r="C5" s="11" t="s">
        <v>245</v>
      </c>
      <c r="D5" s="11" t="s">
        <v>246</v>
      </c>
      <c r="E5" s="11" t="s">
        <v>247</v>
      </c>
      <c r="F5" s="11" t="s">
        <v>248</v>
      </c>
      <c r="G5" s="11" t="s">
        <v>249</v>
      </c>
      <c r="H5" s="11" t="s">
        <v>250</v>
      </c>
      <c r="I5" s="40" t="s">
        <v>312</v>
      </c>
    </row>
    <row r="6" customFormat="false" ht="15" hidden="false" customHeight="false" outlineLevel="0" collapsed="false">
      <c r="A6" s="41" t="n">
        <v>0</v>
      </c>
      <c r="B6" s="42" t="n">
        <f aca="false">180-DEGREES(ASIN((P2_a*SIN(RADIANS($A6))-P2_c)/P2_b))</f>
        <v>171.285257981382</v>
      </c>
      <c r="C6" s="42" t="n">
        <f aca="false">P2_a*COS(RADIANS($A6))-P2_b*COS(RADIANS(B6))</f>
        <v>165.476051442401</v>
      </c>
      <c r="D6" s="43" t="n">
        <f aca="false">90-DEGREES(ASIN(ABS((P2_a*SIN(RADIANS($A6))-P2_c)/P2_b)))</f>
        <v>81.2852579813819</v>
      </c>
      <c r="E6" s="44" t="n">
        <f aca="false">P2_a*P2_w2*COS(RADIANS($A6))/(P2_b*COS(RADIANS(B6)))</f>
        <v>-0.842727394491879</v>
      </c>
      <c r="F6" s="42" t="n">
        <f aca="false">-P2_a*P2_w2*SIN(RADIANS($A6))+P2_b*E6*SIN(RADIANS(B6))</f>
        <v>-16.8545478898376</v>
      </c>
      <c r="G6" s="44" t="n">
        <f aca="false">(P2_a*P2_al2*COS(RADIANS($A6))-P2_a*P2_w2^2*SIN(RADIANS($A6))+P2_b*E6^2*SIN(RADIANS(B6)))/(P2_b*COS(RADIANS(B6)))</f>
        <v>-0.108861274322145</v>
      </c>
      <c r="H6" s="42" t="n">
        <f aca="false">-P2_a*P2_al2*SIN(RADIANS($A6))-P2_a*P2_w2^2*COS(RADIANS($A6))+P2_b*G6*SIN(RADIANS(B6))+P2_b*E6^2*COS(RADIANS(B6))</f>
        <v>-440.27609622758</v>
      </c>
      <c r="I6" s="45" t="n">
        <v>45</v>
      </c>
    </row>
    <row r="7" customFormat="false" ht="15" hidden="false" customHeight="false" outlineLevel="0" collapsed="false">
      <c r="A7" s="41" t="n">
        <v>0.5</v>
      </c>
      <c r="B7" s="42" t="n">
        <f aca="false">180-DEGREES(ASIN((P2_a*SIN(RADIANS($A7))-P2_c)/P2_b))</f>
        <v>171.151111258977</v>
      </c>
      <c r="C7" s="42" t="n">
        <f aca="false">P2_a*COS(RADIANS($A7))-P2_b*COS(RADIANS(B7))</f>
        <v>165.427535137898</v>
      </c>
      <c r="D7" s="43" t="n">
        <f aca="false">90-DEGREES(ASIN(ABS((P2_a*SIN(RADIANS($A7))-P2_c)/P2_b)))</f>
        <v>81.1511112589767</v>
      </c>
      <c r="E7" s="44" t="n">
        <f aca="false">P2_a*P2_w2*COS(RADIANS($A7))/(P2_b*COS(RADIANS(B7)))</f>
        <v>-0.843000157301358</v>
      </c>
      <c r="F7" s="42" t="n">
        <f aca="false">-P2_a*P2_w2*SIN(RADIANS($A7))+P2_b*E7*SIN(RADIANS(B7))</f>
        <v>-18.0770123174055</v>
      </c>
      <c r="G7" s="44" t="n">
        <f aca="false">(P2_a*P2_al2*COS(RADIANS($A7))-P2_a*P2_w2^2*SIN(RADIANS($A7))+P2_b*E7^2*SIN(RADIANS(B7)))/(P2_b*COS(RADIANS(B7)))</f>
        <v>-0.0875233937457777</v>
      </c>
      <c r="H7" s="42" t="n">
        <f aca="false">-P2_a*P2_al2*SIN(RADIANS($A7))-P2_a*P2_w2^2*COS(RADIANS($A7))+P2_b*G7*SIN(RADIANS(B7))+P2_b*E7^2*COS(RADIANS(B7))</f>
        <v>-439.889380008899</v>
      </c>
      <c r="I7" s="45" t="n">
        <v>45</v>
      </c>
    </row>
    <row r="8" customFormat="false" ht="15" hidden="false" customHeight="false" outlineLevel="0" collapsed="false">
      <c r="A8" s="41" t="n">
        <v>1</v>
      </c>
      <c r="B8" s="42" t="n">
        <f aca="false">180-DEGREES(ASIN((P2_a*SIN(RADIANS($A8))-P2_c)/P2_b))</f>
        <v>171.016925843733</v>
      </c>
      <c r="C8" s="42" t="n">
        <f aca="false">P2_a*COS(RADIANS($A8))-P2_b*COS(RADIANS(B8))</f>
        <v>165.375624659605</v>
      </c>
      <c r="D8" s="43" t="n">
        <f aca="false">90-DEGREES(ASIN(ABS((P2_a*SIN(RADIANS($A8))-P2_c)/P2_b)))</f>
        <v>81.0169258437335</v>
      </c>
      <c r="E8" s="44" t="n">
        <f aca="false">P2_a*P2_w2*COS(RADIANS($A8))/(P2_b*COS(RADIANS(B8)))</f>
        <v>-0.843213610499263</v>
      </c>
      <c r="F8" s="42" t="n">
        <f aca="false">-P2_a*P2_w2*SIN(RADIANS($A8))+P2_b*E8*SIN(RADIANS(B8))</f>
        <v>-19.2983282573003</v>
      </c>
      <c r="G8" s="44" t="n">
        <f aca="false">(P2_a*P2_al2*COS(RADIANS($A8))-P2_a*P2_w2^2*SIN(RADIANS($A8))+P2_b*E8^2*SIN(RADIANS(B8)))/(P2_b*COS(RADIANS(B8)))</f>
        <v>-0.0661584387688569</v>
      </c>
      <c r="H8" s="42" t="n">
        <f aca="false">-P2_a*P2_al2*SIN(RADIANS($A8))-P2_a*P2_w2^2*COS(RADIANS($A8))+P2_b*G8*SIN(RADIANS(B8))+P2_b*E8^2*COS(RADIANS(B8))</f>
        <v>-439.449180874945</v>
      </c>
      <c r="I8" s="45" t="n">
        <v>45</v>
      </c>
    </row>
    <row r="9" customFormat="false" ht="15" hidden="false" customHeight="false" outlineLevel="0" collapsed="false">
      <c r="A9" s="41" t="n">
        <v>1.5</v>
      </c>
      <c r="B9" s="42" t="n">
        <f aca="false">180-DEGREES(ASIN((P2_a*SIN(RADIANS($A9))-P2_c)/P2_b))</f>
        <v>170.882711181017</v>
      </c>
      <c r="C9" s="42" t="n">
        <f aca="false">P2_a*COS(RADIANS($A9))-P2_b*COS(RADIANS(B9))</f>
        <v>165.320323404136</v>
      </c>
      <c r="D9" s="43" t="n">
        <f aca="false">90-DEGREES(ASIN(ABS((P2_a*SIN(RADIANS($A9))-P2_c)/P2_b)))</f>
        <v>80.8827111810174</v>
      </c>
      <c r="E9" s="44" t="n">
        <f aca="false">P2_a*P2_w2*COS(RADIANS($A9))/(P2_b*COS(RADIANS(B9)))</f>
        <v>-0.843367679586879</v>
      </c>
      <c r="F9" s="42" t="n">
        <f aca="false">-P2_a*P2_w2*SIN(RADIANS($A9))+P2_b*E9*SIN(RADIANS(B9))</f>
        <v>-20.5183471145048</v>
      </c>
      <c r="G9" s="44" t="n">
        <f aca="false">(P2_a*P2_al2*COS(RADIANS($A9))-P2_a*P2_w2^2*SIN(RADIANS($A9))+P2_b*E9^2*SIN(RADIANS(B9)))/(P2_b*COS(RADIANS(B9)))</f>
        <v>-0.0447669196592749</v>
      </c>
      <c r="H9" s="42" t="n">
        <f aca="false">-P2_a*P2_al2*SIN(RADIANS($A9))-P2_a*P2_w2^2*COS(RADIANS($A9))+P2_b*G9*SIN(RADIANS(B9))+P2_b*E9^2*COS(RADIANS(B9))</f>
        <v>-438.955477637962</v>
      </c>
      <c r="I9" s="45" t="n">
        <v>45</v>
      </c>
    </row>
    <row r="10" customFormat="false" ht="15" hidden="false" customHeight="false" outlineLevel="0" collapsed="false">
      <c r="A10" s="41" t="n">
        <v>2</v>
      </c>
      <c r="B10" s="42" t="n">
        <f aca="false">180-DEGREES(ASIN((P2_a*SIN(RADIANS($A10))-P2_c)/P2_b))</f>
        <v>170.748476727937</v>
      </c>
      <c r="C10" s="42" t="n">
        <f aca="false">P2_a*COS(RADIANS($A10))-P2_b*COS(RADIANS(B10))</f>
        <v>165.261635180936</v>
      </c>
      <c r="D10" s="43" t="n">
        <f aca="false">90-DEGREES(ASIN(ABS((P2_a*SIN(RADIANS($A10))-P2_c)/P2_b)))</f>
        <v>80.7484767279374</v>
      </c>
      <c r="E10" s="44" t="n">
        <f aca="false">P2_a*P2_w2*COS(RADIANS($A10))/(P2_b*COS(RADIANS(B10)))</f>
        <v>-0.843462291487678</v>
      </c>
      <c r="F10" s="42" t="n">
        <f aca="false">-P2_a*P2_w2*SIN(RADIANS($A10))+P2_b*E10*SIN(RADIANS(B10))</f>
        <v>-21.7369202467792</v>
      </c>
      <c r="G10" s="44" t="n">
        <f aca="false">(P2_a*P2_al2*COS(RADIANS($A10))-P2_a*P2_w2^2*SIN(RADIANS($A10))+P2_b*E10^2*SIN(RADIANS(B10)))/(P2_b*COS(RADIANS(B10)))</f>
        <v>-0.0233493502185</v>
      </c>
      <c r="H10" s="42" t="n">
        <f aca="false">-P2_a*P2_al2*SIN(RADIANS($A10))-P2_a*P2_w2^2*COS(RADIANS($A10))+P2_b*G10*SIN(RADIANS(B10))+P2_b*E10^2*COS(RADIANS(B10))</f>
        <v>-438.40825749066</v>
      </c>
      <c r="I10" s="45" t="n">
        <v>45</v>
      </c>
    </row>
    <row r="11" customFormat="false" ht="15" hidden="false" customHeight="false" outlineLevel="0" collapsed="false">
      <c r="A11" s="41" t="n">
        <v>2.5</v>
      </c>
      <c r="B11" s="42" t="n">
        <f aca="false">180-DEGREES(ASIN((P2_a*SIN(RADIANS($A11))-P2_c)/P2_b))</f>
        <v>170.614231953119</v>
      </c>
      <c r="C11" s="42" t="n">
        <f aca="false">P2_a*COS(RADIANS($A11))-P2_b*COS(RADIANS(B11))</f>
        <v>165.199564212386</v>
      </c>
      <c r="D11" s="43" t="n">
        <f aca="false">90-DEGREES(ASIN(ABS((P2_a*SIN(RADIANS($A11))-P2_c)/P2_b)))</f>
        <v>80.6142319531188</v>
      </c>
      <c r="E11" s="44" t="n">
        <f aca="false">P2_a*P2_w2*COS(RADIANS($A11))/(P2_b*COS(RADIANS(B11)))</f>
        <v>-0.843497374557917</v>
      </c>
      <c r="F11" s="42" t="n">
        <f aca="false">-P2_a*P2_w2*SIN(RADIANS($A11))+P2_b*E11*SIN(RADIANS(B11))</f>
        <v>-22.9538989879813</v>
      </c>
      <c r="G11" s="44" t="n">
        <f aca="false">(P2_a*P2_al2*COS(RADIANS($A11))-P2_a*P2_w2^2*SIN(RADIANS($A11))+P2_b*E11^2*SIN(RADIANS(B11)))/(P2_b*COS(RADIANS(B11)))</f>
        <v>-0.00190624834349108</v>
      </c>
      <c r="H11" s="42" t="n">
        <f aca="false">-P2_a*P2_al2*SIN(RADIANS($A11))-P2_a*P2_w2^2*COS(RADIANS($A11))+P2_b*G11*SIN(RADIANS(B11))+P2_b*E11^2*COS(RADIANS(B11))</f>
        <v>-437.807516035344</v>
      </c>
      <c r="I11" s="45" t="n">
        <v>45</v>
      </c>
    </row>
    <row r="12" customFormat="false" ht="15" hidden="false" customHeight="false" outlineLevel="0" collapsed="false">
      <c r="A12" s="41" t="n">
        <v>3</v>
      </c>
      <c r="B12" s="42" t="n">
        <f aca="false">180-DEGREES(ASIN((P2_a*SIN(RADIANS($A12))-P2_c)/P2_b))</f>
        <v>170.479986336475</v>
      </c>
      <c r="C12" s="42" t="n">
        <f aca="false">P2_a*COS(RADIANS($A12))-P2_b*COS(RADIANS(B12))</f>
        <v>165.134115133835</v>
      </c>
      <c r="D12" s="43" t="n">
        <f aca="false">90-DEGREES(ASIN(ABS((P2_a*SIN(RADIANS($A12))-P2_c)/P2_b)))</f>
        <v>80.4799863364748</v>
      </c>
      <c r="E12" s="44" t="n">
        <f aca="false">P2_a*P2_w2*COS(RADIANS($A12))/(P2_b*COS(RADIANS(B12)))</f>
        <v>-0.843472858598799</v>
      </c>
      <c r="F12" s="42" t="n">
        <f aca="false">-P2_a*P2_w2*SIN(RADIANS($A12))+P2_b*E12*SIN(RADIANS(B12))</f>
        <v>-24.1691346714668</v>
      </c>
      <c r="G12" s="44" t="n">
        <f aca="false">(P2_a*P2_al2*COS(RADIANS($A12))-P2_a*P2_w2^2*SIN(RADIANS($A12))+P2_b*E12^2*SIN(RADIANS(B12)))/(P2_b*COS(RADIANS(B12)))</f>
        <v>0.0195618634073611</v>
      </c>
      <c r="H12" s="42" t="n">
        <f aca="false">-P2_a*P2_al2*SIN(RADIANS($A12))-P2_a*P2_w2^2*COS(RADIANS($A12))+P2_b*G12*SIN(RADIANS(B12))+P2_b*E12^2*COS(RADIANS(B12))</f>
        <v>-437.153257312909</v>
      </c>
      <c r="I12" s="45" t="n">
        <v>45</v>
      </c>
    </row>
    <row r="13" customFormat="false" ht="15" hidden="false" customHeight="false" outlineLevel="0" collapsed="false">
      <c r="A13" s="41" t="n">
        <v>3.5</v>
      </c>
      <c r="B13" s="42" t="n">
        <f aca="false">180-DEGREES(ASIN((P2_a*SIN(RADIANS($A13))-P2_c)/P2_b))</f>
        <v>170.345749368975</v>
      </c>
      <c r="C13" s="42" t="n">
        <f aca="false">P2_a*COS(RADIANS($A13))-P2_b*COS(RADIANS(B13))</f>
        <v>165.065292993566</v>
      </c>
      <c r="D13" s="43" t="n">
        <f aca="false">90-DEGREES(ASIN(ABS((P2_a*SIN(RADIANS($A13))-P2_c)/P2_b)))</f>
        <v>80.3457493689752</v>
      </c>
      <c r="E13" s="44" t="n">
        <f aca="false">P2_a*P2_w2*COS(RADIANS($A13))/(P2_b*COS(RADIANS(B13)))</f>
        <v>-0.84338867487021</v>
      </c>
      <c r="F13" s="42" t="n">
        <f aca="false">-P2_a*P2_w2*SIN(RADIANS($A13))+P2_b*E13*SIN(RADIANS(B13))</f>
        <v>-25.3824786535697</v>
      </c>
      <c r="G13" s="44" t="n">
        <f aca="false">(P2_a*P2_al2*COS(RADIANS($A13))-P2_a*P2_w2^2*SIN(RADIANS($A13))+P2_b*E13^2*SIN(RADIANS(B13)))/(P2_b*COS(RADIANS(B13)))</f>
        <v>0.0410544572444536</v>
      </c>
      <c r="H13" s="42" t="n">
        <f aca="false">-P2_a*P2_al2*SIN(RADIANS($A13))-P2_a*P2_w2^2*COS(RADIANS($A13))+P2_b*G13*SIN(RADIANS(B13))+P2_b*E13^2*COS(RADIANS(B13))</f>
        <v>-436.445493831701</v>
      </c>
      <c r="I13" s="45" t="n">
        <v>45</v>
      </c>
    </row>
    <row r="14" customFormat="false" ht="15" hidden="false" customHeight="false" outlineLevel="0" collapsed="false">
      <c r="A14" s="41" t="n">
        <v>4</v>
      </c>
      <c r="B14" s="42" t="n">
        <f aca="false">180-DEGREES(ASIN((P2_a*SIN(RADIANS($A14))-P2_c)/P2_b))</f>
        <v>170.211530552413</v>
      </c>
      <c r="C14" s="42" t="n">
        <f aca="false">P2_a*COS(RADIANS($A14))-P2_b*COS(RADIANS(B14))</f>
        <v>164.993103252704</v>
      </c>
      <c r="D14" s="43" t="n">
        <f aca="false">90-DEGREES(ASIN(ABS((P2_a*SIN(RADIANS($A14))-P2_c)/P2_b)))</f>
        <v>80.2115305524129</v>
      </c>
      <c r="E14" s="44" t="n">
        <f aca="false">P2_a*P2_w2*COS(RADIANS($A14))/(P2_b*COS(RADIANS(B14)))</f>
        <v>-0.843244756106048</v>
      </c>
      <c r="F14" s="42" t="n">
        <f aca="false">-P2_a*P2_w2*SIN(RADIANS($A14))+P2_b*E14*SIN(RADIANS(B14))</f>
        <v>-26.5937823371629</v>
      </c>
      <c r="G14" s="44" t="n">
        <f aca="false">(P2_a*P2_al2*COS(RADIANS($A14))-P2_a*P2_w2^2*SIN(RADIANS($A14))+P2_b*E14^2*SIN(RADIANS(B14)))/(P2_b*COS(RADIANS(B14)))</f>
        <v>0.0625709995735226</v>
      </c>
      <c r="H14" s="42" t="n">
        <f aca="false">-P2_a*P2_al2*SIN(RADIANS($A14))-P2_a*P2_w2^2*COS(RADIANS($A14))+P2_b*G14*SIN(RADIANS(B14))+P2_b*E14^2*COS(RADIANS(B14))</f>
        <v>-435.684246596241</v>
      </c>
      <c r="I14" s="45" t="n">
        <v>45</v>
      </c>
    </row>
    <row r="15" customFormat="false" ht="15" hidden="false" customHeight="false" outlineLevel="0" collapsed="false">
      <c r="A15" s="41" t="n">
        <v>4.5</v>
      </c>
      <c r="B15" s="42" t="n">
        <f aca="false">180-DEGREES(ASIN((P2_a*SIN(RADIANS($A15))-P2_c)/P2_b))</f>
        <v>170.077339399168</v>
      </c>
      <c r="C15" s="42" t="n">
        <f aca="false">P2_a*COS(RADIANS($A15))-P2_b*COS(RADIANS(B15))</f>
        <v>164.917551785053</v>
      </c>
      <c r="D15" s="43" t="n">
        <f aca="false">90-DEGREES(ASIN(ABS((P2_a*SIN(RADIANS($A15))-P2_c)/P2_b)))</f>
        <v>80.0773393991682</v>
      </c>
      <c r="E15" s="44" t="n">
        <f aca="false">P2_a*P2_w2*COS(RADIANS($A15))/(P2_b*COS(RADIANS(B15)))</f>
        <v>-0.843041036531146</v>
      </c>
      <c r="F15" s="42" t="n">
        <f aca="false">-P2_a*P2_w2*SIN(RADIANS($A15))+P2_b*E15*SIN(RADIANS(B15))</f>
        <v>-27.8028971952987</v>
      </c>
      <c r="G15" s="44" t="n">
        <f aca="false">(P2_a*P2_al2*COS(RADIANS($A15))-P2_a*P2_w2^2*SIN(RADIANS($A15))+P2_b*E15^2*SIN(RADIANS(B15)))/(P2_b*COS(RADIANS(B15)))</f>
        <v>0.0841109504187368</v>
      </c>
      <c r="H15" s="42" t="n">
        <f aca="false">-P2_a*P2_al2*SIN(RADIANS($A15))-P2_a*P2_w2^2*COS(RADIANS($A15))+P2_b*G15*SIN(RADIANS(B15))+P2_b*E15^2*COS(RADIANS(B15))</f>
        <v>-434.869545135804</v>
      </c>
      <c r="I15" s="45" t="n">
        <v>45</v>
      </c>
    </row>
    <row r="16" customFormat="false" ht="15" hidden="false" customHeight="false" outlineLevel="0" collapsed="false">
      <c r="A16" s="41" t="n">
        <v>5</v>
      </c>
      <c r="B16" s="42" t="n">
        <f aca="false">180-DEGREES(ASIN((P2_a*SIN(RADIANS($A16))-P2_c)/P2_b))</f>
        <v>169.94318543197</v>
      </c>
      <c r="C16" s="42" t="n">
        <f aca="false">P2_a*COS(RADIANS($A16))-P2_b*COS(RADIANS(B16))</f>
        <v>164.838644876862</v>
      </c>
      <c r="D16" s="43" t="n">
        <f aca="false">90-DEGREES(ASIN(ABS((P2_a*SIN(RADIANS($A16))-P2_c)/P2_b)))</f>
        <v>79.94318543197</v>
      </c>
      <c r="E16" s="44" t="n">
        <f aca="false">P2_a*P2_w2*COS(RADIANS($A16))/(P2_b*COS(RADIANS(B16)))</f>
        <v>-0.842777451879805</v>
      </c>
      <c r="F16" s="42" t="n">
        <f aca="false">-P2_a*P2_w2*SIN(RADIANS($A16))+P2_b*E16*SIN(RADIANS(B16))</f>
        <v>-29.009674794928</v>
      </c>
      <c r="G16" s="44" t="n">
        <f aca="false">(P2_a*P2_al2*COS(RADIANS($A16))-P2_a*P2_w2^2*SIN(RADIANS($A16))+P2_b*E16^2*SIN(RADIANS(B16)))/(P2_b*COS(RADIANS(B16)))</f>
        <v>0.105673762842508</v>
      </c>
      <c r="H16" s="42" t="n">
        <f aca="false">-P2_a*P2_al2*SIN(RADIANS($A16))-P2_a*P2_w2^2*COS(RADIANS($A16))+P2_b*G16*SIN(RADIANS(B16))+P2_b*E16^2*COS(RADIANS(B16))</f>
        <v>-434.001427532843</v>
      </c>
      <c r="I16" s="45" t="n">
        <v>45</v>
      </c>
    </row>
    <row r="17" customFormat="false" ht="15" hidden="false" customHeight="false" outlineLevel="0" collapsed="false">
      <c r="A17" s="41" t="n">
        <v>5.5</v>
      </c>
      <c r="B17" s="42" t="n">
        <f aca="false">180-DEGREES(ASIN((P2_a*SIN(RADIANS($A17))-P2_c)/P2_b))</f>
        <v>169.809078183654</v>
      </c>
      <c r="C17" s="42" t="n">
        <f aca="false">P2_a*COS(RADIANS($A17))-P2_b*COS(RADIANS(B17))</f>
        <v>164.756389226542</v>
      </c>
      <c r="D17" s="43" t="n">
        <f aca="false">90-DEGREES(ASIN(ABS((P2_a*SIN(RADIANS($A17))-P2_c)/P2_b)))</f>
        <v>79.809078183654</v>
      </c>
      <c r="E17" s="44" t="n">
        <f aca="false">P2_a*P2_w2*COS(RADIANS($A17))/(P2_b*COS(RADIANS(B17)))</f>
        <v>-0.84245393941594</v>
      </c>
      <c r="F17" s="42" t="n">
        <f aca="false">-P2_a*P2_w2*SIN(RADIANS($A17))+P2_b*E17*SIN(RADIANS(B17))</f>
        <v>-30.2139668206983</v>
      </c>
      <c r="G17" s="44" t="n">
        <f aca="false">(P2_a*P2_al2*COS(RADIANS($A17))-P2_a*P2_w2^2*SIN(RADIANS($A17))+P2_b*E17^2*SIN(RADIANS(B17)))/(P2_b*COS(RADIANS(B17)))</f>
        <v>0.127258882362237</v>
      </c>
      <c r="H17" s="42" t="n">
        <f aca="false">-P2_a*P2_al2*SIN(RADIANS($A17))-P2_a*P2_w2^2*COS(RADIANS($A17))+P2_b*G17*SIN(RADIANS(B17))+P2_b*E17^2*COS(RADIANS(B17))</f>
        <v>-433.079940451253</v>
      </c>
      <c r="I17" s="45" t="n">
        <v>45</v>
      </c>
    </row>
    <row r="18" customFormat="false" ht="15" hidden="false" customHeight="false" outlineLevel="0" collapsed="false">
      <c r="A18" s="41" t="n">
        <v>6</v>
      </c>
      <c r="B18" s="42" t="n">
        <f aca="false">180-DEGREES(ASIN((P2_a*SIN(RADIANS($A18))-P2_c)/P2_b))</f>
        <v>169.675027196917</v>
      </c>
      <c r="C18" s="42" t="n">
        <f aca="false">P2_a*COS(RADIANS($A18))-P2_b*COS(RADIANS(B18))</f>
        <v>164.670791944297</v>
      </c>
      <c r="D18" s="43" t="n">
        <f aca="false">90-DEGREES(ASIN(ABS((P2_a*SIN(RADIANS($A18))-P2_c)/P2_b)))</f>
        <v>79.6750271969174</v>
      </c>
      <c r="E18" s="44" t="n">
        <f aca="false">P2_a*P2_w2*COS(RADIANS($A18))/(P2_b*COS(RADIANS(B18)))</f>
        <v>-0.842070437954855</v>
      </c>
      <c r="F18" s="42" t="n">
        <f aca="false">-P2_a*P2_w2*SIN(RADIANS($A18))+P2_b*E18*SIN(RADIANS(B18))</f>
        <v>-31.4156250988302</v>
      </c>
      <c r="G18" s="44" t="n">
        <f aca="false">(P2_a*P2_al2*COS(RADIANS($A18))-P2_a*P2_w2^2*SIN(RADIANS($A18))+P2_b*E18^2*SIN(RADIANS(B18)))/(P2_b*COS(RADIANS(B18)))</f>
        <v>0.148865746364189</v>
      </c>
      <c r="H18" s="42" t="n">
        <f aca="false">-P2_a*P2_al2*SIN(RADIANS($A18))-P2_a*P2_w2^2*COS(RADIANS($A18))+P2_b*G18*SIN(RADIANS(B18))+P2_b*E18^2*COS(RADIANS(B18))</f>
        <v>-432.105139164459</v>
      </c>
      <c r="I18" s="45" t="n">
        <v>45</v>
      </c>
    </row>
    <row r="19" customFormat="false" ht="15" hidden="false" customHeight="false" outlineLevel="0" collapsed="false">
      <c r="A19" s="41" t="n">
        <v>6.5</v>
      </c>
      <c r="B19" s="42" t="n">
        <f aca="false">180-DEGREES(ASIN((P2_a*SIN(RADIANS($A19))-P2_c)/P2_b))</f>
        <v>169.54104202407</v>
      </c>
      <c r="C19" s="42" t="n">
        <f aca="false">P2_a*COS(RADIANS($A19))-P2_b*COS(RADIANS(B19))</f>
        <v>164.581860551699</v>
      </c>
      <c r="D19" s="43" t="n">
        <f aca="false">90-DEGREES(ASIN(ABS((P2_a*SIN(RADIANS($A19))-P2_c)/P2_b)))</f>
        <v>79.5410420240702</v>
      </c>
      <c r="E19" s="44" t="n">
        <f aca="false">P2_a*P2_w2*COS(RADIANS($A19))/(P2_b*COS(RADIANS(B19)))</f>
        <v>-0.84162688788664</v>
      </c>
      <c r="F19" s="42" t="n">
        <f aca="false">-P2_a*P2_w2*SIN(RADIANS($A19))+P2_b*E19*SIN(RADIANS(B19))</f>
        <v>-32.6145016210719</v>
      </c>
      <c r="G19" s="44" t="n">
        <f aca="false">(P2_a*P2_al2*COS(RADIANS($A19))-P2_a*P2_w2^2*SIN(RADIANS($A19))+P2_b*E19^2*SIN(RADIANS(B19)))/(P2_b*COS(RADIANS(B19)))</f>
        <v>0.170493783514716</v>
      </c>
      <c r="H19" s="42" t="n">
        <f aca="false">-P2_a*P2_al2*SIN(RADIANS($A19))-P2_a*P2_w2^2*COS(RADIANS($A19))+P2_b*G19*SIN(RADIANS(B19))+P2_b*E19^2*COS(RADIANS(B19))</f>
        <v>-431.077087583327</v>
      </c>
      <c r="I19" s="45" t="n">
        <v>45</v>
      </c>
    </row>
    <row r="20" customFormat="false" ht="15" hidden="false" customHeight="false" outlineLevel="0" collapsed="false">
      <c r="A20" s="41" t="n">
        <v>7</v>
      </c>
      <c r="B20" s="42" t="n">
        <f aca="false">180-DEGREES(ASIN((P2_a*SIN(RADIANS($A20))-P2_c)/P2_b))</f>
        <v>169.407132226783</v>
      </c>
      <c r="C20" s="42" t="n">
        <f aca="false">P2_a*COS(RADIANS($A20))-P2_b*COS(RADIANS(B20))</f>
        <v>164.4896029812</v>
      </c>
      <c r="D20" s="43" t="n">
        <f aca="false">90-DEGREES(ASIN(ABS((P2_a*SIN(RADIANS($A20))-P2_c)/P2_b)))</f>
        <v>79.4071322267829</v>
      </c>
      <c r="E20" s="44" t="n">
        <f aca="false">P2_a*P2_w2*COS(RADIANS($A20))/(P2_b*COS(RADIANS(B20)))</f>
        <v>-0.841123231201223</v>
      </c>
      <c r="F20" s="42" t="n">
        <f aca="false">-P2_a*P2_w2*SIN(RADIANS($A20))+P2_b*E20*SIN(RADIANS(B20))</f>
        <v>-33.8104485687301</v>
      </c>
      <c r="G20" s="44" t="n">
        <f aca="false">(P2_a*P2_al2*COS(RADIANS($A20))-P2_a*P2_w2^2*SIN(RADIANS($A20))+P2_b*E20^2*SIN(RADIANS(B20)))/(P2_b*COS(RADIANS(B20)))</f>
        <v>0.192142413169046</v>
      </c>
      <c r="H20" s="42" t="n">
        <f aca="false">-P2_a*P2_al2*SIN(RADIANS($A20))-P2_a*P2_w2^2*COS(RADIANS($A20))+P2_b*G20*SIN(RADIANS(B20))+P2_b*E20^2*COS(RADIANS(B20))</f>
        <v>-429.995858283863</v>
      </c>
      <c r="I20" s="45" t="n">
        <v>45</v>
      </c>
    </row>
    <row r="21" customFormat="false" ht="15" hidden="false" customHeight="false" outlineLevel="0" collapsed="false">
      <c r="A21" s="41" t="n">
        <v>7.5</v>
      </c>
      <c r="B21" s="42" t="n">
        <f aca="false">180-DEGREES(ASIN((P2_a*SIN(RADIANS($A21))-P2_c)/P2_b))</f>
        <v>169.273307375829</v>
      </c>
      <c r="C21" s="42" t="n">
        <f aca="false">P2_a*COS(RADIANS($A21))-P2_b*COS(RADIANS(B21))</f>
        <v>164.394027575565</v>
      </c>
      <c r="D21" s="43" t="n">
        <f aca="false">90-DEGREES(ASIN(ABS((P2_a*SIN(RADIANS($A21))-P2_c)/P2_b)))</f>
        <v>79.2733073758293</v>
      </c>
      <c r="E21" s="44" t="n">
        <f aca="false">P2_a*P2_w2*COS(RADIANS($A21))/(P2_b*COS(RADIANS(B21)))</f>
        <v>-0.840559411515049</v>
      </c>
      <c r="F21" s="42" t="n">
        <f aca="false">-P2_a*P2_w2*SIN(RADIANS($A21))+P2_b*E21*SIN(RADIANS(B21))</f>
        <v>-35.0033183367783</v>
      </c>
      <c r="G21" s="44" t="n">
        <f aca="false">(P2_a*P2_al2*COS(RADIANS($A21))-P2_a*P2_w2^2*SIN(RADIANS($A21))+P2_b*E21^2*SIN(RADIANS(B21)))/(P2_b*COS(RADIANS(B21)))</f>
        <v>0.213811044777857</v>
      </c>
      <c r="H21" s="42" t="n">
        <f aca="false">-P2_a*P2_al2*SIN(RADIANS($A21))-P2_a*P2_w2^2*COS(RADIANS($A21))+P2_b*G21*SIN(RADIANS(B21))+P2_b*E21^2*COS(RADIANS(B21))</f>
        <v>-428.861532534708</v>
      </c>
      <c r="I21" s="45" t="n">
        <v>45</v>
      </c>
    </row>
    <row r="22" customFormat="false" ht="15" hidden="false" customHeight="false" outlineLevel="0" collapsed="false">
      <c r="A22" s="41" t="n">
        <v>8</v>
      </c>
      <c r="B22" s="42" t="n">
        <f aca="false">180-DEGREES(ASIN((P2_a*SIN(RADIANS($A22))-P2_c)/P2_b))</f>
        <v>169.139577050826</v>
      </c>
      <c r="C22" s="42" t="n">
        <f aca="false">P2_a*COS(RADIANS($A22))-P2_b*COS(RADIANS(B22))</f>
        <v>164.295143087251</v>
      </c>
      <c r="D22" s="43" t="n">
        <f aca="false">90-DEGREES(ASIN(ABS((P2_a*SIN(RADIANS($A22))-P2_c)/P2_b)))</f>
        <v>79.1395770508256</v>
      </c>
      <c r="E22" s="44" t="n">
        <f aca="false">P2_a*P2_w2*COS(RADIANS($A22))/(P2_b*COS(RADIANS(B22)))</f>
        <v>-0.839935374099425</v>
      </c>
      <c r="F22" s="42" t="n">
        <f aca="false">-P2_a*P2_w2*SIN(RADIANS($A22))+P2_b*E22*SIN(RADIANS(B22))</f>
        <v>-36.1929635580408</v>
      </c>
      <c r="G22" s="44" t="n">
        <f aca="false">(P2_a*P2_al2*COS(RADIANS($A22))-P2_a*P2_w2^2*SIN(RADIANS($A22))+P2_b*E22^2*SIN(RADIANS(B22)))/(P2_b*COS(RADIANS(B22)))</f>
        <v>0.235499077291873</v>
      </c>
      <c r="H22" s="42" t="n">
        <f aca="false">-P2_a*P2_al2*SIN(RADIANS($A22))-P2_a*P2_w2^2*COS(RADIANS($A22))+P2_b*G22*SIN(RADIANS(B22))+P2_b*E22^2*COS(RADIANS(B22))</f>
        <v>-427.674200324392</v>
      </c>
      <c r="I22" s="45" t="n">
        <v>45</v>
      </c>
    </row>
    <row r="23" customFormat="false" ht="15" hidden="false" customHeight="false" outlineLevel="0" collapsed="false">
      <c r="A23" s="41" t="n">
        <v>8.5</v>
      </c>
      <c r="B23" s="42" t="n">
        <f aca="false">180-DEGREES(ASIN((P2_a*SIN(RADIANS($A23))-P2_c)/P2_b))</f>
        <v>169.005950839965</v>
      </c>
      <c r="C23" s="42" t="n">
        <f aca="false">P2_a*COS(RADIANS($A23))-P2_b*COS(RADIANS(B23))</f>
        <v>164.192958677707</v>
      </c>
      <c r="D23" s="43" t="n">
        <f aca="false">90-DEGREES(ASIN(ABS((P2_a*SIN(RADIANS($A23))-P2_c)/P2_b)))</f>
        <v>79.0059508399648</v>
      </c>
      <c r="E23" s="44" t="n">
        <f aca="false">P2_a*P2_w2*COS(RADIANS($A23))/(P2_b*COS(RADIANS(B23)))</f>
        <v>-0.839251065910512</v>
      </c>
      <c r="F23" s="42" t="n">
        <f aca="false">-P2_a*P2_w2*SIN(RADIANS($A23))+P2_b*E23*SIN(RADIANS(B23))</f>
        <v>-37.3792371274525</v>
      </c>
      <c r="G23" s="44" t="n">
        <f aca="false">(P2_a*P2_al2*COS(RADIANS($A23))-P2_a*P2_w2^2*SIN(RADIANS($A23))+P2_b*E23^2*SIN(RADIANS(B23)))/(P2_b*COS(RADIANS(B23)))</f>
        <v>0.257205898564713</v>
      </c>
      <c r="H23" s="42" t="n">
        <f aca="false">-P2_a*P2_al2*SIN(RADIANS($A23))-P2_a*P2_w2^2*COS(RADIANS($A23))+P2_b*G23*SIN(RADIANS(B23))+P2_b*E23^2*COS(RADIANS(B23))</f>
        <v>-426.433960388341</v>
      </c>
      <c r="I23" s="45" t="n">
        <v>45</v>
      </c>
    </row>
    <row r="24" customFormat="false" ht="15" hidden="false" customHeight="false" outlineLevel="0" collapsed="false">
      <c r="A24" s="41" t="n">
        <v>9</v>
      </c>
      <c r="B24" s="42" t="n">
        <f aca="false">180-DEGREES(ASIN((P2_a*SIN(RADIANS($A24))-P2_c)/P2_b))</f>
        <v>168.872438339746</v>
      </c>
      <c r="C24" s="42" t="n">
        <f aca="false">P2_a*COS(RADIANS($A24))-P2_b*COS(RADIANS(B24))</f>
        <v>164.087483916617</v>
      </c>
      <c r="D24" s="43" t="n">
        <f aca="false">90-DEGREES(ASIN(ABS((P2_a*SIN(RADIANS($A24))-P2_c)/P2_b)))</f>
        <v>78.8724383397459</v>
      </c>
      <c r="E24" s="44" t="n">
        <f aca="false">P2_a*P2_w2*COS(RADIANS($A24))/(P2_b*COS(RADIANS(B24)))</f>
        <v>-0.838506435620985</v>
      </c>
      <c r="F24" s="42" t="n">
        <f aca="false">-P2_a*P2_w2*SIN(RADIANS($A24))+P2_b*E24*SIN(RADIANS(B24))</f>
        <v>-38.5619922263926</v>
      </c>
      <c r="G24" s="44" t="n">
        <f aca="false">(P2_a*P2_al2*COS(RADIANS($A24))-P2_a*P2_w2^2*SIN(RADIANS($A24))+P2_b*E24^2*SIN(RADIANS(B24)))/(P2_b*COS(RADIANS(B24)))</f>
        <v>0.278930884754246</v>
      </c>
      <c r="H24" s="42" t="n">
        <f aca="false">-P2_a*P2_al2*SIN(RADIANS($A24))-P2_a*P2_w2^2*COS(RADIANS($A24))+P2_b*G24*SIN(RADIANS(B24))+P2_b*E24^2*COS(RADIANS(B24))</f>
        <v>-425.140920235613</v>
      </c>
      <c r="I24" s="45" t="n">
        <v>45</v>
      </c>
    </row>
    <row r="25" customFormat="false" ht="15" hidden="false" customHeight="false" outlineLevel="0" collapsed="false">
      <c r="A25" s="41" t="n">
        <v>9.5</v>
      </c>
      <c r="B25" s="42" t="n">
        <f aca="false">180-DEGREES(ASIN((P2_a*SIN(RADIANS($A25))-P2_c)/P2_b))</f>
        <v>168.739049154698</v>
      </c>
      <c r="C25" s="42" t="n">
        <f aca="false">P2_a*COS(RADIANS($A25))-P2_b*COS(RADIANS(B25))</f>
        <v>163.978728781069</v>
      </c>
      <c r="D25" s="43" t="n">
        <f aca="false">90-DEGREES(ASIN(ABS((P2_a*SIN(RADIANS($A25))-P2_c)/P2_b)))</f>
        <v>78.7390491546981</v>
      </c>
      <c r="E25" s="44" t="n">
        <f aca="false">P2_a*P2_w2*COS(RADIANS($A25))/(P2_b*COS(RADIANS(B25)))</f>
        <v>-0.83770143365335</v>
      </c>
      <c r="F25" s="42" t="n">
        <f aca="false">-P2_a*P2_w2*SIN(RADIANS($A25))+P2_b*E25*SIN(RADIANS(B25))</f>
        <v>-39.7410823470931</v>
      </c>
      <c r="G25" s="44" t="n">
        <f aca="false">(P2_a*P2_al2*COS(RADIANS($A25))-P2_a*P2_w2^2*SIN(RADIANS($A25))+P2_b*E25^2*SIN(RADIANS(B25)))/(P2_b*COS(RADIANS(B25)))</f>
        <v>0.300673399722696</v>
      </c>
      <c r="H25" s="42" t="n">
        <f aca="false">-P2_a*P2_al2*SIN(RADIANS($A25))-P2_a*P2_w2^2*COS(RADIANS($A25))+P2_b*G25*SIN(RADIANS(B25))+P2_b*E25^2*COS(RADIANS(B25))</f>
        <v>-423.795196175327</v>
      </c>
      <c r="I25" s="45" t="n">
        <v>45</v>
      </c>
    </row>
    <row r="26" customFormat="false" ht="15" hidden="false" customHeight="false" outlineLevel="0" collapsed="false">
      <c r="A26" s="41" t="n">
        <v>10</v>
      </c>
      <c r="B26" s="42" t="n">
        <f aca="false">180-DEGREES(ASIN((P2_a*SIN(RADIANS($A26))-P2_c)/P2_b))</f>
        <v>168.605792897099</v>
      </c>
      <c r="C26" s="42" t="n">
        <f aca="false">P2_a*COS(RADIANS($A26))-P2_b*COS(RADIANS(B26))</f>
        <v>163.866703654654</v>
      </c>
      <c r="D26" s="43" t="n">
        <f aca="false">90-DEGREES(ASIN(ABS((P2_a*SIN(RADIANS($A26))-P2_c)/P2_b)))</f>
        <v>78.6057928970994</v>
      </c>
      <c r="E26" s="44" t="n">
        <f aca="false">P2_a*P2_w2*COS(RADIANS($A26))/(P2_b*COS(RADIANS(B26)))</f>
        <v>-0.836836012214938</v>
      </c>
      <c r="F26" s="42" t="n">
        <f aca="false">-P2_a*P2_w2*SIN(RADIANS($A26))+P2_b*E26*SIN(RADIANS(B26))</f>
        <v>-40.9163613171192</v>
      </c>
      <c r="G26" s="44" t="n">
        <f aca="false">(P2_a*P2_al2*COS(RADIANS($A26))-P2_a*P2_w2^2*SIN(RADIANS($A26))+P2_b*E26^2*SIN(RADIANS(B26)))/(P2_b*COS(RADIANS(B26)))</f>
        <v>0.322432794435766</v>
      </c>
      <c r="H26" s="42" t="n">
        <f aca="false">-P2_a*P2_al2*SIN(RADIANS($A26))-P2_a*P2_w2^2*COS(RADIANS($A26))+P2_b*G26*SIN(RADIANS(B26))+P2_b*E26^2*COS(RADIANS(B26))</f>
        <v>-422.396913342791</v>
      </c>
      <c r="I26" s="45" t="n">
        <v>45</v>
      </c>
    </row>
    <row r="27" customFormat="false" ht="15" hidden="false" customHeight="false" outlineLevel="0" collapsed="false">
      <c r="A27" s="41" t="n">
        <v>10.5</v>
      </c>
      <c r="B27" s="42" t="n">
        <f aca="false">180-DEGREES(ASIN((P2_a*SIN(RADIANS($A27))-P2_c)/P2_b))</f>
        <v>168.47267918669</v>
      </c>
      <c r="C27" s="42" t="n">
        <f aca="false">P2_a*COS(RADIANS($A27))-P2_b*COS(RADIANS(B27))</f>
        <v>163.751419326507</v>
      </c>
      <c r="D27" s="43" t="n">
        <f aca="false">90-DEGREES(ASIN(ABS((P2_a*SIN(RADIANS($A27))-P2_c)/P2_b)))</f>
        <v>78.47267918669</v>
      </c>
      <c r="E27" s="44" t="n">
        <f aca="false">P2_a*P2_w2*COS(RADIANS($A27))/(P2_b*COS(RADIANS(B27)))</f>
        <v>-0.835910125334557</v>
      </c>
      <c r="F27" s="42" t="n">
        <f aca="false">-P2_a*P2_w2*SIN(RADIANS($A27))+P2_b*E27*SIN(RADIANS(B27))</f>
        <v>-42.0876833239226</v>
      </c>
      <c r="G27" s="44" t="n">
        <f aca="false">(P2_a*P2_al2*COS(RADIANS($A27))-P2_a*P2_w2^2*SIN(RADIANS($A27))+P2_b*E27^2*SIN(RADIANS(B27)))/(P2_b*COS(RADIANS(B27)))</f>
        <v>0.344208406361031</v>
      </c>
      <c r="H27" s="42" t="n">
        <f aca="false">-P2_a*P2_al2*SIN(RADIANS($A27))-P2_a*P2_w2^2*COS(RADIANS($A27))+P2_b*G27*SIN(RADIANS(B27))+P2_b*E27^2*COS(RADIANS(B27))</f>
        <v>-420.946205725266</v>
      </c>
      <c r="I27" s="45" t="n">
        <v>45</v>
      </c>
    </row>
    <row r="28" customFormat="false" ht="15" hidden="false" customHeight="false" outlineLevel="0" collapsed="false">
      <c r="A28" s="41" t="n">
        <v>11</v>
      </c>
      <c r="B28" s="42" t="n">
        <f aca="false">180-DEGREES(ASIN((P2_a*SIN(RADIANS($A28))-P2_c)/P2_b))</f>
        <v>168.339717650379</v>
      </c>
      <c r="C28" s="42" t="n">
        <f aca="false">P2_a*COS(RADIANS($A28))-P2_b*COS(RADIANS(B28))</f>
        <v>163.632886990267</v>
      </c>
      <c r="D28" s="43" t="n">
        <f aca="false">90-DEGREES(ASIN(ABS((P2_a*SIN(RADIANS($A28))-P2_c)/P2_b)))</f>
        <v>78.3397176503792</v>
      </c>
      <c r="E28" s="44" t="n">
        <f aca="false">P2_a*P2_w2*COS(RADIANS($A28))/(P2_b*COS(RADIANS(B28)))</f>
        <v>-0.834923728900831</v>
      </c>
      <c r="F28" s="42" t="n">
        <f aca="false">-P2_a*P2_w2*SIN(RADIANS($A28))+P2_b*E28*SIN(RADIANS(B28))</f>
        <v>-43.2549029394659</v>
      </c>
      <c r="G28" s="44" t="n">
        <f aca="false">(P2_a*P2_al2*COS(RADIANS($A28))-P2_a*P2_w2^2*SIN(RADIANS($A28))+P2_b*E28^2*SIN(RADIANS(B28)))/(P2_b*COS(RADIANS(B28)))</f>
        <v>0.365999558865906</v>
      </c>
      <c r="H28" s="42" t="n">
        <f aca="false">-P2_a*P2_al2*SIN(RADIANS($A28))-P2_a*P2_w2^2*COS(RADIANS($A28))+P2_b*G28*SIN(RADIANS(B28))+P2_b*E28^2*COS(RADIANS(B28))</f>
        <v>-419.443216187367</v>
      </c>
      <c r="I28" s="45" t="n">
        <v>45</v>
      </c>
    </row>
    <row r="29" customFormat="false" ht="15" hidden="false" customHeight="false" outlineLevel="0" collapsed="false">
      <c r="A29" s="41" t="n">
        <v>11.5</v>
      </c>
      <c r="B29" s="42" t="n">
        <f aca="false">180-DEGREES(ASIN((P2_a*SIN(RADIANS($A29))-P2_c)/P2_b))</f>
        <v>168.206917921946</v>
      </c>
      <c r="C29" s="42" t="n">
        <f aca="false">P2_a*COS(RADIANS($A29))-P2_b*COS(RADIANS(B29))</f>
        <v>163.511118242977</v>
      </c>
      <c r="D29" s="43" t="n">
        <f aca="false">90-DEGREES(ASIN(ABS((P2_a*SIN(RADIANS($A29))-P2_c)/P2_b)))</f>
        <v>78.2069179219458</v>
      </c>
      <c r="E29" s="44" t="n">
        <f aca="false">P2_a*P2_w2*COS(RADIANS($A29))/(P2_b*COS(RADIANS(B29)))</f>
        <v>-0.833876780702196</v>
      </c>
      <c r="F29" s="42" t="n">
        <f aca="false">-P2_a*P2_w2*SIN(RADIANS($A29))+P2_b*E29*SIN(RADIANS(B29))</f>
        <v>-44.4178751449163</v>
      </c>
      <c r="G29" s="44" t="n">
        <f aca="false">(P2_a*P2_al2*COS(RADIANS($A29))-P2_a*P2_w2^2*SIN(RADIANS($A29))+P2_b*E29^2*SIN(RADIANS(B29)))/(P2_b*COS(RADIANS(B29)))</f>
        <v>0.387805560615433</v>
      </c>
      <c r="H29" s="42" t="n">
        <f aca="false">-P2_a*P2_al2*SIN(RADIANS($A29))-P2_a*P2_w2^2*COS(RADIANS($A29))+P2_b*G29*SIN(RADIANS(B29))+P2_b*E29^2*COS(RADIANS(B29))</f>
        <v>-417.888096496055</v>
      </c>
      <c r="I29" s="45" t="n">
        <v>45</v>
      </c>
    </row>
    <row r="30" customFormat="false" ht="15" hidden="false" customHeight="false" outlineLevel="0" collapsed="false">
      <c r="A30" s="41" t="n">
        <v>12</v>
      </c>
      <c r="B30" s="42" t="n">
        <f aca="false">180-DEGREES(ASIN((P2_a*SIN(RADIANS($A30))-P2_c)/P2_b))</f>
        <v>168.074289641733</v>
      </c>
      <c r="C30" s="42" t="n">
        <f aca="false">P2_a*COS(RADIANS($A30))-P2_b*COS(RADIANS(B30))</f>
        <v>163.386125083916</v>
      </c>
      <c r="D30" s="43" t="n">
        <f aca="false">90-DEGREES(ASIN(ABS((P2_a*SIN(RADIANS($A30))-P2_c)/P2_b)))</f>
        <v>78.0742896417333</v>
      </c>
      <c r="E30" s="44" t="n">
        <f aca="false">P2_a*P2_w2*COS(RADIANS($A30))/(P2_b*COS(RADIANS(B30)))</f>
        <v>-0.832769240468582</v>
      </c>
      <c r="F30" s="42" t="n">
        <f aca="false">-P2_a*P2_w2*SIN(RADIANS($A30))+P2_b*E30*SIN(RADIANS(B30))</f>
        <v>-45.5764553554089</v>
      </c>
      <c r="G30" s="44" t="n">
        <f aca="false">(P2_a*P2_al2*COS(RADIANS($A30))-P2_a*P2_w2^2*SIN(RADIANS($A30))+P2_b*E30^2*SIN(RADIANS(B30)))/(P2_b*COS(RADIANS(B30)))</f>
        <v>0.409625704970221</v>
      </c>
      <c r="H30" s="42" t="n">
        <f aca="false">-P2_a*P2_al2*SIN(RADIANS($A30))-P2_a*P2_w2^2*COS(RADIANS($A30))+P2_b*G30*SIN(RADIANS(B30))+P2_b*E30^2*COS(RADIANS(B30))</f>
        <v>-416.2810073452</v>
      </c>
      <c r="I30" s="45" t="n">
        <v>45</v>
      </c>
    </row>
    <row r="31" customFormat="false" ht="15" hidden="false" customHeight="false" outlineLevel="0" collapsed="false">
      <c r="A31" s="41" t="n">
        <v>12.5</v>
      </c>
      <c r="B31" s="42" t="n">
        <f aca="false">180-DEGREES(ASIN((P2_a*SIN(RADIANS($A31))-P2_c)/P2_b))</f>
        <v>167.941842456337</v>
      </c>
      <c r="C31" s="42" t="n">
        <f aca="false">P2_a*COS(RADIANS($A31))-P2_b*COS(RADIANS(B31))</f>
        <v>163.257919913352</v>
      </c>
      <c r="D31" s="43" t="n">
        <f aca="false">90-DEGREES(ASIN(ABS((P2_a*SIN(RADIANS($A31))-P2_c)/P2_b)))</f>
        <v>77.9418424563369</v>
      </c>
      <c r="E31" s="44" t="n">
        <f aca="false">P2_a*P2_w2*COS(RADIANS($A31))/(P2_b*COS(RADIANS(B31)))</f>
        <v>-0.831601069914759</v>
      </c>
      <c r="F31" s="42" t="n">
        <f aca="false">-P2_a*P2_w2*SIN(RADIANS($A31))+P2_b*E31*SIN(RADIANS(B31))</f>
        <v>-46.7304994448769</v>
      </c>
      <c r="G31" s="44" t="n">
        <f aca="false">(P2_a*P2_al2*COS(RADIANS($A31))-P2_a*P2_w2^2*SIN(RADIANS($A31))+P2_b*E31^2*SIN(RADIANS(B31)))/(P2_b*COS(RADIANS(B31)))</f>
        <v>0.431459269384809</v>
      </c>
      <c r="H31" s="42" t="n">
        <f aca="false">-P2_a*P2_al2*SIN(RADIANS($A31))-P2_a*P2_w2^2*COS(RADIANS($A31))+P2_b*G31*SIN(RADIANS(B31))+P2_b*E31^2*COS(RADIANS(B31))</f>
        <v>-414.622118379668</v>
      </c>
      <c r="I31" s="45" t="n">
        <v>45</v>
      </c>
    </row>
    <row r="32" customFormat="false" ht="15" hidden="false" customHeight="false" outlineLevel="0" collapsed="false">
      <c r="A32" s="41" t="n">
        <v>13</v>
      </c>
      <c r="B32" s="42" t="n">
        <f aca="false">180-DEGREES(ASIN((P2_a*SIN(RADIANS($A32))-P2_c)/P2_b))</f>
        <v>167.809586018284</v>
      </c>
      <c r="C32" s="42" t="n">
        <f aca="false">P2_a*COS(RADIANS($A32))-P2_b*COS(RADIANS(B32))</f>
        <v>163.126515531241</v>
      </c>
      <c r="D32" s="43" t="n">
        <f aca="false">90-DEGREES(ASIN(ABS((P2_a*SIN(RADIANS($A32))-P2_c)/P2_b)))</f>
        <v>77.8095860182839</v>
      </c>
      <c r="E32" s="44" t="n">
        <f aca="false">P2_a*P2_w2*COS(RADIANS($A32))/(P2_b*COS(RADIANS(B32)))</f>
        <v>-0.830372232785354</v>
      </c>
      <c r="F32" s="42" t="n">
        <f aca="false">-P2_a*P2_w2*SIN(RADIANS($A32))+P2_b*E32*SIN(RADIANS(B32))</f>
        <v>-47.8798637709486</v>
      </c>
      <c r="G32" s="44" t="n">
        <f aca="false">(P2_a*P2_al2*COS(RADIANS($A32))-P2_a*P2_w2^2*SIN(RADIANS($A32))+P2_b*E32^2*SIN(RADIANS(B32)))/(P2_b*COS(RADIANS(B32)))</f>
        <v>0.453305514806778</v>
      </c>
      <c r="H32" s="42" t="n">
        <f aca="false">-P2_a*P2_al2*SIN(RADIANS($A32))-P2_a*P2_w2^2*COS(RADIANS($A32))+P2_b*G32*SIN(RADIANS(B32))+P2_b*E32^2*COS(RADIANS(B32))</f>
        <v>-412.911608218909</v>
      </c>
      <c r="I32" s="45" t="n">
        <v>45</v>
      </c>
    </row>
    <row r="33" customFormat="false" ht="15" hidden="false" customHeight="false" outlineLevel="0" collapsed="false">
      <c r="A33" s="41" t="n">
        <v>13.5</v>
      </c>
      <c r="B33" s="42" t="n">
        <f aca="false">180-DEGREES(ASIN((P2_a*SIN(RADIANS($A33))-P2_c)/P2_b))</f>
        <v>167.677529985708</v>
      </c>
      <c r="C33" s="42" t="n">
        <f aca="false">P2_a*COS(RADIANS($A33))-P2_b*COS(RADIANS(B33))</f>
        <v>162.991925135842</v>
      </c>
      <c r="D33" s="43" t="n">
        <f aca="false">90-DEGREES(ASIN(ABS((P2_a*SIN(RADIANS($A33))-P2_c)/P2_b)))</f>
        <v>77.6775299857076</v>
      </c>
      <c r="E33" s="44" t="n">
        <f aca="false">P2_a*P2_w2*COS(RADIANS($A33))/(P2_b*COS(RADIANS(B33)))</f>
        <v>-0.829082694901538</v>
      </c>
      <c r="F33" s="42" t="n">
        <f aca="false">-P2_a*P2_w2*SIN(RADIANS($A33))+P2_b*E33*SIN(RADIANS(B33))</f>
        <v>-49.0244051999089</v>
      </c>
      <c r="G33" s="44" t="n">
        <f aca="false">(P2_a*P2_al2*COS(RADIANS($A33))-P2_a*P2_w2^2*SIN(RADIANS($A33))+P2_b*E33^2*SIN(RADIANS(B33)))/(P2_b*COS(RADIANS(B33)))</f>
        <v>0.47516368507693</v>
      </c>
      <c r="H33" s="42" t="n">
        <f aca="false">-P2_a*P2_al2*SIN(RADIANS($A33))-P2_a*P2_w2^2*COS(RADIANS($A33))+P2_b*G33*SIN(RADIANS(B33))+P2_b*E33^2*COS(RADIANS(B33))</f>
        <v>-411.149664479998</v>
      </c>
      <c r="I33" s="45" t="n">
        <v>45</v>
      </c>
    </row>
    <row r="34" customFormat="false" ht="15" hidden="false" customHeight="false" outlineLevel="0" collapsed="false">
      <c r="A34" s="41" t="n">
        <v>14</v>
      </c>
      <c r="B34" s="42" t="n">
        <f aca="false">180-DEGREES(ASIN((P2_a*SIN(RADIANS($A34))-P2_c)/P2_b))</f>
        <v>167.545684022012</v>
      </c>
      <c r="C34" s="42" t="n">
        <f aca="false">P2_a*COS(RADIANS($A34))-P2_b*COS(RADIANS(B34))</f>
        <v>162.854162322274</v>
      </c>
      <c r="D34" s="43" t="n">
        <f aca="false">90-DEGREES(ASIN(ABS((P2_a*SIN(RADIANS($A34))-P2_c)/P2_b)))</f>
        <v>77.5456840220123</v>
      </c>
      <c r="E34" s="44" t="n">
        <f aca="false">P2_a*P2_w2*COS(RADIANS($A34))/(P2_b*COS(RADIANS(B34)))</f>
        <v>-0.827732424209377</v>
      </c>
      <c r="F34" s="42" t="n">
        <f aca="false">-P2_a*P2_w2*SIN(RADIANS($A34))+P2_b*E34*SIN(RADIANS(B34))</f>
        <v>-50.1639811317241</v>
      </c>
      <c r="G34" s="44" t="n">
        <f aca="false">(P2_a*P2_al2*COS(RADIANS($A34))-P2_a*P2_w2^2*SIN(RADIANS($A34))+P2_b*E34^2*SIN(RADIANS(B34)))/(P2_b*COS(RADIANS(B34)))</f>
        <v>0.497033006330862</v>
      </c>
      <c r="H34" s="42" t="n">
        <f aca="false">-P2_a*P2_al2*SIN(RADIANS($A34))-P2_a*P2_w2^2*COS(RADIANS($A34))+P2_b*G34*SIN(RADIANS(B34))+P2_b*E34^2*COS(RADIANS(B34))</f>
        <v>-409.336483800106</v>
      </c>
      <c r="I34" s="45" t="n">
        <v>45</v>
      </c>
    </row>
    <row r="35" customFormat="false" ht="15" hidden="false" customHeight="false" outlineLevel="0" collapsed="false">
      <c r="A35" s="41" t="n">
        <v>14.5</v>
      </c>
      <c r="B35" s="42" t="n">
        <f aca="false">180-DEGREES(ASIN((P2_a*SIN(RADIANS($A35))-P2_c)/P2_b))</f>
        <v>167.414057795531</v>
      </c>
      <c r="C35" s="42" t="n">
        <f aca="false">P2_a*COS(RADIANS($A35))-P2_b*COS(RADIANS(B35))</f>
        <v>162.713241080997</v>
      </c>
      <c r="D35" s="43" t="n">
        <f aca="false">90-DEGREES(ASIN(ABS((P2_a*SIN(RADIANS($A35))-P2_c)/P2_b)))</f>
        <v>77.4140577955315</v>
      </c>
      <c r="E35" s="44" t="n">
        <f aca="false">P2_a*P2_w2*COS(RADIANS($A35))/(P2_b*COS(RADIANS(B35)))</f>
        <v>-0.826321390829841</v>
      </c>
      <c r="F35" s="42" t="n">
        <f aca="false">-P2_a*P2_w2*SIN(RADIANS($A35))+P2_b*E35*SIN(RADIANS(B35))</f>
        <v>-51.298449525128</v>
      </c>
      <c r="G35" s="44" t="n">
        <f aca="false">(P2_a*P2_al2*COS(RADIANS($A35))-P2_a*P2_w2^2*SIN(RADIANS($A35))+P2_b*E35^2*SIN(RADIANS(B35)))/(P2_b*COS(RADIANS(B35)))</f>
        <v>0.518912686402267</v>
      </c>
      <c r="H35" s="42" t="n">
        <f aca="false">-P2_a*P2_al2*SIN(RADIANS($A35))-P2_a*P2_w2^2*COS(RADIANS($A35))+P2_b*G35*SIN(RADIANS(B35))+P2_b*E35^2*COS(RADIANS(B35))</f>
        <v>-407.472271858338</v>
      </c>
      <c r="I35" s="45" t="n">
        <v>45</v>
      </c>
    </row>
    <row r="36" customFormat="false" ht="15" hidden="false" customHeight="false" outlineLevel="0" collapsed="false">
      <c r="A36" s="41" t="n">
        <v>15</v>
      </c>
      <c r="B36" s="42" t="n">
        <f aca="false">180-DEGREES(ASIN((P2_a*SIN(RADIANS($A36))-P2_c)/P2_b))</f>
        <v>167.282660979178</v>
      </c>
      <c r="C36" s="42" t="n">
        <f aca="false">P2_a*COS(RADIANS($A36))-P2_b*COS(RADIANS(B36))</f>
        <v>162.569175796224</v>
      </c>
      <c r="D36" s="43" t="n">
        <f aca="false">90-DEGREES(ASIN(ABS((P2_a*SIN(RADIANS($A36))-P2_c)/P2_b)))</f>
        <v>77.2826609791777</v>
      </c>
      <c r="E36" s="44" t="n">
        <f aca="false">P2_a*P2_w2*COS(RADIANS($A36))/(P2_b*COS(RADIANS(B36)))</f>
        <v>-0.824849567110471</v>
      </c>
      <c r="F36" s="42" t="n">
        <f aca="false">-P2_a*P2_w2*SIN(RADIANS($A36))+P2_b*E36*SIN(RADIANS(B36))</f>
        <v>-52.4276689227682</v>
      </c>
      <c r="G36" s="44" t="n">
        <f aca="false">(P2_a*P2_al2*COS(RADIANS($A36))-P2_a*P2_w2^2*SIN(RADIANS($A36))+P2_b*E36^2*SIN(RADIANS(B36)))/(P2_b*COS(RADIANS(B36)))</f>
        <v>0.540801914228334</v>
      </c>
      <c r="H36" s="42" t="n">
        <f aca="false">-P2_a*P2_al2*SIN(RADIANS($A36))-P2_a*P2_w2^2*COS(RADIANS($A36))+P2_b*G36*SIN(RADIANS(B36))+P2_b*E36^2*COS(RADIANS(B36))</f>
        <v>-405.557243396917</v>
      </c>
      <c r="I36" s="45" t="n">
        <v>45</v>
      </c>
    </row>
    <row r="37" customFormat="false" ht="15" hidden="false" customHeight="false" outlineLevel="0" collapsed="false">
      <c r="A37" s="41" t="n">
        <v>15.5</v>
      </c>
      <c r="B37" s="42" t="n">
        <f aca="false">180-DEGREES(ASIN((P2_a*SIN(RADIANS($A37))-P2_c)/P2_b))</f>
        <v>167.151503250084</v>
      </c>
      <c r="C37" s="42" t="n">
        <f aca="false">P2_a*COS(RADIANS($A37))-P2_b*COS(RADIANS(B37))</f>
        <v>162.421981244264</v>
      </c>
      <c r="D37" s="43" t="n">
        <f aca="false">90-DEGREES(ASIN(ABS((P2_a*SIN(RADIANS($A37))-P2_c)/P2_b)))</f>
        <v>77.1515032500837</v>
      </c>
      <c r="E37" s="44" t="n">
        <f aca="false">P2_a*P2_w2*COS(RADIANS($A37))/(P2_b*COS(RADIANS(B37)))</f>
        <v>-0.823316927678691</v>
      </c>
      <c r="F37" s="42" t="n">
        <f aca="false">-P2_a*P2_w2*SIN(RADIANS($A37))+P2_b*E37*SIN(RADIANS(B37))</f>
        <v>-53.5514984764098</v>
      </c>
      <c r="G37" s="44" t="n">
        <f aca="false">(P2_a*P2_al2*COS(RADIANS($A37))-P2_a*P2_w2^2*SIN(RADIANS($A37))+P2_b*E37^2*SIN(RADIANS(B37)))/(P2_b*COS(RADIANS(B37)))</f>
        <v>0.562699859257577</v>
      </c>
      <c r="H37" s="42" t="n">
        <f aca="false">-P2_a*P2_al2*SIN(RADIANS($A37))-P2_a*P2_w2^2*COS(RADIANS($A37))+P2_b*G37*SIN(RADIANS(B37))+P2_b*E37^2*COS(RADIANS(B37))</f>
        <v>-403.591622241647</v>
      </c>
      <c r="I37" s="45" t="n">
        <v>45</v>
      </c>
    </row>
    <row r="38" customFormat="false" ht="15" hidden="false" customHeight="false" outlineLevel="0" collapsed="false">
      <c r="A38" s="41" t="n">
        <v>16</v>
      </c>
      <c r="B38" s="42" t="n">
        <f aca="false">180-DEGREES(ASIN((P2_a*SIN(RADIANS($A38))-P2_c)/P2_b))</f>
        <v>167.020594289235</v>
      </c>
      <c r="C38" s="42" t="n">
        <f aca="false">P2_a*COS(RADIANS($A38))-P2_b*COS(RADIANS(B38))</f>
        <v>162.271672591799</v>
      </c>
      <c r="D38" s="43" t="n">
        <f aca="false">90-DEGREES(ASIN(ABS((P2_a*SIN(RADIANS($A38))-P2_c)/P2_b)))</f>
        <v>77.0205942892353</v>
      </c>
      <c r="E38" s="44" t="n">
        <f aca="false">P2_a*P2_w2*COS(RADIANS($A38))/(P2_b*COS(RADIANS(B38)))</f>
        <v>-0.82172344949676</v>
      </c>
      <c r="F38" s="42" t="n">
        <f aca="false">-P2_a*P2_w2*SIN(RADIANS($A38))+P2_b*E38*SIN(RADIANS(B38))</f>
        <v>-54.6697979721951</v>
      </c>
      <c r="G38" s="44" t="n">
        <f aca="false">(P2_a*P2_al2*COS(RADIANS($A38))-P2_a*P2_w2^2*SIN(RADIANS($A38))+P2_b*E38^2*SIN(RADIANS(B38)))/(P2_b*COS(RADIANS(B38)))</f>
        <v>0.584605670860481</v>
      </c>
      <c r="H38" s="42" t="n">
        <f aca="false">-P2_a*P2_al2*SIN(RADIANS($A38))-P2_a*P2_w2^2*COS(RADIANS($A38))+P2_b*G38*SIN(RADIANS(B38))+P2_b*E38^2*COS(RADIANS(B38))</f>
        <v>-401.575641321635</v>
      </c>
      <c r="I38" s="45" t="n">
        <v>45</v>
      </c>
    </row>
    <row r="39" customFormat="false" ht="15" hidden="false" customHeight="false" outlineLevel="0" collapsed="false">
      <c r="A39" s="41" t="n">
        <v>16.5</v>
      </c>
      <c r="B39" s="42" t="n">
        <f aca="false">180-DEGREES(ASIN((P2_a*SIN(RADIANS($A39))-P2_c)/P2_b))</f>
        <v>166.889943781095</v>
      </c>
      <c r="C39" s="42" t="n">
        <f aca="false">P2_a*COS(RADIANS($A39))-P2_b*COS(RADIANS(B39))</f>
        <v>162.118265394081</v>
      </c>
      <c r="D39" s="43" t="n">
        <f aca="false">90-DEGREES(ASIN(ABS((P2_a*SIN(RADIANS($A39))-P2_c)/P2_b)))</f>
        <v>76.8899437810954</v>
      </c>
      <c r="E39" s="44" t="n">
        <f aca="false">P2_a*P2_w2*COS(RADIANS($A39))/(P2_b*COS(RADIANS(B39)))</f>
        <v>-0.820069111918366</v>
      </c>
      <c r="F39" s="42" t="n">
        <f aca="false">-P2_a*P2_w2*SIN(RADIANS($A39))+P2_b*E39*SIN(RADIANS(B39))</f>
        <v>-55.7824278559576</v>
      </c>
      <c r="G39" s="44" t="n">
        <f aca="false">(P2_a*P2_al2*COS(RADIANS($A39))-P2_a*P2_w2^2*SIN(RADIANS($A39))+P2_b*E39^2*SIN(RADIANS(B39)))/(P2_b*COS(RADIANS(B39)))</f>
        <v>0.606518477743344</v>
      </c>
      <c r="H39" s="42" t="n">
        <f aca="false">-P2_a*P2_al2*SIN(RADIANS($A39))-P2_a*P2_w2^2*COS(RADIANS($A39))+P2_b*G39*SIN(RADIANS(B39))+P2_b*E39^2*COS(RADIANS(B39))</f>
        <v>-399.509542688196</v>
      </c>
      <c r="I39" s="45" t="n">
        <v>45</v>
      </c>
    </row>
    <row r="40" customFormat="false" ht="15" hidden="false" customHeight="false" outlineLevel="0" collapsed="false">
      <c r="A40" s="41" t="n">
        <v>17</v>
      </c>
      <c r="B40" s="42" t="n">
        <f aca="false">180-DEGREES(ASIN((P2_a*SIN(RADIANS($A40))-P2_c)/P2_b))</f>
        <v>166.759561413219</v>
      </c>
      <c r="C40" s="42" t="n">
        <f aca="false">P2_a*COS(RADIANS($A40))-P2_b*COS(RADIANS(B40))</f>
        <v>161.961775593067</v>
      </c>
      <c r="D40" s="43" t="n">
        <f aca="false">90-DEGREES(ASIN(ABS((P2_a*SIN(RADIANS($A40))-P2_c)/P2_b)))</f>
        <v>76.7595614132188</v>
      </c>
      <c r="E40" s="44" t="n">
        <f aca="false">P2_a*P2_w2*COS(RADIANS($A40))/(P2_b*COS(RADIANS(B40)))</f>
        <v>-0.818353896746828</v>
      </c>
      <c r="F40" s="42" t="n">
        <f aca="false">-P2_a*P2_w2*SIN(RADIANS($A40))+P2_b*E40*SIN(RADIANS(B40))</f>
        <v>-56.8892492585859</v>
      </c>
      <c r="G40" s="44" t="n">
        <f aca="false">(P2_a*P2_al2*COS(RADIANS($A40))-P2_a*P2_w2^2*SIN(RADIANS($A40))+P2_b*E40^2*SIN(RADIANS(B40)))/(P2_b*COS(RADIANS(B40)))</f>
        <v>0.628437387365699</v>
      </c>
      <c r="H40" s="42" t="n">
        <f aca="false">-P2_a*P2_al2*SIN(RADIANS($A40))-P2_a*P2_w2^2*COS(RADIANS($A40))+P2_b*G40*SIN(RADIANS(B40))+P2_b*E40^2*COS(RADIANS(B40))</f>
        <v>-397.39357753291</v>
      </c>
      <c r="I40" s="45" t="n">
        <v>45</v>
      </c>
    </row>
    <row r="41" customFormat="false" ht="15" hidden="false" customHeight="false" outlineLevel="0" collapsed="false">
      <c r="A41" s="41" t="n">
        <v>17.5</v>
      </c>
      <c r="B41" s="42" t="n">
        <f aca="false">180-DEGREES(ASIN((P2_a*SIN(RADIANS($A41))-P2_c)/P2_b))</f>
        <v>166.629456875857</v>
      </c>
      <c r="C41" s="42" t="n">
        <f aca="false">P2_a*COS(RADIANS($A41))-P2_b*COS(RADIANS(B41))</f>
        <v>161.802219515481</v>
      </c>
      <c r="D41" s="43" t="n">
        <f aca="false">90-DEGREES(ASIN(ABS((P2_a*SIN(RADIANS($A41))-P2_c)/P2_b)))</f>
        <v>76.6294568758573</v>
      </c>
      <c r="E41" s="44" t="n">
        <f aca="false">P2_a*P2_w2*COS(RADIANS($A41))/(P2_b*COS(RADIANS(B41)))</f>
        <v>-0.816577788294926</v>
      </c>
      <c r="F41" s="42" t="n">
        <f aca="false">-P2_a*P2_w2*SIN(RADIANS($A41))+P2_b*E41*SIN(RADIANS(B41))</f>
        <v>-57.9901240214379</v>
      </c>
      <c r="G41" s="44" t="n">
        <f aca="false">(P2_a*P2_al2*COS(RADIANS($A41))-P2_a*P2_w2^2*SIN(RADIANS($A41))+P2_b*E41^2*SIN(RADIANS(B41)))/(P2_b*COS(RADIANS(B41)))</f>
        <v>0.650361485361721</v>
      </c>
      <c r="H41" s="42" t="n">
        <f aca="false">-P2_a*P2_al2*SIN(RADIANS($A41))-P2_a*P2_w2^2*COS(RADIANS($A41))+P2_b*G41*SIN(RADIANS(B41))+P2_b*E41^2*COS(RADIANS(B41))</f>
        <v>-395.228006204766</v>
      </c>
      <c r="I41" s="45" t="n">
        <v>45</v>
      </c>
    </row>
    <row r="42" customFormat="false" ht="15" hidden="false" customHeight="false" outlineLevel="0" collapsed="false">
      <c r="A42" s="41" t="n">
        <v>18</v>
      </c>
      <c r="B42" s="42" t="n">
        <f aca="false">180-DEGREES(ASIN((P2_a*SIN(RADIANS($A42))-P2_c)/P2_b))</f>
        <v>166.499639861556</v>
      </c>
      <c r="C42" s="42" t="n">
        <f aca="false">P2_a*COS(RADIANS($A42))-P2_b*COS(RADIANS(B42))</f>
        <v>161.639613870807</v>
      </c>
      <c r="D42" s="43" t="n">
        <f aca="false">90-DEGREES(ASIN(ABS((P2_a*SIN(RADIANS($A42))-P2_c)/P2_b)))</f>
        <v>76.4996398615558</v>
      </c>
      <c r="E42" s="44" t="n">
        <f aca="false">P2_a*P2_w2*COS(RADIANS($A42))/(P2_b*COS(RADIANS(B42)))</f>
        <v>-0.814740773446324</v>
      </c>
      <c r="F42" s="42" t="n">
        <f aca="false">-P2_a*P2_w2*SIN(RADIANS($A42))+P2_b*E42*SIN(RADIANS(B42))</f>
        <v>-59.0849147218008</v>
      </c>
      <c r="G42" s="44" t="n">
        <f aca="false">(P2_a*P2_al2*COS(RADIANS($A42))-P2_a*P2_w2^2*SIN(RADIANS($A42))+P2_b*E42^2*SIN(RADIANS(B42)))/(P2_b*COS(RADIANS(B42)))</f>
        <v>0.672289834966035</v>
      </c>
      <c r="H42" s="42" t="n">
        <f aca="false">-P2_a*P2_al2*SIN(RADIANS($A42))-P2_a*P2_w2^2*COS(RADIANS($A42))+P2_b*G42*SIN(RADIANS(B42))+P2_b*E42^2*COS(RADIANS(B42))</f>
        <v>-393.013098226353</v>
      </c>
      <c r="I42" s="45" t="n">
        <v>45</v>
      </c>
    </row>
    <row r="43" customFormat="false" ht="15" hidden="false" customHeight="false" outlineLevel="0" collapsed="false">
      <c r="A43" s="41" t="n">
        <v>18.5</v>
      </c>
      <c r="B43" s="42" t="n">
        <f aca="false">180-DEGREES(ASIN((P2_a*SIN(RADIANS($A43))-P2_c)/P2_b))</f>
        <v>166.370120064738</v>
      </c>
      <c r="C43" s="42" t="n">
        <f aca="false">P2_a*COS(RADIANS($A43))-P2_b*COS(RADIANS(B43))</f>
        <v>161.473975749203</v>
      </c>
      <c r="D43" s="43" t="n">
        <f aca="false">90-DEGREES(ASIN(ABS((P2_a*SIN(RADIANS($A43))-P2_c)/P2_b)))</f>
        <v>76.3701200647379</v>
      </c>
      <c r="E43" s="44" t="n">
        <f aca="false">P2_a*P2_w2*COS(RADIANS($A43))/(P2_b*COS(RADIANS(B43)))</f>
        <v>-0.812842841718579</v>
      </c>
      <c r="F43" s="42" t="n">
        <f aca="false">-P2_a*P2_w2*SIN(RADIANS($A43))+P2_b*E43*SIN(RADIANS(B43))</f>
        <v>-60.1734846983939</v>
      </c>
      <c r="G43" s="44" t="n">
        <f aca="false">(P2_a*P2_al2*COS(RADIANS($A43))-P2_a*P2_w2^2*SIN(RADIANS($A43))+P2_b*E43^2*SIN(RADIANS(B43)))/(P2_b*COS(RADIANS(B43)))</f>
        <v>0.694221476444341</v>
      </c>
      <c r="H43" s="42" t="n">
        <f aca="false">-P2_a*P2_al2*SIN(RADIANS($A43))-P2_a*P2_w2^2*COS(RADIANS($A43))+P2_b*G43*SIN(RADIANS(B43))+P2_b*E43^2*COS(RADIANS(B43))</f>
        <v>-390.749132309019</v>
      </c>
      <c r="I43" s="45" t="n">
        <v>45</v>
      </c>
    </row>
    <row r="44" customFormat="false" ht="15" hidden="false" customHeight="false" outlineLevel="0" collapsed="false">
      <c r="A44" s="41" t="n">
        <v>19</v>
      </c>
      <c r="B44" s="42" t="n">
        <f aca="false">180-DEGREES(ASIN((P2_a*SIN(RADIANS($A44))-P2_c)/P2_b))</f>
        <v>166.240907181282</v>
      </c>
      <c r="C44" s="42" t="n">
        <f aca="false">P2_a*COS(RADIANS($A44))-P2_b*COS(RADIANS(B44))</f>
        <v>161.305322619358</v>
      </c>
      <c r="D44" s="43" t="n">
        <f aca="false">90-DEGREES(ASIN(ABS((P2_a*SIN(RADIANS($A44))-P2_c)/P2_b)))</f>
        <v>76.2409071812816</v>
      </c>
      <c r="E44" s="44" t="n">
        <f aca="false">P2_a*P2_w2*COS(RADIANS($A44))/(P2_b*COS(RADIANS(B44)))</f>
        <v>-0.810883985327735</v>
      </c>
      <c r="F44" s="42" t="n">
        <f aca="false">-P2_a*P2_w2*SIN(RADIANS($A44))+P2_b*E44*SIN(RADIANS(B44))</f>
        <v>-61.2556980769139</v>
      </c>
      <c r="G44" s="44" t="n">
        <f aca="false">(P2_a*P2_al2*COS(RADIANS($A44))-P2_a*P2_w2^2*SIN(RADIANS($A44))+P2_b*E44^2*SIN(RADIANS(B44)))/(P2_b*COS(RADIANS(B44)))</f>
        <v>0.716155426529296</v>
      </c>
      <c r="H44" s="42" t="n">
        <f aca="false">-P2_a*P2_al2*SIN(RADIANS($A44))-P2_a*P2_w2^2*COS(RADIANS($A44))+P2_b*G44*SIN(RADIANS(B44))+P2_b*E44^2*COS(RADIANS(B44))</f>
        <v>-388.436396366967</v>
      </c>
      <c r="I44" s="45" t="n">
        <v>45</v>
      </c>
    </row>
    <row r="45" customFormat="false" ht="15" hidden="false" customHeight="false" outlineLevel="0" collapsed="false">
      <c r="A45" s="41" t="n">
        <v>19.5</v>
      </c>
      <c r="B45" s="42" t="n">
        <f aca="false">180-DEGREES(ASIN((P2_a*SIN(RADIANS($A45))-P2_c)/P2_b))</f>
        <v>166.112010908085</v>
      </c>
      <c r="C45" s="42" t="n">
        <f aca="false">P2_a*COS(RADIANS($A45))-P2_b*COS(RADIANS(B45))</f>
        <v>161.133672326264</v>
      </c>
      <c r="D45" s="43" t="n">
        <f aca="false">90-DEGREES(ASIN(ABS((P2_a*SIN(RADIANS($A45))-P2_c)/P2_b)))</f>
        <v>76.112010908085</v>
      </c>
      <c r="E45" s="44" t="n">
        <f aca="false">P2_a*P2_w2*COS(RADIANS($A45))/(P2_b*COS(RADIANS(B45)))</f>
        <v>-0.808864199254464</v>
      </c>
      <c r="F45" s="42" t="n">
        <f aca="false">-P2_a*P2_w2*SIN(RADIANS($A45))+P2_b*E45*SIN(RADIANS(B45))</f>
        <v>-62.3314197956157</v>
      </c>
      <c r="G45" s="44" t="n">
        <f aca="false">(P2_a*P2_al2*COS(RADIANS($A45))-P2_a*P2_w2^2*SIN(RADIANS($A45))+P2_b*E45^2*SIN(RADIANS(B45)))/(P2_b*COS(RADIANS(B45)))</f>
        <v>0.738090677862098</v>
      </c>
      <c r="H45" s="42" t="n">
        <f aca="false">-P2_a*P2_al2*SIN(RADIANS($A45))-P2_a*P2_w2^2*COS(RADIANS($A45))+P2_b*G45*SIN(RADIANS(B45))+P2_b*E45^2*COS(RADIANS(B45))</f>
        <v>-386.075187530205</v>
      </c>
      <c r="I45" s="45" t="n">
        <v>45</v>
      </c>
    </row>
    <row r="46" customFormat="false" ht="15" hidden="false" customHeight="false" outlineLevel="0" collapsed="false">
      <c r="A46" s="41" t="n">
        <v>20</v>
      </c>
      <c r="B46" s="42" t="n">
        <f aca="false">180-DEGREES(ASIN((P2_a*SIN(RADIANS($A46))-P2_c)/P2_b))</f>
        <v>165.98344094262</v>
      </c>
      <c r="C46" s="42" t="n">
        <f aca="false">P2_a*COS(RADIANS($A46))-P2_b*COS(RADIANS(B46))</f>
        <v>160.95904308893</v>
      </c>
      <c r="D46" s="43" t="n">
        <f aca="false">90-DEGREES(ASIN(ABS((P2_a*SIN(RADIANS($A46))-P2_c)/P2_b)))</f>
        <v>75.98344094262</v>
      </c>
      <c r="E46" s="44" t="n">
        <f aca="false">P2_a*P2_w2*COS(RADIANS($A46))/(P2_b*COS(RADIANS(B46)))</f>
        <v>-0.806783481311756</v>
      </c>
      <c r="F46" s="42" t="n">
        <f aca="false">-P2_a*P2_w2*SIN(RADIANS($A46))+P2_b*E46*SIN(RADIANS(B46))</f>
        <v>-63.4005156309288</v>
      </c>
      <c r="G46" s="44" t="n">
        <f aca="false">(P2_a*P2_al2*COS(RADIANS($A46))-P2_a*P2_w2^2*SIN(RADIANS($A46))+P2_b*E46^2*SIN(RADIANS(B46)))/(P2_b*COS(RADIANS(B46)))</f>
        <v>0.760026198440226</v>
      </c>
      <c r="H46" s="42" t="n">
        <f aca="false">-P2_a*P2_al2*SIN(RADIANS($A46))-P2_a*P2_w2^2*COS(RADIANS($A46))+P2_b*G46*SIN(RADIANS(B46))+P2_b*E46^2*COS(RADIANS(B46))</f>
        <v>-383.665812156301</v>
      </c>
      <c r="I46" s="45" t="n">
        <v>45</v>
      </c>
    </row>
    <row r="47" customFormat="false" ht="15" hidden="false" customHeight="false" outlineLevel="0" collapsed="false">
      <c r="A47" s="41" t="n">
        <v>20.5</v>
      </c>
      <c r="B47" s="42" t="n">
        <f aca="false">180-DEGREES(ASIN((P2_a*SIN(RADIANS($A47))-P2_c)/P2_b))</f>
        <v>165.855206982477</v>
      </c>
      <c r="C47" s="42" t="n">
        <f aca="false">P2_a*COS(RADIANS($A47))-P2_b*COS(RADIANS(B47))</f>
        <v>160.781453498012</v>
      </c>
      <c r="D47" s="43" t="n">
        <f aca="false">90-DEGREES(ASIN(ABS((P2_a*SIN(RADIANS($A47))-P2_c)/P2_b)))</f>
        <v>75.8552069824771</v>
      </c>
      <c r="E47" s="44" t="n">
        <f aca="false">P2_a*P2_w2*COS(RADIANS($A47))/(P2_b*COS(RADIANS(B47)))</f>
        <v>-0.804641832214137</v>
      </c>
      <c r="F47" s="42" t="n">
        <f aca="false">-P2_a*P2_w2*SIN(RADIANS($A47))+P2_b*E47*SIN(RADIANS(B47))</f>
        <v>-64.4628522231046</v>
      </c>
      <c r="G47" s="44" t="n">
        <f aca="false">(P2_a*P2_al2*COS(RADIANS($A47))-P2_a*P2_w2^2*SIN(RADIANS($A47))+P2_b*E47^2*SIN(RADIANS(B47)))/(P2_b*COS(RADIANS(B47)))</f>
        <v>0.781960931071806</v>
      </c>
      <c r="H47" s="42" t="n">
        <f aca="false">-P2_a*P2_al2*SIN(RADIANS($A47))-P2_a*P2_w2^2*COS(RADIANS($A47))+P2_b*G47*SIN(RADIANS(B47))+P2_b*E47^2*COS(RADIANS(B47))</f>
        <v>-381.208585840872</v>
      </c>
      <c r="I47" s="45" t="n">
        <v>45</v>
      </c>
    </row>
    <row r="48" customFormat="false" ht="15" hidden="false" customHeight="false" outlineLevel="0" collapsed="false">
      <c r="A48" s="41" t="n">
        <v>21</v>
      </c>
      <c r="B48" s="42" t="n">
        <f aca="false">180-DEGREES(ASIN((P2_a*SIN(RADIANS($A48))-P2_c)/P2_b))</f>
        <v>165.727318724897</v>
      </c>
      <c r="C48" s="42" t="n">
        <f aca="false">P2_a*COS(RADIANS($A48))-P2_b*COS(RADIANS(B48))</f>
        <v>160.60092251338</v>
      </c>
      <c r="D48" s="43" t="n">
        <f aca="false">90-DEGREES(ASIN(ABS((P2_a*SIN(RADIANS($A48))-P2_c)/P2_b)))</f>
        <v>75.7273187248972</v>
      </c>
      <c r="E48" s="44" t="n">
        <f aca="false">P2_a*P2_w2*COS(RADIANS($A48))/(P2_b*COS(RADIANS(B48)))</f>
        <v>-0.802439255648386</v>
      </c>
      <c r="F48" s="42" t="n">
        <f aca="false">-P2_a*P2_w2*SIN(RADIANS($A48))+P2_b*E48*SIN(RADIANS(B48))</f>
        <v>-65.51829710189</v>
      </c>
      <c r="G48" s="44" t="n">
        <f aca="false">(P2_a*P2_al2*COS(RADIANS($A48))-P2_a*P2_w2^2*SIN(RADIANS($A48))+P2_b*E48^2*SIN(RADIANS(B48)))/(P2_b*COS(RADIANS(B48)))</f>
        <v>0.803893792837085</v>
      </c>
      <c r="H48" s="42" t="n">
        <f aca="false">-P2_a*P2_al2*SIN(RADIANS($A48))-P2_a*P2_w2^2*COS(RADIANS($A48))+P2_b*G48*SIN(RADIANS(B48))+P2_b*E48^2*COS(RADIANS(B48))</f>
        <v>-378.703833426749</v>
      </c>
      <c r="I48" s="45" t="n">
        <v>45</v>
      </c>
    </row>
    <row r="49" customFormat="false" ht="15" hidden="false" customHeight="false" outlineLevel="0" collapsed="false">
      <c r="A49" s="41" t="n">
        <v>21.5</v>
      </c>
      <c r="B49" s="42" t="n">
        <f aca="false">180-DEGREES(ASIN((P2_a*SIN(RADIANS($A49))-P2_c)/P2_b))</f>
        <v>165.599785866293</v>
      </c>
      <c r="C49" s="42" t="n">
        <f aca="false">P2_a*COS(RADIANS($A49))-P2_b*COS(RADIANS(B49))</f>
        <v>160.417469461612</v>
      </c>
      <c r="D49" s="43" t="n">
        <f aca="false">90-DEGREES(ASIN(ABS((P2_a*SIN(RADIANS($A49))-P2_c)/P2_b)))</f>
        <v>75.5997858662932</v>
      </c>
      <c r="E49" s="44" t="n">
        <f aca="false">P2_a*P2_w2*COS(RADIANS($A49))/(P2_b*COS(RADIANS(B49)))</f>
        <v>-0.800175758345739</v>
      </c>
      <c r="F49" s="42" t="n">
        <f aca="false">-P2_a*P2_w2*SIN(RADIANS($A49))+P2_b*E49*SIN(RADIANS(B49))</f>
        <v>-66.5667187122258</v>
      </c>
      <c r="G49" s="44" t="n">
        <f aca="false">(P2_a*P2_al2*COS(RADIANS($A49))-P2_a*P2_w2^2*SIN(RADIANS($A49))+P2_b*E49^2*SIN(RADIANS(B49)))/(P2_b*COS(RADIANS(B49)))</f>
        <v>0.825823674557496</v>
      </c>
      <c r="H49" s="42" t="n">
        <f aca="false">-P2_a*P2_al2*SIN(RADIANS($A49))-P2_a*P2_w2^2*COS(RADIANS($A49))+P2_b*G49*SIN(RADIANS(B49))+P2_b*E49^2*COS(RADIANS(B49))</f>
        <v>-376.151889011741</v>
      </c>
      <c r="I49" s="45" t="n">
        <v>45</v>
      </c>
    </row>
    <row r="50" customFormat="false" ht="15" hidden="false" customHeight="false" outlineLevel="0" collapsed="false">
      <c r="A50" s="41" t="n">
        <v>22</v>
      </c>
      <c r="B50" s="42" t="n">
        <f aca="false">180-DEGREES(ASIN((P2_a*SIN(RADIANS($A50))-P2_c)/P2_b))</f>
        <v>165.47261810176</v>
      </c>
      <c r="C50" s="42" t="n">
        <f aca="false">P2_a*COS(RADIANS($A50))-P2_b*COS(RADIANS(B50))</f>
        <v>160.231114033418</v>
      </c>
      <c r="D50" s="43" t="n">
        <f aca="false">90-DEGREES(ASIN(ABS((P2_a*SIN(RADIANS($A50))-P2_c)/P2_b)))</f>
        <v>75.4726181017597</v>
      </c>
      <c r="E50" s="44" t="n">
        <f aca="false">P2_a*P2_w2*COS(RADIANS($A50))/(P2_b*COS(RADIANS(B50)))</f>
        <v>-0.797851350155562</v>
      </c>
      <c r="F50" s="42" t="n">
        <f aca="false">-P2_a*P2_w2*SIN(RADIANS($A50))+P2_b*E50*SIN(RADIANS(B50))</f>
        <v>-67.6079864399639</v>
      </c>
      <c r="G50" s="44" t="n">
        <f aca="false">(P2_a*P2_al2*COS(RADIANS($A50))-P2_a*P2_w2^2*SIN(RADIANS($A50))+P2_b*E50^2*SIN(RADIANS(B50)))/(P2_b*COS(RADIANS(B50)))</f>
        <v>0.847749440272825</v>
      </c>
      <c r="H50" s="42" t="n">
        <f aca="false">-P2_a*P2_al2*SIN(RADIANS($A50))-P2_a*P2_w2^2*COS(RADIANS($A50))+P2_b*G50*SIN(RADIANS(B50))+P2_b*E50^2*COS(RADIANS(B50))</f>
        <v>-373.553095954932</v>
      </c>
      <c r="I50" s="45" t="n">
        <v>45</v>
      </c>
    </row>
    <row r="51" customFormat="false" ht="15" hidden="false" customHeight="false" outlineLevel="0" collapsed="false">
      <c r="A51" s="41" t="n">
        <v>22.5</v>
      </c>
      <c r="B51" s="42" t="n">
        <f aca="false">180-DEGREES(ASIN((P2_a*SIN(RADIANS($A51))-P2_c)/P2_b))</f>
        <v>165.34582512457</v>
      </c>
      <c r="C51" s="42" t="n">
        <f aca="false">P2_a*COS(RADIANS($A51))-P2_b*COS(RADIANS(B51))</f>
        <v>160.041876280986</v>
      </c>
      <c r="D51" s="43" t="n">
        <f aca="false">90-DEGREES(ASIN(ABS((P2_a*SIN(RADIANS($A51))-P2_c)/P2_b)))</f>
        <v>75.3458251245704</v>
      </c>
      <c r="E51" s="44" t="n">
        <f aca="false">P2_a*P2_w2*COS(RADIANS($A51))/(P2_b*COS(RADIANS(B51)))</f>
        <v>-0.795466044120459</v>
      </c>
      <c r="F51" s="42" t="n">
        <f aca="false">-P2_a*P2_w2*SIN(RADIANS($A51))+P2_b*E51*SIN(RADIANS(B51))</f>
        <v>-68.6419706375999</v>
      </c>
      <c r="G51" s="44" t="n">
        <f aca="false">(P2_a*P2_al2*COS(RADIANS($A51))-P2_a*P2_w2^2*SIN(RADIANS($A51))+P2_b*E51^2*SIN(RADIANS(B51)))/(P2_b*COS(RADIANS(B51)))</f>
        <v>0.869669926726986</v>
      </c>
      <c r="H51" s="42" t="n">
        <f aca="false">-P2_a*P2_al2*SIN(RADIANS($A51))-P2_a*P2_w2^2*COS(RADIANS($A51))+P2_b*G51*SIN(RADIANS(B51))+P2_b*E51^2*COS(RADIANS(B51))</f>
        <v>-370.907806881448</v>
      </c>
      <c r="I51" s="45" t="n">
        <v>45</v>
      </c>
    </row>
    <row r="52" customFormat="false" ht="15" hidden="false" customHeight="false" outlineLevel="0" collapsed="false">
      <c r="A52" s="41" t="n">
        <v>23</v>
      </c>
      <c r="B52" s="42" t="n">
        <f aca="false">180-DEGREES(ASIN((P2_a*SIN(RADIANS($A52))-P2_c)/P2_b))</f>
        <v>165.219416625664</v>
      </c>
      <c r="C52" s="42" t="n">
        <f aca="false">P2_a*COS(RADIANS($A52))-P2_b*COS(RADIANS(B52))</f>
        <v>159.849776615264</v>
      </c>
      <c r="D52" s="43" t="n">
        <f aca="false">90-DEGREES(ASIN(ABS((P2_a*SIN(RADIANS($A52))-P2_c)/P2_b)))</f>
        <v>75.2194166256642</v>
      </c>
      <c r="E52" s="44" t="n">
        <f aca="false">P2_a*P2_w2*COS(RADIANS($A52))/(P2_b*COS(RADIANS(B52)))</f>
        <v>-0.793019856552796</v>
      </c>
      <c r="F52" s="42" t="n">
        <f aca="false">-P2_a*P2_w2*SIN(RADIANS($A52))+P2_b*E52*SIN(RADIANS(B52))</f>
        <v>-69.6685426500169</v>
      </c>
      <c r="G52" s="44" t="n">
        <f aca="false">(P2_a*P2_al2*COS(RADIANS($A52))-P2_a*P2_w2^2*SIN(RADIANS($A52))+P2_b*E52^2*SIN(RADIANS(B52)))/(P2_b*COS(RADIANS(B52)))</f>
        <v>0.891583942862928</v>
      </c>
      <c r="H52" s="42" t="n">
        <f aca="false">-P2_a*P2_al2*SIN(RADIANS($A52))-P2_a*P2_w2^2*COS(RADIANS($A52))+P2_b*G52*SIN(RADIANS(B52))+P2_b*E52^2*COS(RADIANS(B52))</f>
        <v>-368.216383685606</v>
      </c>
      <c r="I52" s="45" t="n">
        <v>45</v>
      </c>
    </row>
    <row r="53" customFormat="false" ht="15" hidden="false" customHeight="false" outlineLevel="0" collapsed="false">
      <c r="A53" s="41" t="n">
        <v>23.5</v>
      </c>
      <c r="B53" s="42" t="n">
        <f aca="false">180-DEGREES(ASIN((P2_a*SIN(RADIANS($A53))-P2_c)/P2_b))</f>
        <v>165.093402293118</v>
      </c>
      <c r="C53" s="42" t="n">
        <f aca="false">P2_a*COS(RADIANS($A53))-P2_b*COS(RADIANS(B53))</f>
        <v>159.654835803168</v>
      </c>
      <c r="D53" s="43" t="n">
        <f aca="false">90-DEGREES(ASIN(ABS((P2_a*SIN(RADIANS($A53))-P2_c)/P2_b)))</f>
        <v>75.0934022931183</v>
      </c>
      <c r="E53" s="44" t="n">
        <f aca="false">P2_a*P2_w2*COS(RADIANS($A53))/(P2_b*COS(RADIANS(B53)))</f>
        <v>-0.79051280711262</v>
      </c>
      <c r="F53" s="42" t="n">
        <f aca="false">-P2_a*P2_w2*SIN(RADIANS($A53))+P2_b*E53*SIN(RADIANS(B53))</f>
        <v>-70.6875748402362</v>
      </c>
      <c r="G53" s="44" t="n">
        <f aca="false">(P2_a*P2_al2*COS(RADIANS($A53))-P2_a*P2_w2^2*SIN(RADIANS($A53))+P2_b*E53^2*SIN(RADIANS(B53)))/(P2_b*COS(RADIANS(B53)))</f>
        <v>0.913490269327217</v>
      </c>
      <c r="H53" s="42" t="n">
        <f aca="false">-P2_a*P2_al2*SIN(RADIANS($A53))-P2_a*P2_w2^2*COS(RADIANS($A53))+P2_b*G53*SIN(RADIANS(B53))+P2_b*E53^2*COS(RADIANS(B53))</f>
        <v>-365.479197532382</v>
      </c>
      <c r="I53" s="45" t="n">
        <v>45</v>
      </c>
    </row>
    <row r="54" customFormat="false" ht="15" hidden="false" customHeight="false" outlineLevel="0" collapsed="false">
      <c r="A54" s="41" t="n">
        <v>24</v>
      </c>
      <c r="B54" s="42" t="n">
        <f aca="false">180-DEGREES(ASIN((P2_a*SIN(RADIANS($A54))-P2_c)/P2_b))</f>
        <v>164.967791811609</v>
      </c>
      <c r="C54" s="42" t="n">
        <f aca="false">P2_a*COS(RADIANS($A54))-P2_b*COS(RADIANS(B54))</f>
        <v>159.457074964717</v>
      </c>
      <c r="D54" s="43" t="n">
        <f aca="false">90-DEGREES(ASIN(ABS((P2_a*SIN(RADIANS($A54))-P2_c)/P2_b)))</f>
        <v>74.9677918116094</v>
      </c>
      <c r="E54" s="44" t="n">
        <f aca="false">P2_a*P2_w2*COS(RADIANS($A54))/(P2_b*COS(RADIANS(B54)))</f>
        <v>-0.787944918886933</v>
      </c>
      <c r="F54" s="42" t="n">
        <f aca="false">-P2_a*P2_w2*SIN(RADIANS($A54))+P2_b*E54*SIN(RADIANS(B54))</f>
        <v>-71.6989406151681</v>
      </c>
      <c r="G54" s="44" t="n">
        <f aca="false">(P2_a*P2_al2*COS(RADIANS($A54))-P2_a*P2_w2^2*SIN(RADIANS($A54))+P2_b*E54^2*SIN(RADIANS(B54)))/(P2_b*COS(RADIANS(B54)))</f>
        <v>0.93538765798483</v>
      </c>
      <c r="H54" s="42" t="n">
        <f aca="false">-P2_a*P2_al2*SIN(RADIANS($A54))-P2_a*P2_w2^2*COS(RADIANS($A54))+P2_b*G54*SIN(RADIANS(B54))+P2_b*E54^2*COS(RADIANS(B54))</f>
        <v>-362.696628857117</v>
      </c>
      <c r="I54" s="45" t="n">
        <v>45</v>
      </c>
    </row>
    <row r="55" customFormat="false" ht="15" hidden="false" customHeight="false" outlineLevel="0" collapsed="false">
      <c r="A55" s="41" t="n">
        <v>24.5</v>
      </c>
      <c r="B55" s="42" t="n">
        <f aca="false">180-DEGREES(ASIN((P2_a*SIN(RADIANS($A55))-P2_c)/P2_b))</f>
        <v>164.842594861862</v>
      </c>
      <c r="C55" s="42" t="n">
        <f aca="false">P2_a*COS(RADIANS($A55))-P2_b*COS(RADIANS(B55))</f>
        <v>159.256515570098</v>
      </c>
      <c r="D55" s="43" t="n">
        <f aca="false">90-DEGREES(ASIN(ABS((P2_a*SIN(RADIANS($A55))-P2_c)/P2_b)))</f>
        <v>74.8425948618616</v>
      </c>
      <c r="E55" s="44" t="n">
        <f aca="false">P2_a*P2_w2*COS(RADIANS($A55))/(P2_b*COS(RADIANS(B55)))</f>
        <v>-0.785316218470304</v>
      </c>
      <c r="F55" s="42" t="n">
        <f aca="false">-P2_a*P2_w2*SIN(RADIANS($A55))+P2_b*E55*SIN(RADIANS(B55))</f>
        <v>-72.7025144513615</v>
      </c>
      <c r="G55" s="44" t="n">
        <f aca="false">(P2_a*P2_al2*COS(RADIANS($A55))-P2_a*P2_w2^2*SIN(RADIANS($A55))+P2_b*E55^2*SIN(RADIANS(B55)))/(P2_b*COS(RADIANS(B55)))</f>
        <v>0.957274831444711</v>
      </c>
      <c r="H55" s="42" t="n">
        <f aca="false">-P2_a*P2_al2*SIN(RADIANS($A55))-P2_a*P2_w2^2*COS(RADIANS($A55))+P2_b*G55*SIN(RADIANS(B55))+P2_b*E55^2*COS(RADIANS(B55))</f>
        <v>-359.869067363383</v>
      </c>
      <c r="I55" s="45" t="n">
        <v>45</v>
      </c>
    </row>
    <row r="56" customFormat="false" ht="15" hidden="false" customHeight="false" outlineLevel="0" collapsed="false">
      <c r="A56" s="41" t="n">
        <v>25</v>
      </c>
      <c r="B56" s="42" t="n">
        <f aca="false">180-DEGREES(ASIN((P2_a*SIN(RADIANS($A56))-P2_c)/P2_b))</f>
        <v>164.717821120082</v>
      </c>
      <c r="C56" s="42" t="n">
        <f aca="false">P2_a*COS(RADIANS($A56))-P2_b*COS(RADIANS(B56))</f>
        <v>159.053179436658</v>
      </c>
      <c r="D56" s="43" t="n">
        <f aca="false">90-DEGREES(ASIN(ABS((P2_a*SIN(RADIANS($A56))-P2_c)/P2_b)))</f>
        <v>74.7178211200819</v>
      </c>
      <c r="E56" s="44" t="n">
        <f aca="false">P2_a*P2_w2*COS(RADIANS($A56))/(P2_b*COS(RADIANS(B56)))</f>
        <v>-0.78262673604678</v>
      </c>
      <c r="F56" s="42" t="n">
        <f aca="false">-P2_a*P2_w2*SIN(RADIANS($A56))+P2_b*E56*SIN(RADIANS(B56))</f>
        <v>-73.6981719207431</v>
      </c>
      <c r="G56" s="44" t="n">
        <f aca="false">(P2_a*P2_al2*COS(RADIANS($A56))-P2_a*P2_w2^2*SIN(RADIANS($A56))+P2_b*E56^2*SIN(RADIANS(B56)))/(P2_b*COS(RADIANS(B56)))</f>
        <v>0.979150482596684</v>
      </c>
      <c r="H56" s="42" t="n">
        <f aca="false">-P2_a*P2_al2*SIN(RADIANS($A56))-P2_a*P2_w2^2*COS(RADIANS($A56))+P2_b*G56*SIN(RADIANS(B56))+P2_b*E56^2*COS(RADIANS(B56))</f>
        <v>-356.99691201893</v>
      </c>
      <c r="I56" s="45" t="n">
        <v>45</v>
      </c>
    </row>
    <row r="57" customFormat="false" ht="15" hidden="false" customHeight="false" outlineLevel="0" collapsed="false">
      <c r="A57" s="41" t="n">
        <v>25.5</v>
      </c>
      <c r="B57" s="42" t="n">
        <f aca="false">180-DEGREES(ASIN((P2_a*SIN(RADIANS($A57))-P2_c)/P2_b))</f>
        <v>164.593480257382</v>
      </c>
      <c r="C57" s="42" t="n">
        <f aca="false">P2_a*COS(RADIANS($A57))-P2_b*COS(RADIANS(B57))</f>
        <v>158.847088725827</v>
      </c>
      <c r="D57" s="43" t="n">
        <f aca="false">90-DEGREES(ASIN(ABS((P2_a*SIN(RADIANS($A57))-P2_c)/P2_b)))</f>
        <v>74.5934802573822</v>
      </c>
      <c r="E57" s="44" t="n">
        <f aca="false">P2_a*P2_w2*COS(RADIANS($A57))/(P2_b*COS(RADIANS(B57)))</f>
        <v>-0.77987650547307</v>
      </c>
      <c r="F57" s="42" t="n">
        <f aca="false">-P2_a*P2_w2*SIN(RADIANS($A57))+P2_b*E57*SIN(RADIANS(B57))</f>
        <v>-74.6857897163434</v>
      </c>
      <c r="G57" s="44" t="n">
        <f aca="false">(P2_a*P2_al2*COS(RADIANS($A57))-P2_a*P2_w2^2*SIN(RADIANS($A57))+P2_b*E57^2*SIN(RADIANS(B57)))/(P2_b*COS(RADIANS(B57)))</f>
        <v>1.00101327416026</v>
      </c>
      <c r="H57" s="42" t="n">
        <f aca="false">-P2_a*P2_al2*SIN(RADIANS($A57))-P2_a*P2_w2^2*COS(RADIANS($A57))+P2_b*G57*SIN(RADIANS(B57))+P2_b*E57^2*COS(RADIANS(B57))</f>
        <v>-354.080571049634</v>
      </c>
      <c r="I57" s="45" t="n">
        <v>45</v>
      </c>
    </row>
    <row r="58" customFormat="false" ht="15" hidden="false" customHeight="false" outlineLevel="0" collapsed="false">
      <c r="A58" s="41" t="n">
        <v>26</v>
      </c>
      <c r="B58" s="42" t="n">
        <f aca="false">180-DEGREES(ASIN((P2_a*SIN(RADIANS($A58))-P2_c)/P2_b))</f>
        <v>164.469581939188</v>
      </c>
      <c r="C58" s="42" t="n">
        <f aca="false">P2_a*COS(RADIANS($A58))-P2_b*COS(RADIANS(B58))</f>
        <v>158.638265939968</v>
      </c>
      <c r="D58" s="43" t="n">
        <f aca="false">90-DEGREES(ASIN(ABS((P2_a*SIN(RADIANS($A58))-P2_c)/P2_b)))</f>
        <v>74.4695819391882</v>
      </c>
      <c r="E58" s="44" t="n">
        <f aca="false">P2_a*P2_w2*COS(RADIANS($A58))/(P2_b*COS(RADIANS(B58)))</f>
        <v>-0.777065564362966</v>
      </c>
      <c r="F58" s="42" t="n">
        <f aca="false">-P2_a*P2_w2*SIN(RADIANS($A58))+P2_b*E58*SIN(RADIANS(B58))</f>
        <v>-75.6652456780031</v>
      </c>
      <c r="G58" s="44" t="n">
        <f aca="false">(P2_a*P2_al2*COS(RADIANS($A58))-P2_a*P2_w2^2*SIN(RADIANS($A58))+P2_b*E58^2*SIN(RADIANS(B58)))/(P2_b*COS(RADIANS(B58)))</f>
        <v>1.02286183824597</v>
      </c>
      <c r="H58" s="42" t="n">
        <f aca="false">-P2_a*P2_al2*SIN(RADIANS($A58))-P2_a*P2_w2^2*COS(RADIANS($A58))+P2_b*G58*SIN(RADIANS(B58))+P2_b*E58^2*COS(RADIANS(B58))</f>
        <v>-351.12046193136</v>
      </c>
      <c r="I58" s="45" t="n">
        <v>45</v>
      </c>
    </row>
    <row r="59" customFormat="false" ht="15" hidden="false" customHeight="false" outlineLevel="0" collapsed="false">
      <c r="A59" s="41" t="n">
        <v>26.5</v>
      </c>
      <c r="B59" s="42" t="n">
        <f aca="false">180-DEGREES(ASIN((P2_a*SIN(RADIANS($A59))-P2_c)/P2_b))</f>
        <v>164.346135824634</v>
      </c>
      <c r="C59" s="42" t="n">
        <f aca="false">P2_a*COS(RADIANS($A59))-P2_b*COS(RADIANS(B59))</f>
        <v>158.426733919154</v>
      </c>
      <c r="D59" s="43" t="n">
        <f aca="false">90-DEGREES(ASIN(ABS((P2_a*SIN(RADIANS($A59))-P2_c)/P2_b)))</f>
        <v>74.3461358246341</v>
      </c>
      <c r="E59" s="44" t="n">
        <f aca="false">P2_a*P2_w2*COS(RADIANS($A59))/(P2_b*COS(RADIANS(B59)))</f>
        <v>-0.774193954172957</v>
      </c>
      <c r="F59" s="42" t="n">
        <f aca="false">-P2_a*P2_w2*SIN(RADIANS($A59))+P2_b*E59*SIN(RADIANS(B59))</f>
        <v>-76.6364188180537</v>
      </c>
      <c r="G59" s="44" t="n">
        <f aca="false">(P2_a*P2_al2*COS(RADIANS($A59))-P2_a*P2_w2^2*SIN(RADIANS($A59))+P2_b*E59^2*SIN(RADIANS(B59)))/(P2_b*COS(RADIANS(B59)))</f>
        <v>1.04469477592976</v>
      </c>
      <c r="H59" s="42" t="n">
        <f aca="false">-P2_a*P2_al2*SIN(RADIANS($A59))-P2_a*P2_w2^2*COS(RADIANS($A59))+P2_b*G59*SIN(RADIANS(B59))+P2_b*E59^2*COS(RADIANS(B59))</f>
        <v>-348.117011379661</v>
      </c>
      <c r="I59" s="45" t="n">
        <v>45</v>
      </c>
    </row>
    <row r="60" customFormat="false" ht="15" hidden="false" customHeight="false" outlineLevel="0" collapsed="false">
      <c r="A60" s="41" t="n">
        <v>27</v>
      </c>
      <c r="B60" s="42" t="n">
        <f aca="false">180-DEGREES(ASIN((P2_a*SIN(RADIANS($A60))-P2_c)/P2_b))</f>
        <v>164.223151565945</v>
      </c>
      <c r="C60" s="42" t="n">
        <f aca="false">P2_a*COS(RADIANS($A60))-P2_b*COS(RADIANS(B60))</f>
        <v>158.212515837879</v>
      </c>
      <c r="D60" s="43" t="n">
        <f aca="false">90-DEGREES(ASIN(ABS((P2_a*SIN(RADIANS($A60))-P2_c)/P2_b)))</f>
        <v>74.2231515659451</v>
      </c>
      <c r="E60" s="44" t="n">
        <f aca="false">P2_a*P2_w2*COS(RADIANS($A60))/(P2_b*COS(RADIANS(B60)))</f>
        <v>-0.771261720289015</v>
      </c>
      <c r="F60" s="42" t="n">
        <f aca="false">-P2_a*P2_w2*SIN(RADIANS($A60))+P2_b*E60*SIN(RADIANS(B60))</f>
        <v>-77.5991893469662</v>
      </c>
      <c r="G60" s="44" t="n">
        <f aca="false">(P2_a*P2_al2*COS(RADIANS($A60))-P2_a*P2_w2^2*SIN(RADIANS($A60))+P2_b*E60^2*SIN(RADIANS(B60)))/(P2_b*COS(RADIANS(B60)))</f>
        <v>1.06651065684113</v>
      </c>
      <c r="H60" s="42" t="n">
        <f aca="false">-P2_a*P2_al2*SIN(RADIANS($A60))-P2_a*P2_w2^2*COS(RADIANS($A60))+P2_b*G60*SIN(RADIANS(B60))+P2_b*E60^2*COS(RADIANS(B60))</f>
        <v>-345.070655337222</v>
      </c>
      <c r="I60" s="45" t="n">
        <v>45</v>
      </c>
    </row>
    <row r="61" customFormat="false" ht="15" hidden="false" customHeight="false" outlineLevel="0" collapsed="false">
      <c r="A61" s="41" t="n">
        <v>27.5</v>
      </c>
      <c r="B61" s="42" t="n">
        <f aca="false">180-DEGREES(ASIN((P2_a*SIN(RADIANS($A61))-P2_c)/P2_b))</f>
        <v>164.100638807804</v>
      </c>
      <c r="C61" s="42" t="n">
        <f aca="false">P2_a*COS(RADIANS($A61))-P2_b*COS(RADIANS(B61))</f>
        <v>157.995635201688</v>
      </c>
      <c r="D61" s="43" t="n">
        <f aca="false">90-DEGREES(ASIN(ABS((P2_a*SIN(RADIANS($A61))-P2_c)/P2_b)))</f>
        <v>74.1006388078042</v>
      </c>
      <c r="E61" s="44" t="n">
        <f aca="false">P2_a*P2_w2*COS(RADIANS($A61))/(P2_b*COS(RADIANS(B61)))</f>
        <v>-0.7682689121145</v>
      </c>
      <c r="F61" s="42" t="n">
        <f aca="false">-P2_a*P2_w2*SIN(RADIANS($A61))+P2_b*E61*SIN(RADIANS(B61))</f>
        <v>-78.553438698962</v>
      </c>
      <c r="G61" s="44" t="n">
        <f aca="false">(P2_a*P2_al2*COS(RADIANS($A61))-P2_a*P2_w2^2*SIN(RADIANS($A61))+P2_b*E61^2*SIN(RADIANS(B61)))/(P2_b*COS(RADIANS(B61)))</f>
        <v>1.08830801876556</v>
      </c>
      <c r="H61" s="42" t="n">
        <f aca="false">-P2_a*P2_al2*SIN(RADIANS($A61))-P2_a*P2_w2^2*COS(RADIANS($A61))+P2_b*G61*SIN(RADIANS(B61))+P2_b*E61^2*COS(RADIANS(B61))</f>
        <v>-341.981838958969</v>
      </c>
      <c r="I61" s="45" t="n">
        <v>45</v>
      </c>
    </row>
    <row r="62" customFormat="false" ht="15" hidden="false" customHeight="false" outlineLevel="0" collapsed="false">
      <c r="A62" s="41" t="n">
        <v>28</v>
      </c>
      <c r="B62" s="42" t="n">
        <f aca="false">180-DEGREES(ASIN((P2_a*SIN(RADIANS($A62))-P2_c)/P2_b))</f>
        <v>163.978607186706</v>
      </c>
      <c r="C62" s="42" t="n">
        <f aca="false">P2_a*COS(RADIANS($A62))-P2_b*COS(RADIANS(B62))</f>
        <v>157.776115843751</v>
      </c>
      <c r="D62" s="43" t="n">
        <f aca="false">90-DEGREES(ASIN(ABS((P2_a*SIN(RADIANS($A62))-P2_c)/P2_b)))</f>
        <v>73.978607186706</v>
      </c>
      <c r="E62" s="44" t="n">
        <f aca="false">P2_a*P2_w2*COS(RADIANS($A62))/(P2_b*COS(RADIANS(B62)))</f>
        <v>-0.765215583159152</v>
      </c>
      <c r="F62" s="42" t="n">
        <f aca="false">-P2_a*P2_w2*SIN(RADIANS($A62))+P2_b*E62*SIN(RADIANS(B62))</f>
        <v>-79.4990495575792</v>
      </c>
      <c r="G62" s="44" t="n">
        <f aca="false">(P2_a*P2_al2*COS(RADIANS($A62))-P2_a*P2_w2^2*SIN(RADIANS($A62))+P2_b*E62^2*SIN(RADIANS(B62)))/(P2_b*COS(RADIANS(B62)))</f>
        <v>1.11008536726192</v>
      </c>
      <c r="H62" s="42" t="n">
        <f aca="false">-P2_a*P2_al2*SIN(RADIANS($A62))-P2_a*P2_w2^2*COS(RADIANS($A62))+P2_b*G62*SIN(RADIANS(B62))+P2_b*E62^2*COS(RADIANS(B62))</f>
        <v>-338.851016594743</v>
      </c>
      <c r="I62" s="45" t="n">
        <v>45</v>
      </c>
    </row>
    <row r="63" customFormat="false" ht="15" hidden="false" customHeight="false" outlineLevel="0" collapsed="false">
      <c r="A63" s="41" t="n">
        <v>28.5</v>
      </c>
      <c r="B63" s="42" t="n">
        <f aca="false">180-DEGREES(ASIN((P2_a*SIN(RADIANS($A63))-P2_c)/P2_b))</f>
        <v>163.857066330296</v>
      </c>
      <c r="C63" s="42" t="n">
        <f aca="false">P2_a*COS(RADIANS($A63))-P2_b*COS(RADIANS(B63))</f>
        <v>157.553981921348</v>
      </c>
      <c r="D63" s="43" t="n">
        <f aca="false">90-DEGREES(ASIN(ABS((P2_a*SIN(RADIANS($A63))-P2_c)/P2_b)))</f>
        <v>73.8570663302961</v>
      </c>
      <c r="E63" s="44" t="n">
        <f aca="false">P2_a*P2_w2*COS(RADIANS($A63))/(P2_b*COS(RADIANS(B63)))</f>
        <v>-0.762101791129123</v>
      </c>
      <c r="F63" s="42" t="n">
        <f aca="false">-P2_a*P2_w2*SIN(RADIANS($A63))+P2_b*E63*SIN(RADIANS(B63))</f>
        <v>-80.4359058811864</v>
      </c>
      <c r="G63" s="44" t="n">
        <f aca="false">(P2_a*P2_al2*COS(RADIANS($A63))-P2_a*P2_w2^2*SIN(RADIANS($A63))+P2_b*E63^2*SIN(RADIANS(B63)))/(P2_b*COS(RADIANS(B63)))</f>
        <v>1.13184117529539</v>
      </c>
      <c r="H63" s="42" t="n">
        <f aca="false">-P2_a*P2_al2*SIN(RADIANS($A63))-P2_a*P2_w2^2*COS(RADIANS($A63))+P2_b*G63*SIN(RADIANS(B63))+P2_b*E63^2*COS(RADIANS(B63))</f>
        <v>-335.678651769468</v>
      </c>
      <c r="I63" s="45" t="n">
        <v>45</v>
      </c>
    </row>
    <row r="64" customFormat="false" ht="15" hidden="false" customHeight="false" outlineLevel="0" collapsed="false">
      <c r="A64" s="41" t="n">
        <v>29</v>
      </c>
      <c r="B64" s="42" t="n">
        <f aca="false">180-DEGREES(ASIN((P2_a*SIN(RADIANS($A64))-P2_c)/P2_b))</f>
        <v>163.736025856696</v>
      </c>
      <c r="C64" s="42" t="n">
        <f aca="false">P2_a*COS(RADIANS($A64))-P2_b*COS(RADIANS(B64))</f>
        <v>157.3292579123</v>
      </c>
      <c r="D64" s="43" t="n">
        <f aca="false">90-DEGREES(ASIN(ABS((P2_a*SIN(RADIANS($A64))-P2_c)/P2_b)))</f>
        <v>73.7360258566958</v>
      </c>
      <c r="E64" s="44" t="n">
        <f aca="false">P2_a*P2_w2*COS(RADIANS($A64))/(P2_b*COS(RADIANS(B64)))</f>
        <v>-0.758927598018004</v>
      </c>
      <c r="F64" s="42" t="n">
        <f aca="false">-P2_a*P2_w2*SIN(RADIANS($A64))+P2_b*E64*SIN(RADIANS(B64))</f>
        <v>-81.3638929284394</v>
      </c>
      <c r="G64" s="44" t="n">
        <f aca="false">(P2_a*P2_al2*COS(RADIANS($A64))-P2_a*P2_w2^2*SIN(RADIANS($A64))+P2_b*E64^2*SIN(RADIANS(B64)))/(P2_b*COS(RADIANS(B64)))</f>
        <v>1.15357388288665</v>
      </c>
      <c r="H64" s="42" t="n">
        <f aca="false">-P2_a*P2_al2*SIN(RADIANS($A64))-P2_a*P2_w2^2*COS(RADIANS($A64))+P2_b*G64*SIN(RADIANS(B64))+P2_b*E64^2*COS(RADIANS(B64))</f>
        <v>-332.465217160707</v>
      </c>
      <c r="I64" s="45" t="n">
        <v>45</v>
      </c>
    </row>
    <row r="65" customFormat="false" ht="15" hidden="false" customHeight="false" outlineLevel="0" collapsed="false">
      <c r="A65" s="41" t="n">
        <v>29.5</v>
      </c>
      <c r="B65" s="42" t="n">
        <f aca="false">180-DEGREES(ASIN((P2_a*SIN(RADIANS($A65))-P2_c)/P2_b))</f>
        <v>163.615495373813</v>
      </c>
      <c r="C65" s="42" t="n">
        <f aca="false">P2_a*COS(RADIANS($A65))-P2_b*COS(RADIANS(B65))</f>
        <v>157.101968611317</v>
      </c>
      <c r="D65" s="43" t="n">
        <f aca="false">90-DEGREES(ASIN(ABS((P2_a*SIN(RADIANS($A65))-P2_c)/P2_b)))</f>
        <v>73.6154953738128</v>
      </c>
      <c r="E65" s="44" t="n">
        <f aca="false">P2_a*P2_w2*COS(RADIANS($A65))/(P2_b*COS(RADIANS(B65)))</f>
        <v>-0.755693070198808</v>
      </c>
      <c r="F65" s="42" t="n">
        <f aca="false">-P2_a*P2_w2*SIN(RADIANS($A65))+P2_b*E65*SIN(RADIANS(B65))</f>
        <v>-82.2828972836702</v>
      </c>
      <c r="G65" s="44" t="n">
        <f aca="false">(P2_a*P2_al2*COS(RADIANS($A65))-P2_a*P2_w2^2*SIN(RADIANS($A65))+P2_b*E65^2*SIN(RADIANS(B65)))/(P2_b*COS(RADIANS(B65)))</f>
        <v>1.17528189677793</v>
      </c>
      <c r="H65" s="42" t="n">
        <f aca="false">-P2_a*P2_al2*SIN(RADIANS($A65))-P2_a*P2_w2^2*COS(RADIANS($A65))+P2_b*G65*SIN(RADIANS(B65))+P2_b*E65^2*COS(RADIANS(B65))</f>
        <v>-329.211194573522</v>
      </c>
      <c r="I65" s="45" t="n">
        <v>45</v>
      </c>
    </row>
    <row r="66" customFormat="false" ht="15" hidden="false" customHeight="false" outlineLevel="0" collapsed="false">
      <c r="A66" s="41" t="n">
        <v>30</v>
      </c>
      <c r="B66" s="42" t="n">
        <f aca="false">180-DEGREES(ASIN((P2_a*SIN(RADIANS($A66))-P2_c)/P2_b))</f>
        <v>163.495484478636</v>
      </c>
      <c r="C66" s="42" t="n">
        <f aca="false">P2_a*COS(RADIANS($A66))-P2_b*COS(RADIANS(B66))</f>
        <v>156.872139126282</v>
      </c>
      <c r="D66" s="43" t="n">
        <f aca="false">90-DEGREES(ASIN(ABS((P2_a*SIN(RADIANS($A66))-P2_c)/P2_b)))</f>
        <v>73.4954844786363</v>
      </c>
      <c r="E66" s="44" t="n">
        <f aca="false">P2_a*P2_w2*COS(RADIANS($A66))/(P2_b*COS(RADIANS(B66)))</f>
        <v>-0.752398278516852</v>
      </c>
      <c r="F66" s="42" t="n">
        <f aca="false">-P2_a*P2_w2*SIN(RADIANS($A66))+P2_b*E66*SIN(RADIANS(B66))</f>
        <v>-83.1928068822033</v>
      </c>
      <c r="G66" s="44" t="n">
        <f aca="false">(P2_a*P2_al2*COS(RADIANS($A66))-P2_a*P2_w2^2*SIN(RADIANS($A66))+P2_b*E66^2*SIN(RADIANS(B66)))/(P2_b*COS(RADIANS(B66)))</f>
        <v>1.19696359011653</v>
      </c>
      <c r="H66" s="42" t="n">
        <f aca="false">-P2_a*P2_al2*SIN(RADIANS($A66))-P2_a*P2_w2^2*COS(RADIANS($A66))+P2_b*G66*SIN(RADIANS(B66))+P2_b*E66^2*COS(RADIANS(B66))</f>
        <v>-325.917074912544</v>
      </c>
      <c r="I66" s="45" t="n">
        <v>45</v>
      </c>
    </row>
    <row r="67" customFormat="false" ht="15" hidden="false" customHeight="false" outlineLevel="0" collapsed="false">
      <c r="A67" s="41" t="n">
        <v>30.5</v>
      </c>
      <c r="B67" s="42" t="n">
        <f aca="false">180-DEGREES(ASIN((P2_a*SIN(RADIANS($A67))-P2_c)/P2_b))</f>
        <v>163.376002756518</v>
      </c>
      <c r="C67" s="42" t="n">
        <f aca="false">P2_a*COS(RADIANS($A67))-P2_b*COS(RADIANS(B67))</f>
        <v>156.639794874464</v>
      </c>
      <c r="D67" s="43" t="n">
        <f aca="false">90-DEGREES(ASIN(ABS((P2_a*SIN(RADIANS($A67))-P2_c)/P2_b)))</f>
        <v>73.376002756518</v>
      </c>
      <c r="E67" s="44" t="n">
        <f aca="false">P2_a*P2_w2*COS(RADIANS($A67))/(P2_b*COS(RADIANS(B67)))</f>
        <v>-0.749043298383494</v>
      </c>
      <c r="F67" s="42" t="n">
        <f aca="false">-P2_a*P2_w2*SIN(RADIANS($A67))+P2_b*E67*SIN(RADIANS(B67))</f>
        <v>-84.0935110355903</v>
      </c>
      <c r="G67" s="44" t="n">
        <f aca="false">(P2_a*P2_al2*COS(RADIANS($A67))-P2_a*P2_w2^2*SIN(RADIANS($A67))+P2_b*E67^2*SIN(RADIANS(B67)))/(P2_b*COS(RADIANS(B67)))</f>
        <v>1.21861730215654</v>
      </c>
      <c r="H67" s="42" t="n">
        <f aca="false">-P2_a*P2_al2*SIN(RADIANS($A67))-P2_a*P2_w2^2*COS(RADIANS($A67))+P2_b*G67*SIN(RADIANS(B67))+P2_b*E67^2*COS(RADIANS(B67))</f>
        <v>-322.583358151168</v>
      </c>
      <c r="I67" s="45" t="n">
        <v>45</v>
      </c>
    </row>
    <row r="68" customFormat="false" ht="15" hidden="false" customHeight="false" outlineLevel="0" collapsed="false">
      <c r="A68" s="41" t="n">
        <v>31</v>
      </c>
      <c r="B68" s="42" t="n">
        <f aca="false">180-DEGREES(ASIN((P2_a*SIN(RADIANS($A68))-P2_c)/P2_b))</f>
        <v>163.257059780438</v>
      </c>
      <c r="C68" s="42" t="n">
        <f aca="false">P2_a*COS(RADIANS($A68))-P2_b*COS(RADIANS(B68))</f>
        <v>156.404961578659</v>
      </c>
      <c r="D68" s="43" t="n">
        <f aca="false">90-DEGREES(ASIN(ABS((P2_a*SIN(RADIANS($A68))-P2_c)/P2_b)))</f>
        <v>73.2570597804381</v>
      </c>
      <c r="E68" s="44" t="n">
        <f aca="false">P2_a*P2_w2*COS(RADIANS($A68))/(P2_b*COS(RADIANS(B68)))</f>
        <v>-0.745628209870676</v>
      </c>
      <c r="F68" s="42" t="n">
        <f aca="false">-P2_a*P2_w2*SIN(RADIANS($A68))+P2_b*E68*SIN(RADIANS(B68))</f>
        <v>-84.9849004567543</v>
      </c>
      <c r="G68" s="44" t="n">
        <f aca="false">(P2_a*P2_al2*COS(RADIANS($A68))-P2_a*P2_w2^2*SIN(RADIANS($A68))+P2_b*E68^2*SIN(RADIANS(B68)))/(P2_b*COS(RADIANS(B68)))</f>
        <v>1.24024133797943</v>
      </c>
      <c r="H68" s="42" t="n">
        <f aca="false">-P2_a*P2_al2*SIN(RADIANS($A68))-P2_a*P2_w2^2*COS(RADIANS($A68))+P2_b*G68*SIN(RADIANS(B68))+P2_b*E68^2*COS(RADIANS(B68))</f>
        <v>-319.21055329776</v>
      </c>
      <c r="I68" s="45" t="n">
        <v>45</v>
      </c>
    </row>
    <row r="69" customFormat="false" ht="15" hidden="false" customHeight="false" outlineLevel="0" collapsed="false">
      <c r="A69" s="41" t="n">
        <v>31.5</v>
      </c>
      <c r="B69" s="42" t="n">
        <f aca="false">180-DEGREES(ASIN((P2_a*SIN(RADIANS($A69))-P2_c)/P2_b))</f>
        <v>163.138665110256</v>
      </c>
      <c r="C69" s="42" t="n">
        <f aca="false">P2_a*COS(RADIANS($A69))-P2_b*COS(RADIANS(B69))</f>
        <v>156.167665263261</v>
      </c>
      <c r="D69" s="43" t="n">
        <f aca="false">90-DEGREES(ASIN(ABS((P2_a*SIN(RADIANS($A69))-P2_c)/P2_b)))</f>
        <v>73.1386651102555</v>
      </c>
      <c r="E69" s="44" t="n">
        <f aca="false">P2_a*P2_w2*COS(RADIANS($A69))/(P2_b*COS(RADIANS(B69)))</f>
        <v>-0.742153097806212</v>
      </c>
      <c r="F69" s="42" t="n">
        <f aca="false">-P2_a*P2_w2*SIN(RADIANS($A69))+P2_b*E69*SIN(RADIANS(B69))</f>
        <v>-85.8668672850369</v>
      </c>
      <c r="G69" s="44" t="n">
        <f aca="false">(P2_a*P2_al2*COS(RADIANS($A69))-P2_a*P2_w2^2*SIN(RADIANS($A69))+P2_b*E69^2*SIN(RADIANS(B69)))/(P2_b*COS(RADIANS(B69)))</f>
        <v>1.26183396823408</v>
      </c>
      <c r="H69" s="42" t="n">
        <f aca="false">-P2_a*P2_al2*SIN(RADIANS($A69))-P2_a*P2_w2^2*COS(RADIANS($A69))+P2_b*G69*SIN(RADIANS(B69))+P2_b*E69^2*COS(RADIANS(B69))</f>
        <v>-315.799178358808</v>
      </c>
      <c r="I69" s="45" t="n">
        <v>45</v>
      </c>
    </row>
    <row r="70" customFormat="false" ht="15" hidden="false" customHeight="false" outlineLevel="0" collapsed="false">
      <c r="A70" s="41" t="n">
        <v>32</v>
      </c>
      <c r="B70" s="42" t="n">
        <f aca="false">180-DEGREES(ASIN((P2_a*SIN(RADIANS($A70))-P2_c)/P2_b))</f>
        <v>163.020828291944</v>
      </c>
      <c r="C70" s="42" t="n">
        <f aca="false">P2_a*COS(RADIANS($A70))-P2_b*COS(RADIANS(B70))</f>
        <v>155.927932250271</v>
      </c>
      <c r="D70" s="43" t="n">
        <f aca="false">90-DEGREES(ASIN(ABS((P2_a*SIN(RADIANS($A70))-P2_c)/P2_b)))</f>
        <v>73.0208282919438</v>
      </c>
      <c r="E70" s="44" t="n">
        <f aca="false">P2_a*P2_w2*COS(RADIANS($A70))/(P2_b*COS(RADIANS(B70)))</f>
        <v>-0.738618051869772</v>
      </c>
      <c r="F70" s="42" t="n">
        <f aca="false">-P2_a*P2_w2*SIN(RADIANS($A70))+P2_b*E70*SIN(RADIANS(B70))</f>
        <v>-86.7393051111383</v>
      </c>
      <c r="G70" s="44" t="n">
        <f aca="false">(P2_a*P2_al2*COS(RADIANS($A70))-P2_a*P2_w2^2*SIN(RADIANS($A70))+P2_b*E70^2*SIN(RADIANS(B70)))/(P2_b*COS(RADIANS(B70)))</f>
        <v>1.28339342889707</v>
      </c>
      <c r="H70" s="42" t="n">
        <f aca="false">-P2_a*P2_al2*SIN(RADIANS($A70))-P2_a*P2_w2^2*COS(RADIANS($A70))+P2_b*G70*SIN(RADIANS(B70))+P2_b*E70^2*COS(RADIANS(B70))</f>
        <v>-312.349760298906</v>
      </c>
      <c r="I70" s="45" t="n">
        <v>45</v>
      </c>
    </row>
    <row r="71" customFormat="false" ht="15" hidden="false" customHeight="false" outlineLevel="0" collapsed="false">
      <c r="A71" s="41" t="n">
        <v>32.5</v>
      </c>
      <c r="B71" s="42" t="n">
        <f aca="false">180-DEGREES(ASIN((P2_a*SIN(RADIANS($A71))-P2_c)/P2_b))</f>
        <v>162.903558856811</v>
      </c>
      <c r="C71" s="42" t="n">
        <f aca="false">P2_a*COS(RADIANS($A71))-P2_b*COS(RADIANS(B71))</f>
        <v>155.685789155223</v>
      </c>
      <c r="D71" s="43" t="n">
        <f aca="false">90-DEGREES(ASIN(ABS((P2_a*SIN(RADIANS($A71))-P2_c)/P2_b)))</f>
        <v>72.903558856811</v>
      </c>
      <c r="E71" s="44" t="n">
        <f aca="false">P2_a*P2_w2*COS(RADIANS($A71))/(P2_b*COS(RADIANS(B71)))</f>
        <v>-0.735023166689503</v>
      </c>
      <c r="F71" s="42" t="n">
        <f aca="false">-P2_a*P2_w2*SIN(RADIANS($A71))+P2_b*E71*SIN(RADIANS(B71))</f>
        <v>-87.602109001941</v>
      </c>
      <c r="G71" s="44" t="n">
        <f aca="false">(P2_a*P2_al2*COS(RADIANS($A71))-P2_a*P2_w2^2*SIN(RADIANS($A71))+P2_b*E71^2*SIN(RADIANS(B71)))/(P2_b*COS(RADIANS(B71)))</f>
        <v>1.30491792105376</v>
      </c>
      <c r="H71" s="42" t="n">
        <f aca="false">-P2_a*P2_al2*SIN(RADIANS($A71))-P2_a*P2_w2^2*COS(RADIANS($A71))+P2_b*G71*SIN(RADIANS(B71))+P2_b*E71^2*COS(RADIANS(B71))</f>
        <v>-308.862834997471</v>
      </c>
      <c r="I71" s="45" t="n">
        <v>45</v>
      </c>
    </row>
    <row r="72" customFormat="false" ht="15" hidden="false" customHeight="false" outlineLevel="0" collapsed="false">
      <c r="A72" s="41" t="n">
        <v>33</v>
      </c>
      <c r="B72" s="42" t="n">
        <f aca="false">180-DEGREES(ASIN((P2_a*SIN(RADIANS($A72))-P2_c)/P2_b))</f>
        <v>162.786866320704</v>
      </c>
      <c r="C72" s="42" t="n">
        <f aca="false">P2_a*COS(RADIANS($A72))-P2_b*COS(RADIANS(B72))</f>
        <v>155.441262883055</v>
      </c>
      <c r="D72" s="43" t="n">
        <f aca="false">90-DEGREES(ASIN(ABS((P2_a*SIN(RADIANS($A72))-P2_c)/P2_b)))</f>
        <v>72.7868663207042</v>
      </c>
      <c r="E72" s="44" t="n">
        <f aca="false">P2_a*P2_w2*COS(RADIANS($A72))/(P2_b*COS(RADIANS(B72)))</f>
        <v>-0.731368541939227</v>
      </c>
      <c r="F72" s="42" t="n">
        <f aca="false">-P2_a*P2_w2*SIN(RADIANS($A72))+P2_b*E72*SIN(RADIANS(B72))</f>
        <v>-88.4551755252095</v>
      </c>
      <c r="G72" s="44" t="n">
        <f aca="false">(P2_a*P2_al2*COS(RADIANS($A72))-P2_a*P2_w2^2*SIN(RADIANS($A72))+P2_b*E72^2*SIN(RADIANS(B72)))/(P2_b*COS(RADIANS(B72)))</f>
        <v>1.32640561070094</v>
      </c>
      <c r="H72" s="42" t="n">
        <f aca="false">-P2_a*P2_al2*SIN(RADIANS($A72))-P2_a*P2_w2^2*COS(RADIANS($A72))+P2_b*G72*SIN(RADIANS(B72))+P2_b*E72^2*COS(RADIANS(B72))</f>
        <v>-305.338947202126</v>
      </c>
      <c r="I72" s="45" t="n">
        <v>45</v>
      </c>
    </row>
    <row r="73" customFormat="false" ht="15" hidden="false" customHeight="false" outlineLevel="0" collapsed="false">
      <c r="A73" s="41" t="n">
        <v>33.5</v>
      </c>
      <c r="B73" s="42" t="n">
        <f aca="false">180-DEGREES(ASIN((P2_a*SIN(RADIANS($A73))-P2_c)/P2_b))</f>
        <v>162.670760183199</v>
      </c>
      <c r="C73" s="42" t="n">
        <f aca="false">P2_a*COS(RADIANS($A73))-P2_b*COS(RADIANS(B73))</f>
        <v>155.194380623903</v>
      </c>
      <c r="D73" s="43" t="n">
        <f aca="false">90-DEGREES(ASIN(ABS((P2_a*SIN(RADIANS($A73))-P2_c)/P2_b)))</f>
        <v>72.670760183199</v>
      </c>
      <c r="E73" s="44" t="n">
        <f aca="false">P2_a*P2_w2*COS(RADIANS($A73))/(P2_b*COS(RADIANS(B73)))</f>
        <v>-0.727654282436161</v>
      </c>
      <c r="F73" s="42" t="n">
        <f aca="false">-P2_a*P2_w2*SIN(RADIANS($A73))+P2_b*E73*SIN(RADIANS(B73))</f>
        <v>-89.2984027741561</v>
      </c>
      <c r="G73" s="44" t="n">
        <f aca="false">(P2_a*P2_al2*COS(RADIANS($A73))-P2_a*P2_w2^2*SIN(RADIANS($A73))+P2_b*E73^2*SIN(RADIANS(B73)))/(P2_b*COS(RADIANS(B73)))</f>
        <v>1.34785462857173</v>
      </c>
      <c r="H73" s="42" t="n">
        <f aca="false">-P2_a*P2_al2*SIN(RADIANS($A73))-P2_a*P2_w2^2*COS(RADIANS($A73))+P2_b*G73*SIN(RADIANS(B73))+P2_b*E73^2*COS(RADIANS(B73))</f>
        <v>-301.778650478613</v>
      </c>
      <c r="I73" s="45" t="n">
        <v>45</v>
      </c>
    </row>
    <row r="74" customFormat="false" ht="15" hidden="false" customHeight="false" outlineLevel="0" collapsed="false">
      <c r="A74" s="41" t="n">
        <v>34</v>
      </c>
      <c r="B74" s="42" t="n">
        <f aca="false">180-DEGREES(ASIN((P2_a*SIN(RADIANS($A74))-P2_c)/P2_b))</f>
        <v>162.555249926773</v>
      </c>
      <c r="C74" s="42" t="n">
        <f aca="false">P2_a*COS(RADIANS($A74))-P2_b*COS(RADIANS(B74))</f>
        <v>154.945169848831</v>
      </c>
      <c r="D74" s="43" t="n">
        <f aca="false">90-DEGREES(ASIN(ABS((P2_a*SIN(RADIANS($A74))-P2_c)/P2_b)))</f>
        <v>72.5552499267733</v>
      </c>
      <c r="E74" s="44" t="n">
        <f aca="false">P2_a*P2_w2*COS(RADIANS($A74))/(P2_b*COS(RADIANS(B74)))</f>
        <v>-0.723880498239083</v>
      </c>
      <c r="F74" s="42" t="n">
        <f aca="false">-P2_a*P2_w2*SIN(RADIANS($A74))+P2_b*E74*SIN(RADIANS(B74))</f>
        <v>-90.1316903918609</v>
      </c>
      <c r="G74" s="44" t="n">
        <f aca="false">(P2_a*P2_al2*COS(RADIANS($A74))-P2_a*P2_w2^2*SIN(RADIANS($A74))+P2_b*E74^2*SIN(RADIANS(B74)))/(P2_b*COS(RADIANS(B74)))</f>
        <v>1.36926306998334</v>
      </c>
      <c r="H74" s="42" t="n">
        <f aca="false">-P2_a*P2_al2*SIN(RADIANS($A74))-P2_a*P2_w2^2*COS(RADIANS($A74))+P2_b*G74*SIN(RADIANS(B74))+P2_b*E74^2*COS(RADIANS(B74))</f>
        <v>-298.182507157186</v>
      </c>
      <c r="I74" s="45" t="n">
        <v>45</v>
      </c>
    </row>
    <row r="75" customFormat="false" ht="15" hidden="false" customHeight="false" outlineLevel="0" collapsed="false">
      <c r="A75" s="41" t="n">
        <v>34.5</v>
      </c>
      <c r="B75" s="42" t="n">
        <f aca="false">180-DEGREES(ASIN((P2_a*SIN(RADIANS($A75))-P2_c)/P2_b))</f>
        <v>162.440345015965</v>
      </c>
      <c r="C75" s="42" t="n">
        <f aca="false">P2_a*COS(RADIANS($A75))-P2_b*COS(RADIANS(B75))</f>
        <v>154.693658305492</v>
      </c>
      <c r="D75" s="43" t="n">
        <f aca="false">90-DEGREES(ASIN(ABS((P2_a*SIN(RADIANS($A75))-P2_c)/P2_b)))</f>
        <v>72.4403450159645</v>
      </c>
      <c r="E75" s="44" t="n">
        <f aca="false">P2_a*P2_w2*COS(RADIANS($A75))/(P2_b*COS(RADIANS(B75)))</f>
        <v>-0.720047304746899</v>
      </c>
      <c r="F75" s="42" t="n">
        <f aca="false">-P2_a*P2_w2*SIN(RADIANS($A75))+P2_b*E75*SIN(RADIANS(B75))</f>
        <v>-90.9549395955399</v>
      </c>
      <c r="G75" s="44" t="n">
        <f aca="false">(P2_a*P2_al2*COS(RADIANS($A75))-P2_a*P2_w2^2*SIN(RADIANS($A75))+P2_b*E75^2*SIN(RADIANS(B75)))/(P2_b*COS(RADIANS(B75)))</f>
        <v>1.39062899470844</v>
      </c>
      <c r="H75" s="42" t="n">
        <f aca="false">-P2_a*P2_al2*SIN(RADIANS($A75))-P2_a*P2_w2^2*COS(RADIANS($A75))+P2_b*G75*SIN(RADIANS(B75))+P2_b*E75^2*COS(RADIANS(B75))</f>
        <v>-294.551088275347</v>
      </c>
      <c r="I75" s="45" t="n">
        <v>45</v>
      </c>
    </row>
    <row r="76" customFormat="false" ht="15" hidden="false" customHeight="false" outlineLevel="0" collapsed="false">
      <c r="A76" s="41" t="n">
        <v>35</v>
      </c>
      <c r="B76" s="42" t="n">
        <f aca="false">180-DEGREES(ASIN((P2_a*SIN(RADIANS($A76))-P2_c)/P2_b))</f>
        <v>162.326054896513</v>
      </c>
      <c r="C76" s="42" t="n">
        <f aca="false">P2_a*COS(RADIANS($A76))-P2_b*COS(RADIANS(B76))</f>
        <v>154.43987401372</v>
      </c>
      <c r="D76" s="43" t="n">
        <f aca="false">90-DEGREES(ASIN(ABS((P2_a*SIN(RADIANS($A76))-P2_c)/P2_b)))</f>
        <v>72.3260548965125</v>
      </c>
      <c r="E76" s="44" t="n">
        <f aca="false">P2_a*P2_w2*COS(RADIANS($A76))/(P2_b*COS(RADIANS(B76)))</f>
        <v>-0.716154822797528</v>
      </c>
      <c r="F76" s="42" t="n">
        <f aca="false">-P2_a*P2_w2*SIN(RADIANS($A76))+P2_b*E76*SIN(RADIANS(B76))</f>
        <v>-91.7680532006474</v>
      </c>
      <c r="G76" s="44" t="n">
        <f aca="false">(P2_a*P2_al2*COS(RADIANS($A76))-P2_a*P2_w2^2*SIN(RADIANS($A76))+P2_b*E76^2*SIN(RADIANS(B76)))/(P2_b*COS(RADIANS(B76)))</f>
        <v>1.41195042687079</v>
      </c>
      <c r="H76" s="42" t="n">
        <f aca="false">-P2_a*P2_al2*SIN(RADIANS($A76))-P2_a*P2_w2^2*COS(RADIANS($A76))+P2_b*G76*SIN(RADIANS(B76))+P2_b*E76^2*COS(RADIANS(B76))</f>
        <v>-290.884973516868</v>
      </c>
      <c r="I76" s="45" t="n">
        <v>45</v>
      </c>
    </row>
    <row r="77" customFormat="false" ht="15" hidden="false" customHeight="false" outlineLevel="0" collapsed="false">
      <c r="A77" s="41" t="n">
        <v>35.5</v>
      </c>
      <c r="B77" s="42" t="n">
        <f aca="false">180-DEGREES(ASIN((P2_a*SIN(RADIANS($A77))-P2_c)/P2_b))</f>
        <v>162.212388994486</v>
      </c>
      <c r="C77" s="42" t="n">
        <f aca="false">P2_a*COS(RADIANS($A77))-P2_b*COS(RADIANS(B77))</f>
        <v>154.183845261059</v>
      </c>
      <c r="D77" s="43" t="n">
        <f aca="false">90-DEGREES(ASIN(ABS((P2_a*SIN(RADIANS($A77))-P2_c)/P2_b)))</f>
        <v>72.2123889944857</v>
      </c>
      <c r="E77" s="44" t="n">
        <f aca="false">P2_a*P2_w2*COS(RADIANS($A77))/(P2_b*COS(RADIANS(B77)))</f>
        <v>-0.712203178767038</v>
      </c>
      <c r="F77" s="42" t="n">
        <f aca="false">-P2_a*P2_w2*SIN(RADIANS($A77))+P2_b*E77*SIN(RADIANS(B77))</f>
        <v>-92.5709356448047</v>
      </c>
      <c r="G77" s="44" t="n">
        <f aca="false">(P2_a*P2_al2*COS(RADIANS($A77))-P2_a*P2_w2^2*SIN(RADIANS($A77))+P2_b*E77^2*SIN(RADIANS(B77)))/(P2_b*COS(RADIANS(B77)))</f>
        <v>1.43322535486581</v>
      </c>
      <c r="H77" s="42" t="n">
        <f aca="false">-P2_a*P2_al2*SIN(RADIANS($A77))-P2_a*P2_w2^2*COS(RADIANS($A77))+P2_b*G77*SIN(RADIANS(B77))+P2_b*E77^2*COS(RADIANS(B77))</f>
        <v>-287.184751146974</v>
      </c>
      <c r="I77" s="45" t="n">
        <v>45</v>
      </c>
    </row>
    <row r="78" customFormat="false" ht="15" hidden="false" customHeight="false" outlineLevel="0" collapsed="false">
      <c r="A78" s="41" t="n">
        <v>36</v>
      </c>
      <c r="B78" s="42" t="n">
        <f aca="false">180-DEGREES(ASIN((P2_a*SIN(RADIANS($A78))-P2_c)/P2_b))</f>
        <v>162.099356715392</v>
      </c>
      <c r="C78" s="42" t="n">
        <f aca="false">P2_a*COS(RADIANS($A78))-P2_b*COS(RADIANS(B78))</f>
        <v>153.925600598224</v>
      </c>
      <c r="D78" s="43" t="n">
        <f aca="false">90-DEGREES(ASIN(ABS((P2_a*SIN(RADIANS($A78))-P2_c)/P2_b)))</f>
        <v>72.0993567153919</v>
      </c>
      <c r="E78" s="44" t="n">
        <f aca="false">P2_a*P2_w2*COS(RADIANS($A78))/(P2_b*COS(RADIANS(B78)))</f>
        <v>-0.708192504668978</v>
      </c>
      <c r="F78" s="42" t="n">
        <f aca="false">-P2_a*P2_w2*SIN(RADIANS($A78))+P2_b*E78*SIN(RADIANS(B78))</f>
        <v>-93.3634930115428</v>
      </c>
      <c r="G78" s="44" t="n">
        <f aca="false">(P2_a*P2_al2*COS(RADIANS($A78))-P2_a*P2_w2^2*SIN(RADIANS($A78))+P2_b*E78^2*SIN(RADIANS(B78)))/(P2_b*COS(RADIANS(B78)))</f>
        <v>1.45445173130685</v>
      </c>
      <c r="H78" s="42" t="n">
        <f aca="false">-P2_a*P2_al2*SIN(RADIANS($A78))-P2_a*P2_w2^2*COS(RADIANS($A78))+P2_b*G78*SIN(RADIANS(B78))+P2_b*E78^2*COS(RADIANS(B78))</f>
        <v>-283.451017943619</v>
      </c>
      <c r="I78" s="45" t="n">
        <v>45</v>
      </c>
    </row>
    <row r="79" customFormat="false" ht="15" hidden="false" customHeight="false" outlineLevel="0" collapsed="false">
      <c r="A79" s="41" t="n">
        <v>36.5</v>
      </c>
      <c r="B79" s="42" t="n">
        <f aca="false">180-DEGREES(ASIN((P2_a*SIN(RADIANS($A79))-P2_c)/P2_b))</f>
        <v>161.986967443273</v>
      </c>
      <c r="C79" s="42" t="n">
        <f aca="false">P2_a*COS(RADIANS($A79))-P2_b*COS(RADIANS(B79))</f>
        <v>153.665168834495</v>
      </c>
      <c r="D79" s="43" t="n">
        <f aca="false">90-DEGREES(ASIN(ABS((P2_a*SIN(RADIANS($A79))-P2_c)/P2_b)))</f>
        <v>71.9869674432731</v>
      </c>
      <c r="E79" s="44" t="n">
        <f aca="false">P2_a*P2_w2*COS(RADIANS($A79))/(P2_b*COS(RADIANS(B79)))</f>
        <v>-0.704122938253811</v>
      </c>
      <c r="F79" s="42" t="n">
        <f aca="false">-P2_a*P2_w2*SIN(RADIANS($A79))+P2_b*E79*SIN(RADIANS(B79))</f>
        <v>-94.1456330538486</v>
      </c>
      <c r="G79" s="44" t="n">
        <f aca="false">(P2_a*P2_al2*COS(RADIANS($A79))-P2_a*P2_w2^2*SIN(RADIANS($A79))+P2_b*E79^2*SIN(RADIANS(B79)))/(P2_b*COS(RADIANS(B79)))</f>
        <v>1.47562747299762</v>
      </c>
      <c r="H79" s="42" t="n">
        <f aca="false">-P2_a*P2_al2*SIN(RADIANS($A79))-P2_a*P2_w2^2*COS(RADIANS($A79))+P2_b*G79*SIN(RADIANS(B79))+P2_b*E79^2*COS(RADIANS(B79))</f>
        <v>-279.684379124744</v>
      </c>
      <c r="I79" s="45" t="n">
        <v>45</v>
      </c>
    </row>
    <row r="80" customFormat="false" ht="15" hidden="false" customHeight="false" outlineLevel="0" collapsed="false">
      <c r="A80" s="41" t="n">
        <v>37</v>
      </c>
      <c r="B80" s="42" t="n">
        <f aca="false">180-DEGREES(ASIN((P2_a*SIN(RADIANS($A80))-P2_c)/P2_b))</f>
        <v>161.875230539784</v>
      </c>
      <c r="C80" s="42" t="n">
        <f aca="false">P2_a*COS(RADIANS($A80))-P2_b*COS(RADIANS(B80))</f>
        <v>153.40257903305</v>
      </c>
      <c r="D80" s="43" t="n">
        <f aca="false">90-DEGREES(ASIN(ABS((P2_a*SIN(RADIANS($A80))-P2_c)/P2_b)))</f>
        <v>71.8752305397844</v>
      </c>
      <c r="E80" s="44" t="n">
        <f aca="false">P2_a*P2_w2*COS(RADIANS($A80))/(P2_b*COS(RADIANS(B80)))</f>
        <v>-0.699994623108402</v>
      </c>
      <c r="F80" s="42" t="n">
        <f aca="false">-P2_a*P2_w2*SIN(RADIANS($A80))+P2_b*E80*SIN(RADIANS(B80))</f>
        <v>-94.9172652175039</v>
      </c>
      <c r="G80" s="44" t="n">
        <f aca="false">(P2_a*P2_al2*COS(RADIANS($A80))-P2_a*P2_w2^2*SIN(RADIANS($A80))+P2_b*E80^2*SIN(RADIANS(B80)))/(P2_b*COS(RADIANS(B80)))</f>
        <v>1.49675046093173</v>
      </c>
      <c r="H80" s="42" t="n">
        <f aca="false">-P2_a*P2_al2*SIN(RADIANS($A80))-P2_a*P2_w2^2*COS(RADIANS($A80))+P2_b*G80*SIN(RADIANS(B80))+P2_b*E80^2*COS(RADIANS(B80))</f>
        <v>-275.885448271443</v>
      </c>
      <c r="I80" s="45" t="n">
        <v>45</v>
      </c>
    </row>
    <row r="81" customFormat="false" ht="15" hidden="false" customHeight="false" outlineLevel="0" collapsed="false">
      <c r="A81" s="41" t="n">
        <v>37.5</v>
      </c>
      <c r="B81" s="42" t="n">
        <f aca="false">180-DEGREES(ASIN((P2_a*SIN(RADIANS($A81))-P2_c)/P2_b))</f>
        <v>161.764155343257</v>
      </c>
      <c r="C81" s="42" t="n">
        <f aca="false">P2_a*COS(RADIANS($A81))-P2_b*COS(RADIANS(B81))</f>
        <v>153.137860506227</v>
      </c>
      <c r="D81" s="43" t="n">
        <f aca="false">90-DEGREES(ASIN(ABS((P2_a*SIN(RADIANS($A81))-P2_c)/P2_b)))</f>
        <v>71.7641553432574</v>
      </c>
      <c r="E81" s="44" t="n">
        <f aca="false">P2_a*P2_w2*COS(RADIANS($A81))/(P2_b*COS(RADIANS(B81)))</f>
        <v>-0.695807708755446</v>
      </c>
      <c r="F81" s="42" t="n">
        <f aca="false">-P2_a*P2_w2*SIN(RADIANS($A81))+P2_b*E81*SIN(RADIANS(B81))</f>
        <v>-95.6783006642043</v>
      </c>
      <c r="G81" s="44" t="n">
        <f aca="false">(P2_a*P2_al2*COS(RADIANS($A81))-P2_a*P2_w2^2*SIN(RADIANS($A81))+P2_b*E81^2*SIN(RADIANS(B81)))/(P2_b*COS(RADIANS(B81)))</f>
        <v>1.51781854031976</v>
      </c>
      <c r="H81" s="42" t="n">
        <f aca="false">-P2_a*P2_al2*SIN(RADIANS($A81))-P2_a*P2_w2^2*COS(RADIANS($A81))+P2_b*G81*SIN(RADIANS(B81))+P2_b*E81^2*COS(RADIANS(B81))</f>
        <v>-272.054847246926</v>
      </c>
      <c r="I81" s="45" t="n">
        <v>45</v>
      </c>
    </row>
    <row r="82" customFormat="false" ht="15" hidden="false" customHeight="false" outlineLevel="0" collapsed="false">
      <c r="A82" s="41" t="n">
        <v>38</v>
      </c>
      <c r="B82" s="42" t="n">
        <f aca="false">180-DEGREES(ASIN((P2_a*SIN(RADIANS($A82))-P2_c)/P2_b))</f>
        <v>161.653751167747</v>
      </c>
      <c r="C82" s="42" t="n">
        <f aca="false">P2_a*COS(RADIANS($A82))-P2_b*COS(RADIANS(B82))</f>
        <v>152.871042810726</v>
      </c>
      <c r="D82" s="43" t="n">
        <f aca="false">90-DEGREES(ASIN(ABS((P2_a*SIN(RADIANS($A82))-P2_c)/P2_b)))</f>
        <v>71.6537511677474</v>
      </c>
      <c r="E82" s="44" t="n">
        <f aca="false">P2_a*P2_w2*COS(RADIANS($A82))/(P2_b*COS(RADIANS(B82)))</f>
        <v>-0.691562350752806</v>
      </c>
      <c r="F82" s="42" t="n">
        <f aca="false">-P2_a*P2_w2*SIN(RADIANS($A82))+P2_b*E82*SIN(RADIANS(B82))</f>
        <v>-96.4286522944484</v>
      </c>
      <c r="G82" s="44" t="n">
        <f aca="false">(P2_a*P2_al2*COS(RADIANS($A82))-P2_a*P2_w2^2*SIN(RADIANS($A82))+P2_b*E82^2*SIN(RADIANS(B82)))/(P2_b*COS(RADIANS(B82)))</f>
        <v>1.53882952064471</v>
      </c>
      <c r="H82" s="42" t="n">
        <f aca="false">-P2_a*P2_al2*SIN(RADIANS($A82))-P2_a*P2_w2^2*COS(RADIANS($A82))+P2_b*G82*SIN(RADIANS(B82))+P2_b*E82^2*COS(RADIANS(B82))</f>
        <v>-268.193206111217</v>
      </c>
      <c r="I82" s="45" t="n">
        <v>45</v>
      </c>
    </row>
    <row r="83" customFormat="false" ht="15" hidden="false" customHeight="false" outlineLevel="0" collapsed="false">
      <c r="A83" s="41" t="n">
        <v>38.5</v>
      </c>
      <c r="B83" s="42" t="n">
        <f aca="false">180-DEGREES(ASIN((P2_a*SIN(RADIANS($A83))-P2_c)/P2_b))</f>
        <v>161.544027302065</v>
      </c>
      <c r="C83" s="42" t="n">
        <f aca="false">P2_a*COS(RADIANS($A83))-P2_b*COS(RADIANS(B83))</f>
        <v>152.602155742752</v>
      </c>
      <c r="D83" s="43" t="n">
        <f aca="false">90-DEGREES(ASIN(ABS((P2_a*SIN(RADIANS($A83))-P2_c)/P2_b)))</f>
        <v>71.5440273020652</v>
      </c>
      <c r="E83" s="44" t="n">
        <f aca="false">P2_a*P2_w2*COS(RADIANS($A83))/(P2_b*COS(RADIANS(B83)))</f>
        <v>-0.687258710792641</v>
      </c>
      <c r="F83" s="42" t="n">
        <f aca="false">-P2_a*P2_w2*SIN(RADIANS($A83))+P2_b*E83*SIN(RADIANS(B83))</f>
        <v>-97.1682347701823</v>
      </c>
      <c r="G83" s="44" t="n">
        <f aca="false">(P2_a*P2_al2*COS(RADIANS($A83))-P2_a*P2_w2^2*SIN(RADIANS($A83))+P2_b*E83^2*SIN(RADIANS(B83)))/(P2_b*COS(RADIANS(B83)))</f>
        <v>1.55978117574624</v>
      </c>
      <c r="H83" s="42" t="n">
        <f aca="false">-P2_a*P2_al2*SIN(RADIANS($A83))-P2_a*P2_w2^2*COS(RADIANS($A83))+P2_b*G83*SIN(RADIANS(B83))+P2_b*E83^2*COS(RADIANS(B83))</f>
        <v>-264.301163031473</v>
      </c>
      <c r="I83" s="45" t="n">
        <v>45</v>
      </c>
    </row>
    <row r="84" customFormat="false" ht="15" hidden="false" customHeight="false" outlineLevel="0" collapsed="false">
      <c r="A84" s="41" t="n">
        <v>39</v>
      </c>
      <c r="B84" s="42" t="n">
        <f aca="false">180-DEGREES(ASIN((P2_a*SIN(RADIANS($A84))-P2_c)/P2_b))</f>
        <v>161.434993008793</v>
      </c>
      <c r="C84" s="42" t="n">
        <f aca="false">P2_a*COS(RADIANS($A84))-P2_b*COS(RADIANS(B84))</f>
        <v>152.331229333085</v>
      </c>
      <c r="D84" s="43" t="n">
        <f aca="false">90-DEGREES(ASIN(ABS((P2_a*SIN(RADIANS($A84))-P2_c)/P2_b)))</f>
        <v>71.4349930087925</v>
      </c>
      <c r="E84" s="44" t="n">
        <f aca="false">P2_a*P2_w2*COS(RADIANS($A84))/(P2_b*COS(RADIANS(B84)))</f>
        <v>-0.682896956800265</v>
      </c>
      <c r="F84" s="42" t="n">
        <f aca="false">-P2_a*P2_w2*SIN(RADIANS($A84))+P2_b*E84*SIN(RADIANS(B84))</f>
        <v>-97.8969645371902</v>
      </c>
      <c r="G84" s="44" t="n">
        <f aca="false">(P2_a*P2_al2*COS(RADIANS($A84))-P2_a*P2_w2^2*SIN(RADIANS($A84))+P2_b*E84^2*SIN(RADIANS(B84)))/(P2_b*COS(RADIANS(B84)))</f>
        <v>1.58067124393463</v>
      </c>
      <c r="H84" s="42" t="n">
        <f aca="false">-P2_a*P2_al2*SIN(RADIANS($A84))-P2_a*P2_w2^2*COS(RADIANS($A84))+P2_b*G84*SIN(RADIANS(B84))+P2_b*E84^2*COS(RADIANS(B84))</f>
        <v>-260.379364187858</v>
      </c>
      <c r="I84" s="45" t="n">
        <v>45</v>
      </c>
    </row>
    <row r="85" customFormat="false" ht="15" hidden="false" customHeight="false" outlineLevel="0" collapsed="false">
      <c r="A85" s="41" t="n">
        <v>39.5</v>
      </c>
      <c r="B85" s="42" t="n">
        <f aca="false">180-DEGREES(ASIN((P2_a*SIN(RADIANS($A85))-P2_c)/P2_b))</f>
        <v>161.326657523283</v>
      </c>
      <c r="C85" s="42" t="n">
        <f aca="false">P2_a*COS(RADIANS($A85))-P2_b*COS(RADIANS(B85))</f>
        <v>152.058293842099</v>
      </c>
      <c r="D85" s="43" t="n">
        <f aca="false">90-DEGREES(ASIN(ABS((P2_a*SIN(RADIANS($A85))-P2_c)/P2_b)))</f>
        <v>71.3266575232827</v>
      </c>
      <c r="E85" s="44" t="n">
        <f aca="false">P2_a*P2_w2*COS(RADIANS($A85))/(P2_b*COS(RADIANS(B85)))</f>
        <v>-0.678477263032647</v>
      </c>
      <c r="F85" s="42" t="n">
        <f aca="false">-P2_a*P2_w2*SIN(RADIANS($A85))+P2_b*E85*SIN(RADIANS(B85))</f>
        <v>-98.6147598472169</v>
      </c>
      <c r="G85" s="44" t="n">
        <f aca="false">(P2_a*P2_al2*COS(RADIANS($A85))-P2_a*P2_w2^2*SIN(RADIANS($A85))+P2_b*E85^2*SIN(RADIANS(B85)))/(P2_b*COS(RADIANS(B85)))</f>
        <v>1.60149742813483</v>
      </c>
      <c r="H85" s="42" t="n">
        <f aca="false">-P2_a*P2_al2*SIN(RADIANS($A85))-P2_a*P2_w2^2*COS(RADIANS($A85))+P2_b*G85*SIN(RADIANS(B85))+P2_b*E85^2*COS(RADIANS(B85))</f>
        <v>-256.428463674881</v>
      </c>
      <c r="I85" s="45" t="n">
        <v>45</v>
      </c>
    </row>
    <row r="86" customFormat="false" ht="15" hidden="false" customHeight="false" outlineLevel="0" collapsed="false">
      <c r="A86" s="41" t="n">
        <v>40</v>
      </c>
      <c r="B86" s="42" t="n">
        <f aca="false">180-DEGREES(ASIN((P2_a*SIN(RADIANS($A86))-P2_c)/P2_b))</f>
        <v>161.219030052645</v>
      </c>
      <c r="C86" s="42" t="n">
        <f aca="false">P2_a*COS(RADIANS($A86))-P2_b*COS(RADIANS(B86))</f>
        <v>151.783379754711</v>
      </c>
      <c r="D86" s="43" t="n">
        <f aca="false">90-DEGREES(ASIN(ABS((P2_a*SIN(RADIANS($A86))-P2_c)/P2_b)))</f>
        <v>71.2190300526447</v>
      </c>
      <c r="E86" s="44" t="n">
        <f aca="false">P2_a*P2_w2*COS(RADIANS($A86))/(P2_b*COS(RADIANS(B86)))</f>
        <v>-0.673999810176467</v>
      </c>
      <c r="F86" s="42" t="n">
        <f aca="false">-P2_a*P2_w2*SIN(RADIANS($A86))+P2_b*E86*SIN(RADIANS(B86))</f>
        <v>-99.3215407798094</v>
      </c>
      <c r="G86" s="44" t="n">
        <f aca="false">(P2_a*P2_al2*COS(RADIANS($A86))-P2_a*P2_w2^2*SIN(RADIANS($A86))+P2_b*E86^2*SIN(RADIANS(B86)))/(P2_b*COS(RADIANS(B86)))</f>
        <v>1.62225739606134</v>
      </c>
      <c r="H86" s="42" t="n">
        <f aca="false">-P2_a*P2_al2*SIN(RADIANS($A86))-P2_a*P2_w2^2*COS(RADIANS($A86))+P2_b*G86*SIN(RADIANS(B86))+P2_b*E86^2*COS(RADIANS(B86))</f>
        <v>-252.449123398121</v>
      </c>
      <c r="I86" s="45" t="n">
        <v>45</v>
      </c>
    </row>
    <row r="87" customFormat="false" ht="15" hidden="false" customHeight="false" outlineLevel="0" collapsed="false">
      <c r="A87" s="41" t="n">
        <v>40.5</v>
      </c>
      <c r="B87" s="42" t="n">
        <f aca="false">180-DEGREES(ASIN((P2_a*SIN(RADIANS($A87))-P2_c)/P2_b))</f>
        <v>161.112119774712</v>
      </c>
      <c r="C87" s="42" t="n">
        <f aca="false">P2_a*COS(RADIANS($A87))-P2_b*COS(RADIANS(B87))</f>
        <v>151.506517775277</v>
      </c>
      <c r="D87" s="43" t="n">
        <f aca="false">90-DEGREES(ASIN(ABS((P2_a*SIN(RADIANS($A87))-P2_c)/P2_b)))</f>
        <v>71.1121197747121</v>
      </c>
      <c r="E87" s="44" t="n">
        <f aca="false">P2_a*P2_w2*COS(RADIANS($A87))/(P2_b*COS(RADIANS(B87)))</f>
        <v>-0.669464785445643</v>
      </c>
      <c r="F87" s="42" t="n">
        <f aca="false">-P2_a*P2_w2*SIN(RADIANS($A87))+P2_b*E87*SIN(RADIANS(B87))</f>
        <v>-100.017229263866</v>
      </c>
      <c r="G87" s="44" t="n">
        <f aca="false">(P2_a*P2_al2*COS(RADIANS($A87))-P2_a*P2_w2^2*SIN(RADIANS($A87))+P2_b*E87^2*SIN(RADIANS(B87)))/(P2_b*COS(RADIANS(B87)))</f>
        <v>1.64294878042451</v>
      </c>
      <c r="H87" s="42" t="n">
        <f aca="false">-P2_a*P2_al2*SIN(RADIANS($A87))-P2_a*P2_w2^2*COS(RADIANS($A87))+P2_b*G87*SIN(RADIANS(B87))+P2_b*E87^2*COS(RADIANS(B87))</f>
        <v>-248.442012966248</v>
      </c>
      <c r="I87" s="45" t="n">
        <v>45</v>
      </c>
    </row>
    <row r="88" customFormat="false" ht="15" hidden="false" customHeight="false" outlineLevel="0" collapsed="false">
      <c r="A88" s="41" t="n">
        <v>41</v>
      </c>
      <c r="B88" s="42" t="n">
        <f aca="false">180-DEGREES(ASIN((P2_a*SIN(RADIANS($A88))-P2_c)/P2_b))</f>
        <v>161.005935836997</v>
      </c>
      <c r="C88" s="42" t="n">
        <f aca="false">P2_a*COS(RADIANS($A88))-P2_b*COS(RADIANS(B88))</f>
        <v>151.227738822423</v>
      </c>
      <c r="D88" s="43" t="n">
        <f aca="false">90-DEGREES(ASIN(ABS((P2_a*SIN(RADIANS($A88))-P2_c)/P2_b)))</f>
        <v>71.0059358369967</v>
      </c>
      <c r="E88" s="44" t="n">
        <f aca="false">P2_a*P2_w2*COS(RADIANS($A88))/(P2_b*COS(RADIANS(B88)))</f>
        <v>-0.664872382678246</v>
      </c>
      <c r="F88" s="42" t="n">
        <f aca="false">-P2_a*P2_w2*SIN(RADIANS($A88))+P2_b*E88*SIN(RADIANS(B88))</f>
        <v>-100.701749098876</v>
      </c>
      <c r="G88" s="44" t="n">
        <f aca="false">(P2_a*P2_al2*COS(RADIANS($A88))-P2_a*P2_w2^2*SIN(RADIANS($A88))+P2_b*E88^2*SIN(RADIANS(B88)))/(P2_b*COS(RADIANS(B88)))</f>
        <v>1.6635691791688</v>
      </c>
      <c r="H88" s="42" t="n">
        <f aca="false">-P2_a*P2_al2*SIN(RADIANS($A88))-P2_a*P2_w2^2*COS(RADIANS($A88))+P2_b*G88*SIN(RADIANS(B88))+P2_b*E88^2*COS(RADIANS(B88))</f>
        <v>-244.407809578287</v>
      </c>
      <c r="I88" s="45" t="n">
        <v>45</v>
      </c>
    </row>
    <row r="89" customFormat="false" ht="15" hidden="false" customHeight="false" outlineLevel="0" collapsed="false">
      <c r="A89" s="41" t="n">
        <v>41.5</v>
      </c>
      <c r="B89" s="42" t="n">
        <f aca="false">180-DEGREES(ASIN((P2_a*SIN(RADIANS($A89))-P2_c)/P2_b))</f>
        <v>160.900487355627</v>
      </c>
      <c r="C89" s="42" t="n">
        <f aca="false">P2_a*COS(RADIANS($A89))-P2_b*COS(RADIANS(B89))</f>
        <v>150.947074023822</v>
      </c>
      <c r="D89" s="43" t="n">
        <f aca="false">90-DEGREES(ASIN(ABS((P2_a*SIN(RADIANS($A89))-P2_c)/P2_b)))</f>
        <v>70.9004873556265</v>
      </c>
      <c r="E89" s="44" t="n">
        <f aca="false">P2_a*P2_w2*COS(RADIANS($A89))/(P2_b*COS(RADIANS(B89)))</f>
        <v>-0.660222802432696</v>
      </c>
      <c r="F89" s="42" t="n">
        <f aca="false">-P2_a*P2_w2*SIN(RADIANS($A89))+P2_b*E89*SIN(RADIANS(B89))</f>
        <v>-101.375025975847</v>
      </c>
      <c r="G89" s="44" t="n">
        <f aca="false">(P2_a*P2_al2*COS(RADIANS($A89))-P2_a*P2_w2^2*SIN(RADIANS($A89))+P2_b*E89^2*SIN(RADIANS(B89)))/(P2_b*COS(RADIANS(B89)))</f>
        <v>1.68411615574359</v>
      </c>
      <c r="H89" s="42" t="n">
        <f aca="false">-P2_a*P2_al2*SIN(RADIANS($A89))-P2_a*P2_w2^2*COS(RADIANS($A89))+P2_b*G89*SIN(RADIANS(B89))+P2_b*E89^2*COS(RADIANS(B89))</f>
        <v>-240.347197906028</v>
      </c>
      <c r="I89" s="45" t="n">
        <v>45</v>
      </c>
    </row>
    <row r="90" customFormat="false" ht="15" hidden="false" customHeight="false" outlineLevel="0" collapsed="false">
      <c r="A90" s="41" t="n">
        <v>42</v>
      </c>
      <c r="B90" s="42" t="n">
        <f aca="false">180-DEGREES(ASIN((P2_a*SIN(RADIANS($A90))-P2_c)/P2_b))</f>
        <v>160.795783414269</v>
      </c>
      <c r="C90" s="42" t="n">
        <f aca="false">P2_a*COS(RADIANS($A90))-P2_b*COS(RADIANS(B90))</f>
        <v>150.664554710908</v>
      </c>
      <c r="D90" s="43" t="n">
        <f aca="false">90-DEGREES(ASIN(ABS((P2_a*SIN(RADIANS($A90))-P2_c)/P2_b)))</f>
        <v>70.7957834142685</v>
      </c>
      <c r="E90" s="44" t="n">
        <f aca="false">P2_a*P2_w2*COS(RADIANS($A90))/(P2_b*COS(RADIANS(B90)))</f>
        <v>-0.655516252083173</v>
      </c>
      <c r="F90" s="42" t="n">
        <f aca="false">-P2_a*P2_w2*SIN(RADIANS($A90))+P2_b*E90*SIN(RADIANS(B90))</f>
        <v>-102.036987497888</v>
      </c>
      <c r="G90" s="44" t="n">
        <f aca="false">(P2_a*P2_al2*COS(RADIANS($A90))-P2_a*P2_w2^2*SIN(RADIANS($A90))+P2_b*E90^2*SIN(RADIANS(B90)))/(P2_b*COS(RADIANS(B90)))</f>
        <v>1.70458723940711</v>
      </c>
      <c r="H90" s="42" t="n">
        <f aca="false">-P2_a*P2_al2*SIN(RADIANS($A90))-P2_a*P2_w2^2*COS(RADIANS($A90))+P2_b*G90*SIN(RADIANS(B90))+P2_b*E90^2*COS(RADIANS(B90))</f>
        <v>-236.260869971521</v>
      </c>
      <c r="I90" s="45" t="n">
        <v>45</v>
      </c>
    </row>
    <row r="91" customFormat="false" ht="15" hidden="false" customHeight="false" outlineLevel="0" collapsed="false">
      <c r="A91" s="41" t="n">
        <v>42.5</v>
      </c>
      <c r="B91" s="42" t="n">
        <f aca="false">180-DEGREES(ASIN((P2_a*SIN(RADIANS($A91))-P2_c)/P2_b))</f>
        <v>160.691833063036</v>
      </c>
      <c r="C91" s="42" t="n">
        <f aca="false">P2_a*COS(RADIANS($A91))-P2_b*COS(RADIANS(B91))</f>
        <v>150.380212413541</v>
      </c>
      <c r="D91" s="43" t="n">
        <f aca="false">90-DEGREES(ASIN(ABS((P2_a*SIN(RADIANS($A91))-P2_c)/P2_b)))</f>
        <v>70.6918330630364</v>
      </c>
      <c r="E91" s="44" t="n">
        <f aca="false">P2_a*P2_w2*COS(RADIANS($A91))/(P2_b*COS(RADIANS(B91)))</f>
        <v>-0.650752945914129</v>
      </c>
      <c r="F91" s="42" t="n">
        <f aca="false">-P2_a*P2_w2*SIN(RADIANS($A91))+P2_b*E91*SIN(RADIANS(B91))</f>
        <v>-102.687563200454</v>
      </c>
      <c r="G91" s="44" t="n">
        <f aca="false">(P2_a*P2_al2*COS(RADIANS($A91))-P2_a*P2_w2^2*SIN(RADIANS($A91))+P2_b*E91^2*SIN(RADIANS(B91)))/(P2_b*COS(RADIANS(B91)))</f>
        <v>1.72497992556398</v>
      </c>
      <c r="H91" s="42" t="n">
        <f aca="false">-P2_a*P2_al2*SIN(RADIANS($A91))-P2_a*P2_w2^2*COS(RADIANS($A91))+P2_b*G91*SIN(RADIANS(B91))+P2_b*E91^2*COS(RADIANS(B91))</f>
        <v>-232.149525019598</v>
      </c>
      <c r="I91" s="45" t="n">
        <v>45</v>
      </c>
    </row>
    <row r="92" customFormat="false" ht="15" hidden="false" customHeight="false" outlineLevel="0" collapsed="false">
      <c r="A92" s="41" t="n">
        <v>43</v>
      </c>
      <c r="B92" s="42" t="n">
        <f aca="false">180-DEGREES(ASIN((P2_a*SIN(RADIANS($A92))-P2_c)/P2_b))</f>
        <v>160.588645317383</v>
      </c>
      <c r="C92" s="42" t="n">
        <f aca="false">P2_a*COS(RADIANS($A92))-P2_b*COS(RADIANS(B92))</f>
        <v>150.094078854607</v>
      </c>
      <c r="D92" s="43" t="n">
        <f aca="false">90-DEGREES(ASIN(ABS((P2_a*SIN(RADIANS($A92))-P2_c)/P2_b)))</f>
        <v>70.5886453173834</v>
      </c>
      <c r="E92" s="44" t="n">
        <f aca="false">P2_a*P2_w2*COS(RADIANS($A92))/(P2_b*COS(RADIANS(B92)))</f>
        <v>-0.645933105213819</v>
      </c>
      <c r="F92" s="42" t="n">
        <f aca="false">-P2_a*P2_w2*SIN(RADIANS($A92))+P2_b*E92*SIN(RADIANS(B92))</f>
        <v>-103.326684571225</v>
      </c>
      <c r="G92" s="44" t="n">
        <f aca="false">(P2_a*P2_al2*COS(RADIANS($A92))-P2_a*P2_w2^2*SIN(RADIANS($A92))+P2_b*E92^2*SIN(RADIANS(B92)))/(P2_b*COS(RADIANS(B92)))</f>
        <v>1.7452916761369</v>
      </c>
      <c r="H92" s="42" t="n">
        <f aca="false">-P2_a*P2_al2*SIN(RADIANS($A92))-P2_a*P2_w2^2*COS(RADIANS($A92))+P2_b*G92*SIN(RADIANS(B92))+P2_b*E92^2*COS(RADIANS(B92))</f>
        <v>-228.01386938534</v>
      </c>
      <c r="I92" s="45" t="n">
        <v>45</v>
      </c>
    </row>
    <row r="93" customFormat="false" ht="15" hidden="false" customHeight="false" outlineLevel="0" collapsed="false">
      <c r="A93" s="41" t="n">
        <v>43.5</v>
      </c>
      <c r="B93" s="42" t="n">
        <f aca="false">180-DEGREES(ASIN((P2_a*SIN(RADIANS($A93))-P2_c)/P2_b))</f>
        <v>160.48622915698</v>
      </c>
      <c r="C93" s="42" t="n">
        <f aca="false">P2_a*COS(RADIANS($A93))-P2_b*COS(RADIANS(B93))</f>
        <v>149.80618594457</v>
      </c>
      <c r="D93" s="43" t="n">
        <f aca="false">90-DEGREES(ASIN(ABS((P2_a*SIN(RADIANS($A93))-P2_c)/P2_b)))</f>
        <v>70.48622915698</v>
      </c>
      <c r="E93" s="44" t="n">
        <f aca="false">P2_a*P2_w2*COS(RADIANS($A93))/(P2_b*COS(RADIANS(B93)))</f>
        <v>-0.641056958366747</v>
      </c>
      <c r="F93" s="42" t="n">
        <f aca="false">-P2_a*P2_w2*SIN(RADIANS($A93))+P2_b*E93*SIN(RADIANS(B93))</f>
        <v>-103.954285069612</v>
      </c>
      <c r="G93" s="44" t="n">
        <f aca="false">(P2_a*P2_al2*COS(RADIANS($A93))-P2_a*P2_w2^2*SIN(RADIANS($A93))+P2_b*E93^2*SIN(RADIANS(B93)))/(P2_b*COS(RADIANS(B93)))</f>
        <v>1.76551991997291</v>
      </c>
      <c r="H93" s="42" t="n">
        <f aca="false">-P2_a*P2_al2*SIN(RADIANS($A93))-P2_a*P2_w2^2*COS(RADIANS($A93))+P2_b*G93*SIN(RADIANS(B93))+P2_b*E93^2*COS(RADIANS(B93))</f>
        <v>-223.854616356441</v>
      </c>
      <c r="I93" s="45" t="n">
        <v>45</v>
      </c>
    </row>
    <row r="94" customFormat="false" ht="15" hidden="false" customHeight="false" outlineLevel="0" collapsed="false">
      <c r="A94" s="41" t="n">
        <v>44</v>
      </c>
      <c r="B94" s="42" t="n">
        <f aca="false">180-DEGREES(ASIN((P2_a*SIN(RADIANS($A94))-P2_c)/P2_b))</f>
        <v>160.384593524578</v>
      </c>
      <c r="C94" s="42" t="n">
        <f aca="false">P2_a*COS(RADIANS($A94))-P2_b*COS(RADIANS(B94))</f>
        <v>149.51656577597</v>
      </c>
      <c r="D94" s="43" t="n">
        <f aca="false">90-DEGREES(ASIN(ABS((P2_a*SIN(RADIANS($A94))-P2_c)/P2_b)))</f>
        <v>70.3845935245776</v>
      </c>
      <c r="E94" s="44" t="n">
        <f aca="false">P2_a*P2_w2*COS(RADIANS($A94))/(P2_b*COS(RADIANS(B94)))</f>
        <v>-0.636124740944943</v>
      </c>
      <c r="F94" s="42" t="n">
        <f aca="false">-P2_a*P2_w2*SIN(RADIANS($A94))+P2_b*E94*SIN(RADIANS(B94))</f>
        <v>-104.570300145873</v>
      </c>
      <c r="G94" s="44" t="n">
        <f aca="false">(P2_a*P2_al2*COS(RADIANS($A94))-P2_a*P2_w2^2*SIN(RADIANS($A94))+P2_b*E94^2*SIN(RADIANS(B94)))/(P2_b*COS(RADIANS(B94)))</f>
        <v>1.78566205328484</v>
      </c>
      <c r="H94" s="42" t="n">
        <f aca="false">-P2_a*P2_al2*SIN(RADIANS($A94))-P2_a*P2_w2^2*COS(RADIANS($A94))+P2_b*G94*SIN(RADIANS(B94))+P2_b*E94^2*COS(RADIANS(B94))</f>
        <v>-219.672486030418</v>
      </c>
      <c r="I94" s="45" t="n">
        <v>45</v>
      </c>
    </row>
    <row r="95" customFormat="false" ht="15" hidden="false" customHeight="false" outlineLevel="0" collapsed="false">
      <c r="A95" s="41" t="n">
        <v>44.5</v>
      </c>
      <c r="B95" s="42" t="n">
        <f aca="false">180-DEGREES(ASIN((P2_a*SIN(RADIANS($A95))-P2_c)/P2_b))</f>
        <v>160.283747324857</v>
      </c>
      <c r="C95" s="42" t="n">
        <f aca="false">P2_a*COS(RADIANS($A95))-P2_b*COS(RADIANS(B95))</f>
        <v>149.225250617862</v>
      </c>
      <c r="D95" s="43" t="n">
        <f aca="false">90-DEGREES(ASIN(ABS((P2_a*SIN(RADIANS($A95))-P2_c)/P2_b)))</f>
        <v>70.283747324857</v>
      </c>
      <c r="E95" s="44" t="n">
        <f aca="false">P2_a*P2_w2*COS(RADIANS($A95))/(P2_b*COS(RADIANS(B95)))</f>
        <v>-0.631136695797955</v>
      </c>
      <c r="F95" s="42" t="n">
        <f aca="false">-P2_a*P2_w2*SIN(RADIANS($A95))+P2_b*E95*SIN(RADIANS(B95))</f>
        <v>-105.174667259823</v>
      </c>
      <c r="G95" s="44" t="n">
        <f aca="false">(P2_a*P2_al2*COS(RADIANS($A95))-P2_a*P2_w2^2*SIN(RADIANS($A95))+P2_b*E95^2*SIN(RADIANS(B95)))/(P2_b*COS(RADIANS(B95)))</f>
        <v>1.80571544012812</v>
      </c>
      <c r="H95" s="42" t="n">
        <f aca="false">-P2_a*P2_al2*SIN(RADIANS($A95))-P2_a*P2_w2^2*COS(RADIANS($A95))+P2_b*G95*SIN(RADIANS(B95))+P2_b*E95^2*COS(RADIANS(B95))</f>
        <v>-215.46820516659</v>
      </c>
      <c r="I95" s="45" t="n">
        <v>45</v>
      </c>
    </row>
    <row r="96" customFormat="false" ht="15" hidden="false" customHeight="false" outlineLevel="0" collapsed="false">
      <c r="A96" s="41" t="n">
        <v>45</v>
      </c>
      <c r="B96" s="42" t="n">
        <f aca="false">180-DEGREES(ASIN((P2_a*SIN(RADIANS($A96))-P2_c)/P2_b))</f>
        <v>160.183699423263</v>
      </c>
      <c r="C96" s="42" t="n">
        <f aca="false">P2_a*COS(RADIANS($A96))-P2_b*COS(RADIANS(B96))</f>
        <v>148.932272910214</v>
      </c>
      <c r="D96" s="43" t="n">
        <f aca="false">90-DEGREES(ASIN(ABS((P2_a*SIN(RADIANS($A96))-P2_c)/P2_b)))</f>
        <v>70.1836994232634</v>
      </c>
      <c r="E96" s="44" t="n">
        <f aca="false">P2_a*P2_w2*COS(RADIANS($A96))/(P2_b*COS(RADIANS(B96)))</f>
        <v>-0.626093073141473</v>
      </c>
      <c r="F96" s="42" t="n">
        <f aca="false">-P2_a*P2_w2*SIN(RADIANS($A96))+P2_b*E96*SIN(RADIANS(B96))</f>
        <v>-105.76732589913</v>
      </c>
      <c r="G96" s="44" t="n">
        <f aca="false">(P2_a*P2_al2*COS(RADIANS($A96))-P2_a*P2_w2^2*SIN(RADIANS($A96))+P2_b*E96^2*SIN(RADIANS(B96)))/(P2_b*COS(RADIANS(B96)))</f>
        <v>1.82567741291366</v>
      </c>
      <c r="H96" s="42" t="n">
        <f aca="false">-P2_a*P2_al2*SIN(RADIANS($A96))-P2_a*P2_w2^2*COS(RADIANS($A96))+P2_b*G96*SIN(RADIANS(B96))+P2_b*E96^2*COS(RADIANS(B96))</f>
        <v>-211.242507032814</v>
      </c>
      <c r="I96" s="45" t="n">
        <v>45</v>
      </c>
    </row>
    <row r="97" customFormat="false" ht="15" hidden="false" customHeight="false" outlineLevel="0" collapsed="false">
      <c r="A97" s="41" t="n">
        <v>45.5</v>
      </c>
      <c r="B97" s="42" t="n">
        <f aca="false">180-DEGREES(ASIN((P2_a*SIN(RADIANS($A97))-P2_c)/P2_b))</f>
        <v>160.084458644827</v>
      </c>
      <c r="C97" s="42" t="n">
        <f aca="false">P2_a*COS(RADIANS($A97))-P2_b*COS(RADIANS(B97))</f>
        <v>148.637665258246</v>
      </c>
      <c r="D97" s="43" t="n">
        <f aca="false">90-DEGREES(ASIN(ABS((P2_a*SIN(RADIANS($A97))-P2_c)/P2_b)))</f>
        <v>70.0844586448269</v>
      </c>
      <c r="E97" s="44" t="n">
        <f aca="false">P2_a*P2_w2*COS(RADIANS($A97))/(P2_b*COS(RADIANS(B97)))</f>
        <v>-0.620994130644477</v>
      </c>
      <c r="F97" s="42" t="n">
        <f aca="false">-P2_a*P2_w2*SIN(RADIANS($A97))+P2_b*E97*SIN(RADIANS(B97))</f>
        <v>-106.348217597173</v>
      </c>
      <c r="G97" s="44" t="n">
        <f aca="false">(P2_a*P2_al2*COS(RADIANS($A97))-P2_a*P2_w2^2*SIN(RADIANS($A97))+P2_b*E97^2*SIN(RADIANS(B97)))/(P2_b*COS(RADIANS(B97)))</f>
        <v>1.84554527295694</v>
      </c>
      <c r="H97" s="42" t="n">
        <f aca="false">-P2_a*P2_al2*SIN(RADIANS($A97))-P2_a*P2_w2^2*COS(RADIANS($A97))+P2_b*G97*SIN(RADIANS(B97))+P2_b*E97^2*COS(RADIANS(B97))</f>
        <v>-206.9961312469</v>
      </c>
      <c r="I97" s="45" t="n">
        <v>45</v>
      </c>
    </row>
    <row r="98" customFormat="false" ht="15" hidden="false" customHeight="false" outlineLevel="0" collapsed="false">
      <c r="A98" s="41" t="n">
        <v>46</v>
      </c>
      <c r="B98" s="42" t="n">
        <f aca="false">180-DEGREES(ASIN((P2_a*SIN(RADIANS($A98))-P2_c)/P2_b))</f>
        <v>159.98603377297</v>
      </c>
      <c r="C98" s="42" t="n">
        <f aca="false">P2_a*COS(RADIANS($A98))-P2_b*COS(RADIANS(B98))</f>
        <v>148.341460426724</v>
      </c>
      <c r="D98" s="43" t="n">
        <f aca="false">90-DEGREES(ASIN(ABS((P2_a*SIN(RADIANS($A98))-P2_c)/P2_b)))</f>
        <v>69.9860337729696</v>
      </c>
      <c r="E98" s="44" t="n">
        <f aca="false">P2_a*P2_w2*COS(RADIANS($A98))/(P2_b*COS(RADIANS(B98)))</f>
        <v>-0.615840133514805</v>
      </c>
      <c r="F98" s="42" t="n">
        <f aca="false">-P2_a*P2_w2*SIN(RADIANS($A98))+P2_b*E98*SIN(RADIANS(B98))</f>
        <v>-106.917285950456</v>
      </c>
      <c r="G98" s="44" t="n">
        <f aca="false">(P2_a*P2_al2*COS(RADIANS($A98))-P2_a*P2_w2^2*SIN(RADIANS($A98))+P2_b*E98^2*SIN(RADIANS(B98)))/(P2_b*COS(RADIANS(B98)))</f>
        <v>1.86531629106377</v>
      </c>
      <c r="H98" s="42" t="n">
        <f aca="false">-P2_a*P2_al2*SIN(RADIANS($A98))-P2_a*P2_w2^2*COS(RADIANS($A98))+P2_b*G98*SIN(RADIANS(B98))+P2_b*E98^2*COS(RADIANS(B98))</f>
        <v>-202.729823612692</v>
      </c>
      <c r="I98" s="45" t="n">
        <v>45</v>
      </c>
    </row>
    <row r="99" customFormat="false" ht="15" hidden="false" customHeight="false" outlineLevel="0" collapsed="false">
      <c r="A99" s="41" t="n">
        <v>46.5</v>
      </c>
      <c r="B99" s="42" t="n">
        <f aca="false">180-DEGREES(ASIN((P2_a*SIN(RADIANS($A99))-P2_c)/P2_b))</f>
        <v>159.888433548299</v>
      </c>
      <c r="C99" s="42" t="n">
        <f aca="false">P2_a*COS(RADIANS($A99))-P2_b*COS(RADIANS(B99))</f>
        <v>148.043691334205</v>
      </c>
      <c r="D99" s="43" t="n">
        <f aca="false">90-DEGREES(ASIN(ABS((P2_a*SIN(RADIANS($A99))-P2_c)/P2_b)))</f>
        <v>69.8884335482989</v>
      </c>
      <c r="E99" s="44" t="n">
        <f aca="false">P2_a*P2_w2*COS(RADIANS($A99))/(P2_b*COS(RADIANS(B99)))</f>
        <v>-0.610631354583051</v>
      </c>
      <c r="F99" s="42" t="n">
        <f aca="false">-P2_a*P2_w2*SIN(RADIANS($A99))+P2_b*E99*SIN(RADIANS(B99))</f>
        <v>-107.474476635556</v>
      </c>
      <c r="G99" s="44" t="n">
        <f aca="false">(P2_a*P2_al2*COS(RADIANS($A99))-P2_a*P2_w2^2*SIN(RADIANS($A99))+P2_b*E99^2*SIN(RADIANS(B99)))/(P2_b*COS(RADIANS(B99)))</f>
        <v>1.88498770815305</v>
      </c>
      <c r="H99" s="42" t="n">
        <f aca="false">-P2_a*P2_al2*SIN(RADIANS($A99))-P2_a*P2_w2^2*COS(RADIANS($A99))+P2_b*G99*SIN(RADIANS(B99))+P2_b*E99^2*COS(RADIANS(B99))</f>
        <v>-198.444335950765</v>
      </c>
      <c r="I99" s="45" t="n">
        <v>45</v>
      </c>
    </row>
    <row r="100" customFormat="false" ht="15" hidden="false" customHeight="false" outlineLevel="0" collapsed="false">
      <c r="A100" s="41" t="n">
        <v>47</v>
      </c>
      <c r="B100" s="42" t="n">
        <f aca="false">180-DEGREES(ASIN((P2_a*SIN(RADIANS($A100))-P2_c)/P2_b))</f>
        <v>159.791666667388</v>
      </c>
      <c r="C100" s="42" t="n">
        <f aca="false">P2_a*COS(RADIANS($A100))-P2_b*COS(RADIANS(B100))</f>
        <v>147.744391047236</v>
      </c>
      <c r="D100" s="43" t="n">
        <f aca="false">90-DEGREES(ASIN(ABS((P2_a*SIN(RADIANS($A100))-P2_c)/P2_b)))</f>
        <v>69.7916666673878</v>
      </c>
      <c r="E100" s="44" t="n">
        <f aca="false">P2_a*P2_w2*COS(RADIANS($A100))/(P2_b*COS(RADIANS(B100)))</f>
        <v>-0.605368074384672</v>
      </c>
      <c r="F100" s="42" t="n">
        <f aca="false">-P2_a*P2_w2*SIN(RADIANS($A100))+P2_b*E100*SIN(RADIANS(B100))</f>
        <v>-108.019737425596</v>
      </c>
      <c r="G100" s="44" t="n">
        <f aca="false">(P2_a*P2_al2*COS(RADIANS($A100))-P2_a*P2_w2^2*SIN(RADIANS($A100))+P2_b*E100^2*SIN(RADIANS(B100)))/(P2_b*COS(RADIANS(B100)))</f>
        <v>1.90455673591673</v>
      </c>
      <c r="H100" s="42" t="n">
        <f aca="false">-P2_a*P2_al2*SIN(RADIANS($A100))-P2_a*P2_w2^2*COS(RADIANS($A100))+P2_b*G100*SIN(RADIANS(B100))+P2_b*E100^2*COS(RADIANS(B100))</f>
        <v>-194.140425923724</v>
      </c>
      <c r="I100" s="45" t="n">
        <v>45</v>
      </c>
    </row>
    <row r="101" customFormat="false" ht="15" hidden="false" customHeight="false" outlineLevel="0" collapsed="false">
      <c r="A101" s="41" t="n">
        <v>47.5</v>
      </c>
      <c r="B101" s="42" t="n">
        <f aca="false">180-DEGREES(ASIN((P2_a*SIN(RADIANS($A101))-P2_c)/P2_b))</f>
        <v>159.695741781542</v>
      </c>
      <c r="C101" s="42" t="n">
        <f aca="false">P2_a*COS(RADIANS($A101))-P2_b*COS(RADIANS(B101))</f>
        <v>147.443592774508</v>
      </c>
      <c r="D101" s="43" t="n">
        <f aca="false">90-DEGREES(ASIN(ABS((P2_a*SIN(RADIANS($A101))-P2_c)/P2_b)))</f>
        <v>69.6957417815422</v>
      </c>
      <c r="E101" s="44" t="n">
        <f aca="false">P2_a*P2_w2*COS(RADIANS($A101))/(P2_b*COS(RADIANS(B101)))</f>
        <v>-0.600050581240214</v>
      </c>
      <c r="F101" s="42" t="n">
        <f aca="false">-P2_a*P2_w2*SIN(RADIANS($A101))+P2_b*E101*SIN(RADIANS(B101))</f>
        <v>-108.553018206222</v>
      </c>
      <c r="G101" s="44" t="n">
        <f aca="false">(P2_a*P2_al2*COS(RADIANS($A101))-P2_a*P2_w2^2*SIN(RADIANS($A101))+P2_b*E101^2*SIN(RADIANS(B101)))/(P2_b*COS(RADIANS(B101)))</f>
        <v>1.92402055751728</v>
      </c>
      <c r="H101" s="42" t="n">
        <f aca="false">-P2_a*P2_al2*SIN(RADIANS($A101))-P2_a*P2_w2^2*COS(RADIANS($A101))+P2_b*G101*SIN(RADIANS(B101))+P2_b*E101^2*COS(RADIANS(B101))</f>
        <v>-189.818856856063</v>
      </c>
      <c r="I101" s="45" t="n">
        <v>45</v>
      </c>
    </row>
    <row r="102" customFormat="false" ht="15" hidden="false" customHeight="false" outlineLevel="0" collapsed="false">
      <c r="A102" s="41" t="n">
        <v>48</v>
      </c>
      <c r="B102" s="42" t="n">
        <f aca="false">180-DEGREES(ASIN((P2_a*SIN(RADIANS($A102))-P2_c)/P2_b))</f>
        <v>159.600667495556</v>
      </c>
      <c r="C102" s="42" t="n">
        <f aca="false">P2_a*COS(RADIANS($A102))-P2_b*COS(RADIANS(B102))</f>
        <v>147.141329860967</v>
      </c>
      <c r="D102" s="43" t="n">
        <f aca="false">90-DEGREES(ASIN(ABS((P2_a*SIN(RADIANS($A102))-P2_c)/P2_b)))</f>
        <v>69.6006674955558</v>
      </c>
      <c r="E102" s="44" t="n">
        <f aca="false">P2_a*P2_w2*COS(RADIANS($A102))/(P2_b*COS(RADIANS(B102)))</f>
        <v>-0.594679171333552</v>
      </c>
      <c r="F102" s="42" t="n">
        <f aca="false">-P2_a*P2_w2*SIN(RADIANS($A102))+P2_b*E102*SIN(RADIANS(B102))</f>
        <v>-109.074270991078</v>
      </c>
      <c r="G102" s="44" t="n">
        <f aca="false">(P2_a*P2_al2*COS(RADIANS($A102))-P2_a*P2_w2^2*SIN(RADIANS($A102))+P2_b*E102^2*SIN(RADIANS(B102)))/(P2_b*COS(RADIANS(B102)))</f>
        <v>1.9433763283229</v>
      </c>
      <c r="H102" s="42" t="n">
        <f aca="false">-P2_a*P2_al2*SIN(RADIANS($A102))-P2_a*P2_w2^2*COS(RADIANS($A102))+P2_b*G102*SIN(RADIANS(B102))+P2_b*E102^2*COS(RADIANS(B102))</f>
        <v>-185.480397548589</v>
      </c>
      <c r="I102" s="45" t="n">
        <v>45</v>
      </c>
    </row>
    <row r="103" customFormat="false" ht="15" hidden="false" customHeight="false" outlineLevel="0" collapsed="false">
      <c r="A103" s="41" t="n">
        <v>48.5</v>
      </c>
      <c r="B103" s="42" t="n">
        <f aca="false">180-DEGREES(ASIN((P2_a*SIN(RADIANS($A103))-P2_c)/P2_b))</f>
        <v>159.506452366452</v>
      </c>
      <c r="C103" s="42" t="n">
        <f aca="false">P2_a*COS(RADIANS($A103))-P2_b*COS(RADIANS(B103))</f>
        <v>146.837635781882</v>
      </c>
      <c r="D103" s="43" t="n">
        <f aca="false">90-DEGREES(ASIN(ABS((P2_a*SIN(RADIANS($A103))-P2_c)/P2_b)))</f>
        <v>69.5064523664522</v>
      </c>
      <c r="E103" s="44" t="n">
        <f aca="false">P2_a*P2_w2*COS(RADIANS($A103))/(P2_b*COS(RADIANS(B103)))</f>
        <v>-0.589254148788026</v>
      </c>
      <c r="F103" s="42" t="n">
        <f aca="false">-P2_a*P2_w2*SIN(RADIANS($A103))+P2_b*E103*SIN(RADIANS(B103))</f>
        <v>-109.583449936748</v>
      </c>
      <c r="G103" s="44" t="n">
        <f aca="false">(P2_a*P2_al2*COS(RADIANS($A103))-P2_a*P2_w2^2*SIN(RADIANS($A103))+P2_b*E103^2*SIN(RADIANS(B103)))/(P2_b*COS(RADIANS(B103)))</f>
        <v>1.96262117668056</v>
      </c>
      <c r="H103" s="42" t="n">
        <f aca="false">-P2_a*P2_al2*SIN(RADIANS($A103))-P2_a*P2_w2^2*COS(RADIANS($A103))+P2_b*G103*SIN(RADIANS(B103))+P2_b*E103^2*COS(RADIANS(B103))</f>
        <v>-181.12582208738</v>
      </c>
      <c r="I103" s="45" t="n">
        <v>45</v>
      </c>
    </row>
    <row r="104" customFormat="false" ht="15" hidden="false" customHeight="false" outlineLevel="0" collapsed="false">
      <c r="A104" s="41" t="n">
        <v>49</v>
      </c>
      <c r="B104" s="42" t="n">
        <f aca="false">180-DEGREES(ASIN((P2_a*SIN(RADIANS($A104))-P2_c)/P2_b))</f>
        <v>159.413104902216</v>
      </c>
      <c r="C104" s="42" t="n">
        <f aca="false">P2_a*COS(RADIANS($A104))-P2_b*COS(RADIANS(B104))</f>
        <v>146.532544136872</v>
      </c>
      <c r="D104" s="43" t="n">
        <f aca="false">90-DEGREES(ASIN(ABS((P2_a*SIN(RADIANS($A104))-P2_c)/P2_b)))</f>
        <v>69.4131049022155</v>
      </c>
      <c r="E104" s="44" t="n">
        <f aca="false">P2_a*P2_w2*COS(RADIANS($A104))/(P2_b*COS(RADIANS(B104)))</f>
        <v>-0.583775825740387</v>
      </c>
      <c r="F104" s="42" t="n">
        <f aca="false">-P2_a*P2_w2*SIN(RADIANS($A104))+P2_b*E104*SIN(RADIANS(B104))</f>
        <v>-110.080511357173</v>
      </c>
      <c r="G104" s="44" t="n">
        <f aca="false">(P2_a*P2_al2*COS(RADIANS($A104))-P2_a*P2_w2^2*SIN(RADIANS($A104))+P2_b*E104^2*SIN(RADIANS(B104)))/(P2_b*COS(RADIANS(B104)))</f>
        <v>1.98175220472708</v>
      </c>
      <c r="H104" s="42" t="n">
        <f aca="false">-P2_a*P2_al2*SIN(RADIANS($A104))-P2_a*P2_w2^2*COS(RADIANS($A104))+P2_b*G104*SIN(RADIANS(B104))+P2_b*E104^2*COS(RADIANS(B104))</f>
        <v>-176.75590964729</v>
      </c>
      <c r="I104" s="45" t="n">
        <v>45</v>
      </c>
    </row>
    <row r="105" customFormat="false" ht="15" hidden="false" customHeight="false" outlineLevel="0" collapsed="false">
      <c r="A105" s="41" t="n">
        <v>49.5</v>
      </c>
      <c r="B105" s="42" t="n">
        <f aca="false">180-DEGREES(ASIN((P2_a*SIN(RADIANS($A105))-P2_c)/P2_b))</f>
        <v>159.320633560509</v>
      </c>
      <c r="C105" s="42" t="n">
        <f aca="false">P2_a*COS(RADIANS($A105))-P2_b*COS(RADIANS(B105))</f>
        <v>146.226088643891</v>
      </c>
      <c r="D105" s="43" t="n">
        <f aca="false">90-DEGREES(ASIN(ABS((P2_a*SIN(RADIANS($A105))-P2_c)/P2_b)))</f>
        <v>69.3206335605095</v>
      </c>
      <c r="E105" s="44" t="n">
        <f aca="false">P2_a*P2_w2*COS(RADIANS($A105))/(P2_b*COS(RADIANS(B105)))</f>
        <v>-0.578244522412431</v>
      </c>
      <c r="F105" s="42" t="n">
        <f aca="false">-P2_a*P2_w2*SIN(RADIANS($A105))+P2_b*E105*SIN(RADIANS(B105))</f>
        <v>-110.565413737499</v>
      </c>
      <c r="G105" s="44" t="n">
        <f aca="false">(P2_a*P2_al2*COS(RADIANS($A105))-P2_a*P2_w2^2*SIN(RADIANS($A105))+P2_b*E105^2*SIN(RADIANS(B105)))/(P2_b*COS(RADIANS(B105)))</f>
        <v>2.00076648923832</v>
      </c>
      <c r="H105" s="42" t="n">
        <f aca="false">-P2_a*P2_al2*SIN(RADIANS($A105))-P2_a*P2_w2^2*COS(RADIANS($A105))+P2_b*G105*SIN(RADIANS(B105))+P2_b*E105^2*COS(RADIANS(B105))</f>
        <v>-172.371444289979</v>
      </c>
      <c r="I105" s="45" t="n">
        <v>45</v>
      </c>
    </row>
    <row r="106" customFormat="false" ht="15" hidden="false" customHeight="false" outlineLevel="0" collapsed="false">
      <c r="A106" s="41" t="n">
        <v>50</v>
      </c>
      <c r="B106" s="42" t="n">
        <f aca="false">180-DEGREES(ASIN((P2_a*SIN(RADIANS($A106))-P2_c)/P2_b))</f>
        <v>159.229046747385</v>
      </c>
      <c r="C106" s="42" t="n">
        <f aca="false">P2_a*COS(RADIANS($A106))-P2_b*COS(RADIANS(B106))</f>
        <v>145.918303133185</v>
      </c>
      <c r="D106" s="43" t="n">
        <f aca="false">90-DEGREES(ASIN(ABS((P2_a*SIN(RADIANS($A106))-P2_c)/P2_b)))</f>
        <v>69.2290467473848</v>
      </c>
      <c r="E106" s="44" t="n">
        <f aca="false">P2_a*P2_w2*COS(RADIANS($A106))/(P2_b*COS(RADIANS(B106)))</f>
        <v>-0.572660567180219</v>
      </c>
      <c r="F106" s="42" t="n">
        <f aca="false">-P2_a*P2_w2*SIN(RADIANS($A106))+P2_b*E106*SIN(RADIANS(B106))</f>
        <v>-111.038117747372</v>
      </c>
      <c r="G106" s="44" t="n">
        <f aca="false">(P2_a*P2_al2*COS(RADIANS($A106))-P2_a*P2_w2^2*SIN(RADIANS($A106))+P2_b*E106^2*SIN(RADIANS(B106)))/(P2_b*COS(RADIANS(B106)))</f>
        <v>2.01966108251649</v>
      </c>
      <c r="H106" s="42" t="n">
        <f aca="false">-P2_a*P2_al2*SIN(RADIANS($A106))-P2_a*P2_w2^2*COS(RADIANS($A106))+P2_b*G106*SIN(RADIANS(B106))+P2_b*E106^2*COS(RADIANS(B106))</f>
        <v>-167.973214756503</v>
      </c>
      <c r="I106" s="45" t="n">
        <v>45</v>
      </c>
    </row>
    <row r="107" customFormat="false" ht="15" hidden="false" customHeight="false" outlineLevel="0" collapsed="false">
      <c r="A107" s="41" t="n">
        <v>50.5</v>
      </c>
      <c r="B107" s="42" t="n">
        <f aca="false">180-DEGREES(ASIN((P2_a*SIN(RADIANS($A107))-P2_c)/P2_b))</f>
        <v>159.138352815976</v>
      </c>
      <c r="C107" s="42" t="n">
        <f aca="false">P2_a*COS(RADIANS($A107))-P2_b*COS(RADIANS(B107))</f>
        <v>145.6092215412</v>
      </c>
      <c r="D107" s="43" t="n">
        <f aca="false">90-DEGREES(ASIN(ABS((P2_a*SIN(RADIANS($A107))-P2_c)/P2_b)))</f>
        <v>69.1383528159763</v>
      </c>
      <c r="E107" s="44" t="n">
        <f aca="false">P2_a*P2_w2*COS(RADIANS($A107))/(P2_b*COS(RADIANS(B107)))</f>
        <v>-0.567024296640789</v>
      </c>
      <c r="F107" s="42" t="n">
        <f aca="false">-P2_a*P2_w2*SIN(RADIANS($A107))+P2_b*E107*SIN(RADIANS(B107))</f>
        <v>-111.498586253637</v>
      </c>
      <c r="G107" s="44" t="n">
        <f aca="false">(P2_a*P2_al2*COS(RADIANS($A107))-P2_a*P2_w2^2*SIN(RADIANS($A107))+P2_b*E107^2*SIN(RADIANS(B107)))/(P2_b*COS(RADIANS(B107)))</f>
        <v>2.03843301331565</v>
      </c>
      <c r="H107" s="42" t="n">
        <f aca="false">-P2_a*P2_al2*SIN(RADIANS($A107))-P2_a*P2_w2^2*COS(RADIANS($A107))+P2_b*G107*SIN(RADIANS(B107))+P2_b*E107^2*COS(RADIANS(B107))</f>
        <v>-163.562014254455</v>
      </c>
      <c r="I107" s="45" t="n">
        <v>45</v>
      </c>
    </row>
    <row r="108" customFormat="false" ht="15" hidden="false" customHeight="false" outlineLevel="0" collapsed="false">
      <c r="A108" s="41" t="n">
        <v>51</v>
      </c>
      <c r="B108" s="42" t="n">
        <f aca="false">180-DEGREES(ASIN((P2_a*SIN(RADIANS($A108))-P2_c)/P2_b))</f>
        <v>159.048560065189</v>
      </c>
      <c r="C108" s="42" t="n">
        <f aca="false">P2_a*COS(RADIANS($A108))-P2_b*COS(RADIANS(B108))</f>
        <v>145.298877904463</v>
      </c>
      <c r="D108" s="43" t="n">
        <f aca="false">90-DEGREES(ASIN(ABS((P2_a*SIN(RADIANS($A108))-P2_c)/P2_b)))</f>
        <v>69.0485600651891</v>
      </c>
      <c r="E108" s="44" t="n">
        <f aca="false">P2_a*P2_w2*COS(RADIANS($A108))/(P2_b*COS(RADIANS(B108)))</f>
        <v>-0.561336055676234</v>
      </c>
      <c r="F108" s="42" t="n">
        <f aca="false">-P2_a*P2_w2*SIN(RADIANS($A108))+P2_b*E108*SIN(RADIANS(B108))</f>
        <v>-111.946784332445</v>
      </c>
      <c r="G108" s="44" t="n">
        <f aca="false">(P2_a*P2_al2*COS(RADIANS($A108))-P2_a*P2_w2^2*SIN(RADIANS($A108))+P2_b*E108^2*SIN(RADIANS(B108)))/(P2_b*COS(RADIANS(B108)))</f>
        <v>2.05707928780532</v>
      </c>
      <c r="H108" s="42" t="n">
        <f aca="false">-P2_a*P2_al2*SIN(RADIANS($A108))-P2_a*P2_w2^2*COS(RADIANS($A108))+P2_b*G108*SIN(RADIANS(B108))+P2_b*E108^2*COS(RADIANS(B108))</f>
        <v>-159.13864023969</v>
      </c>
      <c r="I108" s="45" t="n">
        <v>45</v>
      </c>
    </row>
    <row r="109" customFormat="false" ht="15" hidden="false" customHeight="false" outlineLevel="0" collapsed="false">
      <c r="A109" s="41" t="n">
        <v>51.5</v>
      </c>
      <c r="B109" s="42" t="n">
        <f aca="false">180-DEGREES(ASIN((P2_a*SIN(RADIANS($A109))-P2_c)/P2_b))</f>
        <v>158.959676738375</v>
      </c>
      <c r="C109" s="42" t="n">
        <f aca="false">P2_a*COS(RADIANS($A109))-P2_b*COS(RADIANS(B109))</f>
        <v>144.987306353431</v>
      </c>
      <c r="D109" s="43" t="n">
        <f aca="false">90-DEGREES(ASIN(ABS((P2_a*SIN(RADIANS($A109))-P2_c)/P2_b)))</f>
        <v>68.9596767383753</v>
      </c>
      <c r="E109" s="44" t="n">
        <f aca="false">P2_a*P2_w2*COS(RADIANS($A109))/(P2_b*COS(RADIANS(B109)))</f>
        <v>-0.555596197515054</v>
      </c>
      <c r="F109" s="42" t="n">
        <f aca="false">-P2_a*P2_w2*SIN(RADIANS($A109))+P2_b*E109*SIN(RADIANS(B109))</f>
        <v>-112.382679280747</v>
      </c>
      <c r="G109" s="44" t="n">
        <f aca="false">(P2_a*P2_al2*COS(RADIANS($A109))-P2_a*P2_w2^2*SIN(RADIANS($A109))+P2_b*E109^2*SIN(RADIANS(B109)))/(P2_b*COS(RADIANS(B109)))</f>
        <v>2.07559689057208</v>
      </c>
      <c r="H109" s="42" t="n">
        <f aca="false">-P2_a*P2_al2*SIN(RADIANS($A109))-P2_a*P2_w2^2*COS(RADIANS($A109))+P2_b*G109*SIN(RADIANS(B109))+P2_b*E109^2*COS(RADIANS(B109))</f>
        <v>-154.703894192663</v>
      </c>
      <c r="I109" s="45" t="n">
        <v>45</v>
      </c>
    </row>
    <row r="110" customFormat="false" ht="15" hidden="false" customHeight="false" outlineLevel="0" collapsed="false">
      <c r="A110" s="41" t="n">
        <v>52</v>
      </c>
      <c r="B110" s="42" t="n">
        <f aca="false">180-DEGREES(ASIN((P2_a*SIN(RADIANS($A110))-P2_c)/P2_b))</f>
        <v>158.871711022001</v>
      </c>
      <c r="C110" s="42" t="n">
        <f aca="false">P2_a*COS(RADIANS($A110))-P2_b*COS(RADIANS(B110))</f>
        <v>144.674541106307</v>
      </c>
      <c r="D110" s="43" t="n">
        <f aca="false">90-DEGREES(ASIN(ABS((P2_a*SIN(RADIANS($A110))-P2_c)/P2_b)))</f>
        <v>68.871711022001</v>
      </c>
      <c r="E110" s="44" t="n">
        <f aca="false">P2_a*P2_w2*COS(RADIANS($A110))/(P2_b*COS(RADIANS(B110)))</f>
        <v>-0.549805083790677</v>
      </c>
      <c r="F110" s="42" t="n">
        <f aca="false">-P2_a*P2_w2*SIN(RADIANS($A110))+P2_b*E110*SIN(RADIANS(B110))</f>
        <v>-112.80624062715</v>
      </c>
      <c r="G110" s="44" t="n">
        <f aca="false">(P2_a*P2_al2*COS(RADIANS($A110))-P2_a*P2_w2^2*SIN(RADIANS($A110))+P2_b*E110^2*SIN(RADIANS(B110)))/(P2_b*COS(RADIANS(B110)))</f>
        <v>2.09398278565915</v>
      </c>
      <c r="H110" s="42" t="n">
        <f aca="false">-P2_a*P2_al2*SIN(RADIANS($A110))-P2_a*P2_w2^2*COS(RADIANS($A110))+P2_b*G110*SIN(RADIANS(B110))+P2_b*E110^2*COS(RADIANS(B110))</f>
        <v>-150.258581389407</v>
      </c>
      <c r="I110" s="45" t="n">
        <v>45</v>
      </c>
    </row>
    <row r="111" customFormat="false" ht="15" hidden="false" customHeight="false" outlineLevel="0" collapsed="false">
      <c r="A111" s="41" t="n">
        <v>52.5</v>
      </c>
      <c r="B111" s="42" t="n">
        <f aca="false">180-DEGREES(ASIN((P2_a*SIN(RADIANS($A111))-P2_c)/P2_b))</f>
        <v>158.784671044304</v>
      </c>
      <c r="C111" s="42" t="n">
        <f aca="false">P2_a*COS(RADIANS($A111))-P2_b*COS(RADIANS(B111))</f>
        <v>144.360616462824</v>
      </c>
      <c r="D111" s="43" t="n">
        <f aca="false">90-DEGREES(ASIN(ABS((P2_a*SIN(RADIANS($A111))-P2_c)/P2_b)))</f>
        <v>68.7846710443037</v>
      </c>
      <c r="E111" s="44" t="n">
        <f aca="false">P2_a*P2_w2*COS(RADIANS($A111))/(P2_b*COS(RADIANS(B111)))</f>
        <v>-0.543963084597032</v>
      </c>
      <c r="F111" s="42" t="n">
        <f aca="false">-P2_a*P2_w2*SIN(RADIANS($A111))+P2_b*E111*SIN(RADIANS(B111))</f>
        <v>-113.217440142142</v>
      </c>
      <c r="G111" s="44" t="n">
        <f aca="false">(P2_a*P2_al2*COS(RADIANS($A111))-P2_a*P2_w2^2*SIN(RADIANS($A111))+P2_b*E111^2*SIN(RADIANS(B111)))/(P2_b*COS(RADIANS(B111)))</f>
        <v>2.11223391764351</v>
      </c>
      <c r="H111" s="42" t="n">
        <f aca="false">-P2_a*P2_al2*SIN(RADIANS($A111))-P2_a*P2_w2^2*COS(RADIANS($A111))+P2_b*G111*SIN(RADIANS(B111))+P2_b*E111^2*COS(RADIANS(B111))</f>
        <v>-145.803510667206</v>
      </c>
      <c r="I111" s="45" t="n">
        <v>45</v>
      </c>
    </row>
    <row r="112" customFormat="false" ht="15" hidden="false" customHeight="false" outlineLevel="0" collapsed="false">
      <c r="A112" s="41" t="n">
        <v>53</v>
      </c>
      <c r="B112" s="42" t="n">
        <f aca="false">180-DEGREES(ASIN((P2_a*SIN(RADIANS($A112))-P2_c)/P2_b))</f>
        <v>158.698564873942</v>
      </c>
      <c r="C112" s="42" t="n">
        <f aca="false">P2_a*COS(RADIANS($A112))-P2_b*COS(RADIANS(B112))</f>
        <v>144.045566798004</v>
      </c>
      <c r="D112" s="43" t="n">
        <f aca="false">90-DEGREES(ASIN(ABS((P2_a*SIN(RADIANS($A112))-P2_c)/P2_b)))</f>
        <v>68.6985648739421</v>
      </c>
      <c r="E112" s="44" t="n">
        <f aca="false">P2_a*P2_w2*COS(RADIANS($A112))/(P2_b*COS(RADIANS(B112)))</f>
        <v>-0.538070578541086</v>
      </c>
      <c r="F112" s="42" t="n">
        <f aca="false">-P2_a*P2_w2*SIN(RADIANS($A112))+P2_b*E112*SIN(RADIANS(B112))</f>
        <v>-113.616251847651</v>
      </c>
      <c r="G112" s="44" t="n">
        <f aca="false">(P2_a*P2_al2*COS(RADIANS($A112))-P2_a*P2_w2^2*SIN(RADIANS($A112))+P2_b*E112^2*SIN(RADIANS(B112)))/(P2_b*COS(RADIANS(B112)))</f>
        <v>2.13034721275071</v>
      </c>
      <c r="H112" s="42" t="n">
        <f aca="false">-P2_a*P2_al2*SIN(RADIANS($A112))-P2_a*P2_w2^2*COS(RADIANS($A112))+P2_b*G112*SIN(RADIANS(B112))+P2_b*E112^2*COS(RADIANS(B112))</f>
        <v>-141.339494184997</v>
      </c>
      <c r="I112" s="45" t="n">
        <v>45</v>
      </c>
    </row>
    <row r="113" customFormat="false" ht="15" hidden="false" customHeight="false" outlineLevel="0" collapsed="false">
      <c r="A113" s="41" t="n">
        <v>53.5</v>
      </c>
      <c r="B113" s="42" t="n">
        <f aca="false">180-DEGREES(ASIN((P2_a*SIN(RADIANS($A113))-P2_c)/P2_b))</f>
        <v>158.613400518637</v>
      </c>
      <c r="C113" s="42" t="n">
        <f aca="false">P2_a*COS(RADIANS($A113))-P2_b*COS(RADIANS(B113))</f>
        <v>143.729426555895</v>
      </c>
      <c r="D113" s="43" t="n">
        <f aca="false">90-DEGREES(ASIN(ABS((P2_a*SIN(RADIANS($A113))-P2_c)/P2_b)))</f>
        <v>68.6134005186369</v>
      </c>
      <c r="E113" s="44" t="n">
        <f aca="false">P2_a*P2_w2*COS(RADIANS($A113))/(P2_b*COS(RADIANS(B113)))</f>
        <v>-0.532127952792229</v>
      </c>
      <c r="F113" s="42" t="n">
        <f aca="false">-P2_a*P2_w2*SIN(RADIANS($A113))+P2_b*E113*SIN(RADIANS(B113))</f>
        <v>-114.002652025931</v>
      </c>
      <c r="G113" s="44" t="n">
        <f aca="false">(P2_a*P2_al2*COS(RADIANS($A113))-P2_a*P2_w2^2*SIN(RADIANS($A113))+P2_b*E113^2*SIN(RADIANS(B113)))/(P2_b*COS(RADIANS(B113)))</f>
        <v>2.14831958000666</v>
      </c>
      <c r="H113" s="42" t="n">
        <f aca="false">-P2_a*P2_al2*SIN(RADIANS($A113))-P2_a*P2_w2^2*COS(RADIANS($A113))+P2_b*G113*SIN(RADIANS(B113))+P2_b*E113^2*COS(RADIANS(B113))</f>
        <v>-136.867347178585</v>
      </c>
      <c r="I113" s="45" t="n">
        <v>45</v>
      </c>
    </row>
    <row r="114" customFormat="false" ht="15" hidden="false" customHeight="false" outlineLevel="0" collapsed="false">
      <c r="A114" s="41" t="n">
        <v>54</v>
      </c>
      <c r="B114" s="42" t="n">
        <f aca="false">180-DEGREES(ASIN((P2_a*SIN(RADIANS($A114))-P2_c)/P2_b))</f>
        <v>158.529185923805</v>
      </c>
      <c r="C114" s="42" t="n">
        <f aca="false">P2_a*COS(RADIANS($A114))-P2_b*COS(RADIANS(B114))</f>
        <v>143.412230243278</v>
      </c>
      <c r="D114" s="43" t="n">
        <f aca="false">90-DEGREES(ASIN(ABS((P2_a*SIN(RADIANS($A114))-P2_c)/P2_b)))</f>
        <v>68.5291859238045</v>
      </c>
      <c r="E114" s="44" t="n">
        <f aca="false">P2_a*P2_w2*COS(RADIANS($A114))/(P2_b*COS(RADIANS(B114)))</f>
        <v>-0.526135603128404</v>
      </c>
      <c r="F114" s="42" t="n">
        <f aca="false">-P2_a*P2_w2*SIN(RADIANS($A114))+P2_b*E114*SIN(RADIANS(B114))</f>
        <v>-114.376619227766</v>
      </c>
      <c r="G114" s="44" t="n">
        <f aca="false">(P2_a*P2_al2*COS(RADIANS($A114))-P2_a*P2_w2^2*SIN(RADIANS($A114))+P2_b*E114^2*SIN(RADIANS(B114)))/(P2_b*COS(RADIANS(B114)))</f>
        <v>2.16614791242635</v>
      </c>
      <c r="H114" s="42" t="n">
        <f aca="false">-P2_a*P2_al2*SIN(RADIANS($A114))-P2_a*P2_w2^2*COS(RADIANS($A114))+P2_b*G114*SIN(RADIANS(B114))+P2_b*E114^2*COS(RADIANS(B114))</f>
        <v>-132.387887710706</v>
      </c>
      <c r="I114" s="45" t="n">
        <v>45</v>
      </c>
    </row>
    <row r="115" customFormat="false" ht="15" hidden="false" customHeight="false" outlineLevel="0" collapsed="false">
      <c r="A115" s="41" t="n">
        <v>54.5</v>
      </c>
      <c r="B115" s="42" t="n">
        <f aca="false">180-DEGREES(ASIN((P2_a*SIN(RADIANS($A115))-P2_c)/P2_b))</f>
        <v>158.445928971183</v>
      </c>
      <c r="C115" s="42" t="n">
        <f aca="false">P2_a*COS(RADIANS($A115))-P2_b*COS(RADIANS(B115))</f>
        <v>143.094012423357</v>
      </c>
      <c r="D115" s="43" t="n">
        <f aca="false">90-DEGREES(ASIN(ABS((P2_a*SIN(RADIANS($A115))-P2_c)/P2_b)))</f>
        <v>68.4459289711832</v>
      </c>
      <c r="E115" s="44" t="n">
        <f aca="false">P2_a*P2_w2*COS(RADIANS($A115))/(P2_b*COS(RADIANS(B115)))</f>
        <v>-0.520093933978894</v>
      </c>
      <c r="F115" s="42" t="n">
        <f aca="false">-P2_a*P2_w2*SIN(RADIANS($A115))+P2_b*E115*SIN(RADIANS(B115))</f>
        <v>-114.738134279968</v>
      </c>
      <c r="G115" s="44" t="n">
        <f aca="false">(P2_a*P2_al2*COS(RADIANS($A115))-P2_a*P2_w2^2*SIN(RADIANS($A115))+P2_b*E115^2*SIN(RADIANS(B115)))/(P2_b*COS(RADIANS(B115)))</f>
        <v>2.18382908823902</v>
      </c>
      <c r="H115" s="42" t="n">
        <f aca="false">-P2_a*P2_al2*SIN(RADIANS($A115))-P2_a*P2_w2^2*COS(RADIANS($A115))+P2_b*G115*SIN(RADIANS(B115))+P2_b*E115^2*COS(RADIANS(B115))</f>
        <v>-127.901936416042</v>
      </c>
      <c r="I115" s="45" t="n">
        <v>45</v>
      </c>
    </row>
    <row r="116" customFormat="false" ht="15" hidden="false" customHeight="false" outlineLevel="0" collapsed="false">
      <c r="A116" s="41" t="n">
        <v>55</v>
      </c>
      <c r="B116" s="42" t="n">
        <f aca="false">180-DEGREES(ASIN((P2_a*SIN(RADIANS($A116))-P2_c)/P2_b))</f>
        <v>158.363637477454</v>
      </c>
      <c r="C116" s="42" t="n">
        <f aca="false">P2_a*COS(RADIANS($A116))-P2_b*COS(RADIANS(B116))</f>
        <v>142.774807709423</v>
      </c>
      <c r="D116" s="43" t="n">
        <f aca="false">90-DEGREES(ASIN(ABS((P2_a*SIN(RADIANS($A116))-P2_c)/P2_b)))</f>
        <v>68.3636374774535</v>
      </c>
      <c r="E116" s="44" t="n">
        <f aca="false">P2_a*P2_w2*COS(RADIANS($A116))/(P2_b*COS(RADIANS(B116)))</f>
        <v>-0.514003358463646</v>
      </c>
      <c r="F116" s="42" t="n">
        <f aca="false">-P2_a*P2_w2*SIN(RADIANS($A116))+P2_b*E116*SIN(RADIANS(B116))</f>
        <v>-115.087180292162</v>
      </c>
      <c r="G116" s="44" t="n">
        <f aca="false">(P2_a*P2_al2*COS(RADIANS($A116))-P2_a*P2_w2^2*SIN(RADIANS($A116))+P2_b*E116^2*SIN(RADIANS(B116)))/(P2_b*COS(RADIANS(B116)))</f>
        <v>2.20135997214927</v>
      </c>
      <c r="H116" s="42" t="n">
        <f aca="false">-P2_a*P2_al2*SIN(RADIANS($A116))-P2_a*P2_w2^2*COS(RADIANS($A116))+P2_b*G116*SIN(RADIANS(B116))+P2_b*E116^2*COS(RADIANS(B116))</f>
        <v>-123.410316241247</v>
      </c>
      <c r="I116" s="45" t="n">
        <v>45</v>
      </c>
    </row>
    <row r="117" customFormat="false" ht="15" hidden="false" customHeight="false" outlineLevel="0" collapsed="false">
      <c r="A117" s="41" t="n">
        <v>55.5</v>
      </c>
      <c r="B117" s="42" t="n">
        <f aca="false">180-DEGREES(ASIN((P2_a*SIN(RADIANS($A117))-P2_c)/P2_b))</f>
        <v>158.282319192852</v>
      </c>
      <c r="C117" s="42" t="n">
        <f aca="false">P2_a*COS(RADIANS($A117))-P2_b*COS(RADIANS(B117))</f>
        <v>142.45465075851</v>
      </c>
      <c r="D117" s="43" t="n">
        <f aca="false">90-DEGREES(ASIN(ABS((P2_a*SIN(RADIANS($A117))-P2_c)/P2_b)))</f>
        <v>68.2823191928517</v>
      </c>
      <c r="E117" s="44" t="n">
        <f aca="false">P2_a*P2_w2*COS(RADIANS($A117))/(P2_b*COS(RADIANS(B117)))</f>
        <v>-0.507864298429048</v>
      </c>
      <c r="F117" s="42" t="n">
        <f aca="false">-P2_a*P2_w2*SIN(RADIANS($A117))+P2_b*E117*SIN(RADIANS(B117))</f>
        <v>-115.42374266284</v>
      </c>
      <c r="G117" s="44" t="n">
        <f aca="false">(P2_a*P2_al2*COS(RADIANS($A117))-P2_a*P2_w2^2*SIN(RADIANS($A117))+P2_b*E117^2*SIN(RADIANS(B117)))/(P2_b*COS(RADIANS(B117)))</f>
        <v>2.21873741663367</v>
      </c>
      <c r="H117" s="42" t="n">
        <f aca="false">-P2_a*P2_al2*SIN(RADIANS($A117))-P2_a*P2_w2^2*COS(RADIANS($A117))+P2_b*G117*SIN(RADIANS(B117))+P2_b*E117^2*COS(RADIANS(B117))</f>
        <v>-118.913852180094</v>
      </c>
      <c r="I117" s="45" t="n">
        <v>45</v>
      </c>
    </row>
    <row r="118" customFormat="false" ht="15" hidden="false" customHeight="false" outlineLevel="0" collapsed="false">
      <c r="A118" s="41" t="n">
        <v>56</v>
      </c>
      <c r="B118" s="42" t="n">
        <f aca="false">180-DEGREES(ASIN((P2_a*SIN(RADIANS($A118))-P2_c)/P2_b))</f>
        <v>158.201981799779</v>
      </c>
      <c r="C118" s="42" t="n">
        <f aca="false">P2_a*COS(RADIANS($A118))-P2_b*COS(RADIANS(B118))</f>
        <v>142.133576265024</v>
      </c>
      <c r="D118" s="43" t="n">
        <f aca="false">90-DEGREES(ASIN(ABS((P2_a*SIN(RADIANS($A118))-P2_c)/P2_b)))</f>
        <v>68.2019817997787</v>
      </c>
      <c r="E118" s="44" t="n">
        <f aca="false">P2_a*P2_w2*COS(RADIANS($A118))/(P2_b*COS(RADIANS(B118)))</f>
        <v>-0.501677184480058</v>
      </c>
      <c r="F118" s="42" t="n">
        <f aca="false">-P2_a*P2_w2*SIN(RADIANS($A118))+P2_b*E118*SIN(RADIANS(B118))</f>
        <v>-115.747809084676</v>
      </c>
      <c r="G118" s="44" t="n">
        <f aca="false">(P2_a*P2_al2*COS(RADIANS($A118))-P2_a*P2_w2^2*SIN(RADIANS($A118))+P2_b*E118^2*SIN(RADIANS(B118)))/(P2_b*COS(RADIANS(B118)))</f>
        <v>2.23595826327232</v>
      </c>
      <c r="H118" s="42" t="n">
        <f aca="false">-P2_a*P2_al2*SIN(RADIANS($A118))-P2_a*P2_w2^2*COS(RADIANS($A118))+P2_b*G118*SIN(RADIANS(B118))+P2_b*E118^2*COS(RADIANS(B118))</f>
        <v>-114.413371003823</v>
      </c>
      <c r="I118" s="45" t="n">
        <v>45</v>
      </c>
    </row>
    <row r="119" customFormat="false" ht="15" hidden="false" customHeight="false" outlineLevel="0" collapsed="false">
      <c r="A119" s="41" t="n">
        <v>56.5</v>
      </c>
      <c r="B119" s="42" t="n">
        <f aca="false">180-DEGREES(ASIN((P2_a*SIN(RADIANS($A119))-P2_c)/P2_b))</f>
        <v>158.122632911403</v>
      </c>
      <c r="C119" s="42" t="n">
        <f aca="false">P2_a*COS(RADIANS($A119))-P2_b*COS(RADIANS(B119))</f>
        <v>141.811618954367</v>
      </c>
      <c r="D119" s="43" t="n">
        <f aca="false">90-DEGREES(ASIN(ABS((P2_a*SIN(RADIANS($A119))-P2_c)/P2_b)))</f>
        <v>68.1226329114033</v>
      </c>
      <c r="E119" s="44" t="n">
        <f aca="false">P2_a*P2_w2*COS(RADIANS($A119))/(P2_b*COS(RADIANS(B119)))</f>
        <v>-0.495442456008577</v>
      </c>
      <c r="F119" s="42" t="n">
        <f aca="false">-P2_a*P2_w2*SIN(RADIANS($A119))+P2_b*E119*SIN(RADIANS(B119))</f>
        <v>-116.059369549082</v>
      </c>
      <c r="G119" s="44" t="n">
        <f aca="false">(P2_a*P2_al2*COS(RADIANS($A119))-P2_a*P2_w2^2*SIN(RADIANS($A119))+P2_b*E119^2*SIN(RADIANS(B119)))/(P2_b*COS(RADIANS(B119)))</f>
        <v>2.25301934411467</v>
      </c>
      <c r="H119" s="42" t="n">
        <f aca="false">-P2_a*P2_al2*SIN(RADIANS($A119))-P2_a*P2_w2^2*COS(RADIANS($A119))+P2_b*G119*SIN(RADIANS(B119))+P2_b*E119^2*COS(RADIANS(B119))</f>
        <v>-109.909700986824</v>
      </c>
      <c r="I119" s="45" t="n">
        <v>45</v>
      </c>
    </row>
    <row r="120" customFormat="false" ht="15" hidden="false" customHeight="false" outlineLevel="0" collapsed="false">
      <c r="A120" s="41" t="n">
        <v>57</v>
      </c>
      <c r="B120" s="42" t="n">
        <f aca="false">180-DEGREES(ASIN((P2_a*SIN(RADIANS($A120))-P2_c)/P2_b))</f>
        <v>158.044280070263</v>
      </c>
      <c r="C120" s="42" t="n">
        <f aca="false">P2_a*COS(RADIANS($A120))-P2_b*COS(RADIANS(B120))</f>
        <v>141.488813576548</v>
      </c>
      <c r="D120" s="43" t="n">
        <f aca="false">90-DEGREES(ASIN(ABS((P2_a*SIN(RADIANS($A120))-P2_c)/P2_b)))</f>
        <v>68.0442800702625</v>
      </c>
      <c r="E120" s="44" t="n">
        <f aca="false">P2_a*P2_w2*COS(RADIANS($A120))/(P2_b*COS(RADIANS(B120)))</f>
        <v>-0.48916056121799</v>
      </c>
      <c r="F120" s="42" t="n">
        <f aca="false">-P2_a*P2_w2*SIN(RADIANS($A120))+P2_b*E120*SIN(RADIANS(B120))</f>
        <v>-116.358416349998</v>
      </c>
      <c r="G120" s="44" t="n">
        <f aca="false">(P2_a*P2_al2*COS(RADIANS($A120))-P2_a*P2_w2^2*SIN(RADIANS($A120))+P2_b*E120^2*SIN(RADIANS(B120)))/(P2_b*COS(RADIANS(B120)))</f>
        <v>2.26991748307895</v>
      </c>
      <c r="H120" s="42" t="n">
        <f aca="false">-P2_a*P2_al2*SIN(RADIANS($A120))-P2_a*P2_w2^2*COS(RADIANS($A120))+P2_b*G120*SIN(RADIANS(B120))+P2_b*E120^2*COS(RADIANS(B120))</f>
        <v>-105.403671627739</v>
      </c>
      <c r="I120" s="45" t="n">
        <v>45</v>
      </c>
    </row>
    <row r="121" customFormat="false" ht="15" hidden="false" customHeight="false" outlineLevel="0" collapsed="false">
      <c r="A121" s="41" t="n">
        <v>57.5</v>
      </c>
      <c r="B121" s="42" t="n">
        <f aca="false">180-DEGREES(ASIN((P2_a*SIN(RADIANS($A121))-P2_c)/P2_b))</f>
        <v>157.966930746857</v>
      </c>
      <c r="C121" s="42" t="n">
        <f aca="false">P2_a*COS(RADIANS($A121))-P2_b*COS(RADIANS(B121))</f>
        <v>141.165194899776</v>
      </c>
      <c r="D121" s="43" t="n">
        <f aca="false">90-DEGREES(ASIN(ABS((P2_a*SIN(RADIANS($A121))-P2_c)/P2_b)))</f>
        <v>67.9669307468565</v>
      </c>
      <c r="E121" s="44" t="n">
        <f aca="false">P2_a*P2_w2*COS(RADIANS($A121))/(P2_b*COS(RADIANS(B121)))</f>
        <v>-0.482831957143772</v>
      </c>
      <c r="F121" s="42" t="n">
        <f aca="false">-P2_a*P2_w2*SIN(RADIANS($A121))+P2_b*E121*SIN(RADIANS(B121))</f>
        <v>-116.644944086899</v>
      </c>
      <c r="G121" s="44" t="n">
        <f aca="false">(P2_a*P2_al2*COS(RADIANS($A121))-P2_a*P2_w2^2*SIN(RADIANS($A121))+P2_b*E121^2*SIN(RADIANS(B121)))/(P2_b*COS(RADIANS(B121)))</f>
        <v>2.28664949738449</v>
      </c>
      <c r="H121" s="42" t="n">
        <f aca="false">-P2_a*P2_al2*SIN(RADIANS($A121))-P2_a*P2_w2^2*COS(RADIANS($A121))+P2_b*G121*SIN(RADIANS(B121))+P2_b*E121^2*COS(RADIANS(B121))</f>
        <v>-100.89611336614</v>
      </c>
      <c r="I121" s="45" t="n">
        <v>45</v>
      </c>
    </row>
    <row r="122" customFormat="false" ht="15" hidden="false" customHeight="false" outlineLevel="0" collapsed="false">
      <c r="A122" s="41" t="n">
        <v>58</v>
      </c>
      <c r="B122" s="42" t="n">
        <f aca="false">180-DEGREES(ASIN((P2_a*SIN(RADIANS($A122))-P2_c)/P2_b))</f>
        <v>157.890592338242</v>
      </c>
      <c r="C122" s="42" t="n">
        <f aca="false">P2_a*COS(RADIANS($A122))-P2_b*COS(RADIANS(B122))</f>
        <v>140.840797704059</v>
      </c>
      <c r="D122" s="43" t="n">
        <f aca="false">90-DEGREES(ASIN(ABS((P2_a*SIN(RADIANS($A122))-P2_c)/P2_b)))</f>
        <v>67.8905923382424</v>
      </c>
      <c r="E122" s="44" t="n">
        <f aca="false">P2_a*P2_w2*COS(RADIANS($A122))/(P2_b*COS(RADIANS(B122)))</f>
        <v>-0.476457109670066</v>
      </c>
      <c r="F122" s="42" t="n">
        <f aca="false">-P2_a*P2_w2*SIN(RADIANS($A122))+P2_b*E122*SIN(RADIANS(B122))</f>
        <v>-116.918949667012</v>
      </c>
      <c r="G122" s="44" t="n">
        <f aca="false">(P2_a*P2_al2*COS(RADIANS($A122))-P2_a*P2_w2^2*SIN(RADIANS($A122))+P2_b*E122^2*SIN(RADIANS(B122)))/(P2_b*COS(RADIANS(B122)))</f>
        <v>2.30321219901618</v>
      </c>
      <c r="H122" s="42" t="n">
        <f aca="false">-P2_a*P2_al2*SIN(RADIANS($A122))-P2_a*P2_w2^2*COS(RADIANS($A122))+P2_b*G122*SIN(RADIANS(B122))+P2_b*E122^2*COS(RADIANS(B122))</f>
        <v>-96.3878572948873</v>
      </c>
      <c r="I122" s="45" t="n">
        <v>45</v>
      </c>
    </row>
    <row r="123" customFormat="false" ht="15" hidden="false" customHeight="false" outlineLevel="0" collapsed="false">
      <c r="A123" s="41" t="n">
        <v>58.5</v>
      </c>
      <c r="B123" s="42" t="n">
        <f aca="false">180-DEGREES(ASIN((P2_a*SIN(RADIANS($A123))-P2_c)/P2_b))</f>
        <v>157.815272166624</v>
      </c>
      <c r="C123" s="42" t="n">
        <f aca="false">P2_a*COS(RADIANS($A123))-P2_b*COS(RADIANS(B123))</f>
        <v>140.51565677479</v>
      </c>
      <c r="D123" s="43" t="n">
        <f aca="false">90-DEGREES(ASIN(ABS((P2_a*SIN(RADIANS($A123))-P2_c)/P2_b)))</f>
        <v>67.8152721666242</v>
      </c>
      <c r="E123" s="44" t="n">
        <f aca="false">P2_a*P2_w2*COS(RADIANS($A123))/(P2_b*COS(RADIANS(B123)))</f>
        <v>-0.470036493542158</v>
      </c>
      <c r="F123" s="42" t="n">
        <f aca="false">-P2_a*P2_w2*SIN(RADIANS($A123))+P2_b*E123*SIN(RADIANS(B123))</f>
        <v>-117.180432306725</v>
      </c>
      <c r="G123" s="44" t="n">
        <f aca="false">(P2_a*P2_al2*COS(RADIANS($A123))-P2_a*P2_w2^2*SIN(RADIANS($A123))+P2_b*E123^2*SIN(RADIANS(B123)))/(P2_b*COS(RADIANS(B123)))</f>
        <v>2.31960239622004</v>
      </c>
      <c r="H123" s="42" t="n">
        <f aca="false">-P2_a*P2_al2*SIN(RADIANS($A123))-P2_a*P2_w2^2*COS(RADIANS($A123))+P2_b*G123*SIN(RADIANS(B123))+P2_b*E123^2*COS(RADIANS(B123))</f>
        <v>-91.8797348683387</v>
      </c>
      <c r="I123" s="45" t="n">
        <v>45</v>
      </c>
    </row>
    <row r="124" customFormat="false" ht="15" hidden="false" customHeight="false" outlineLevel="0" collapsed="false">
      <c r="A124" s="41" t="n">
        <v>59</v>
      </c>
      <c r="B124" s="42" t="n">
        <f aca="false">180-DEGREES(ASIN((P2_a*SIN(RADIANS($A124))-P2_c)/P2_b))</f>
        <v>157.740977477942</v>
      </c>
      <c r="C124" s="42" t="n">
        <f aca="false">P2_a*COS(RADIANS($A124))-P2_b*COS(RADIANS(B124))</f>
        <v>140.189806896328</v>
      </c>
      <c r="D124" s="43" t="n">
        <f aca="false">90-DEGREES(ASIN(ABS((P2_a*SIN(RADIANS($A124))-P2_c)/P2_b)))</f>
        <v>67.7409774779424</v>
      </c>
      <c r="E124" s="44" t="n">
        <f aca="false">P2_a*P2_w2*COS(RADIANS($A124))/(P2_b*COS(RADIANS(B124)))</f>
        <v>-0.463570592374745</v>
      </c>
      <c r="F124" s="42" t="n">
        <f aca="false">-P2_a*P2_w2*SIN(RADIANS($A124))+P2_b*E124*SIN(RADIANS(B124))</f>
        <v>-117.429393532181</v>
      </c>
      <c r="G124" s="44" t="n">
        <f aca="false">(P2_a*P2_al2*COS(RADIANS($A124))-P2_a*P2_w2^2*SIN(RADIANS($A124))+P2_b*E124^2*SIN(RADIANS(B124)))/(P2_b*COS(RADIANS(B124)))</f>
        <v>2.33581689502921</v>
      </c>
      <c r="H124" s="42" t="n">
        <f aca="false">-P2_a*P2_al2*SIN(RADIANS($A124))-P2_a*P2_w2^2*COS(RADIANS($A124))+P2_b*G124*SIN(RADIANS(B124))+P2_b*E124^2*COS(RADIANS(B124))</f>
        <v>-87.3725776065375</v>
      </c>
      <c r="I124" s="45" t="n">
        <v>45</v>
      </c>
    </row>
    <row r="125" customFormat="false" ht="15" hidden="false" customHeight="false" outlineLevel="0" collapsed="false">
      <c r="A125" s="41" t="n">
        <v>59.5</v>
      </c>
      <c r="B125" s="42" t="n">
        <f aca="false">180-DEGREES(ASIN((P2_a*SIN(RADIANS($A125))-P2_c)/P2_b))</f>
        <v>157.667715440462</v>
      </c>
      <c r="C125" s="42" t="n">
        <f aca="false">P2_a*COS(RADIANS($A125))-P2_b*COS(RADIANS(B125))</f>
        <v>139.863282845588</v>
      </c>
      <c r="D125" s="43" t="n">
        <f aca="false">90-DEGREES(ASIN(ABS((P2_a*SIN(RADIANS($A125))-P2_c)/P2_b)))</f>
        <v>67.6677154404616</v>
      </c>
      <c r="E125" s="44" t="n">
        <f aca="false">P2_a*P2_w2*COS(RADIANS($A125))/(P2_b*COS(RADIANS(B125)))</f>
        <v>-0.457059898655931</v>
      </c>
      <c r="F125" s="42" t="n">
        <f aca="false">-P2_a*P2_w2*SIN(RADIANS($A125))+P2_b*E125*SIN(RADIANS(B125))</f>
        <v>-117.665837179047</v>
      </c>
      <c r="G125" s="44" t="n">
        <f aca="false">(P2_a*P2_al2*COS(RADIANS($A125))-P2_a*P2_w2^2*SIN(RADIANS($A125))+P2_b*E125^2*SIN(RADIANS(B125)))/(P2_b*COS(RADIANS(B125)))</f>
        <v>2.35185250081924</v>
      </c>
      <c r="H125" s="42" t="n">
        <f aca="false">-P2_a*P2_al2*SIN(RADIANS($A125))-P2_a*P2_w2^2*COS(RADIANS($A125))+P2_b*G125*SIN(RADIANS(B125))+P2_b*E125^2*COS(RADIANS(B125))</f>
        <v>-82.8672167955518</v>
      </c>
      <c r="I125" s="45" t="n">
        <v>45</v>
      </c>
    </row>
    <row r="126" customFormat="false" ht="15" hidden="false" customHeight="false" outlineLevel="0" collapsed="false">
      <c r="A126" s="41" t="n">
        <v>60</v>
      </c>
      <c r="B126" s="42" t="n">
        <f aca="false">180-DEGREES(ASIN((P2_a*SIN(RADIANS($A126))-P2_c)/P2_b))</f>
        <v>157.595493143358</v>
      </c>
      <c r="C126" s="42" t="n">
        <f aca="false">P2_a*COS(RADIANS($A126))-P2_b*COS(RADIANS(B126))</f>
        <v>139.536119385622</v>
      </c>
      <c r="D126" s="43" t="n">
        <f aca="false">90-DEGREES(ASIN(ABS((P2_a*SIN(RADIANS($A126))-P2_c)/P2_b)))</f>
        <v>67.5954931433584</v>
      </c>
      <c r="E126" s="44" t="n">
        <f aca="false">P2_a*P2_w2*COS(RADIANS($A126))/(P2_b*COS(RADIANS(B126)))</f>
        <v>-0.450504913746862</v>
      </c>
      <c r="F126" s="42" t="n">
        <f aca="false">-P2_a*P2_w2*SIN(RADIANS($A126))+P2_b*E126*SIN(RADIANS(B126))</f>
        <v>-117.889769391441</v>
      </c>
      <c r="G126" s="44" t="n">
        <f aca="false">(P2_a*P2_al2*COS(RADIANS($A126))-P2_a*P2_w2^2*SIN(RADIANS($A126))+P2_b*E126^2*SIN(RADIANS(B126)))/(P2_b*COS(RADIANS(B126)))</f>
        <v>2.36770601989165</v>
      </c>
      <c r="H126" s="42" t="n">
        <f aca="false">-P2_a*P2_al2*SIN(RADIANS($A126))-P2_a*P2_w2^2*COS(RADIANS($A126))+P2_b*G126*SIN(RADIANS(B126))+P2_b*E126^2*COS(RADIANS(B126))</f>
        <v>-78.3644831841298</v>
      </c>
      <c r="I126" s="45" t="n">
        <v>45</v>
      </c>
    </row>
    <row r="127" customFormat="false" ht="15" hidden="false" customHeight="false" outlineLevel="0" collapsed="false">
      <c r="A127" s="41" t="n">
        <v>60.5</v>
      </c>
      <c r="B127" s="42" t="n">
        <f aca="false">180-DEGREES(ASIN((P2_a*SIN(RADIANS($A127))-P2_c)/P2_b))</f>
        <v>157.524317595309</v>
      </c>
      <c r="C127" s="42" t="n">
        <f aca="false">P2_a*COS(RADIANS($A127))-P2_b*COS(RADIANS(B127))</f>
        <v>139.208351259211</v>
      </c>
      <c r="D127" s="43" t="n">
        <f aca="false">90-DEGREES(ASIN(ABS((P2_a*SIN(RADIANS($A127))-P2_c)/P2_b)))</f>
        <v>67.5243175953094</v>
      </c>
      <c r="E127" s="44" t="n">
        <f aca="false">P2_a*P2_w2*COS(RADIANS($A127))/(P2_b*COS(RADIANS(B127)))</f>
        <v>-0.44390614787692</v>
      </c>
      <c r="F127" s="42" t="n">
        <f aca="false">-P2_a*P2_w2*SIN(RADIANS($A127))+P2_b*E127*SIN(RADIANS(B127))</f>
        <v>-118.101198620017</v>
      </c>
      <c r="G127" s="44" t="n">
        <f aca="false">(P2_a*P2_al2*COS(RADIANS($A127))-P2_a*P2_w2^2*SIN(RADIANS($A127))+P2_b*E127^2*SIN(RADIANS(B127)))/(P2_b*COS(RADIANS(B127)))</f>
        <v>2.38337426108474</v>
      </c>
      <c r="H127" s="42" t="n">
        <f aca="false">-P2_a*P2_al2*SIN(RADIANS($A127))-P2_a*P2_w2^2*COS(RADIANS($A127))+P2_b*G127*SIN(RADIANS(B127))+P2_b*E127^2*COS(RADIANS(B127))</f>
        <v>-73.8652066768482</v>
      </c>
      <c r="I127" s="45" t="n">
        <v>45</v>
      </c>
    </row>
    <row r="128" customFormat="false" ht="15" hidden="false" customHeight="false" outlineLevel="0" collapsed="false">
      <c r="A128" s="41" t="n">
        <v>61</v>
      </c>
      <c r="B128" s="42" t="n">
        <f aca="false">180-DEGREES(ASIN((P2_a*SIN(RADIANS($A128))-P2_c)/P2_b))</f>
        <v>157.454195723081</v>
      </c>
      <c r="C128" s="42" t="n">
        <f aca="false">P2_a*COS(RADIANS($A128))-P2_b*COS(RADIANS(B128))</f>
        <v>138.880013182461</v>
      </c>
      <c r="D128" s="43" t="n">
        <f aca="false">90-DEGREES(ASIN(ABS((P2_a*SIN(RADIANS($A128))-P2_c)/P2_b)))</f>
        <v>67.4541957230806</v>
      </c>
      <c r="E128" s="44" t="n">
        <f aca="false">P2_a*P2_w2*COS(RADIANS($A128))/(P2_b*COS(RADIANS(B128)))</f>
        <v>-0.437264120134411</v>
      </c>
      <c r="F128" s="42" t="n">
        <f aca="false">-P2_a*P2_w2*SIN(RADIANS($A128))+P2_b*E128*SIN(RADIANS(B128))</f>
        <v>-118.300135619186</v>
      </c>
      <c r="G128" s="44" t="n">
        <f aca="false">(P2_a*P2_al2*COS(RADIANS($A128))-P2_a*P2_w2^2*SIN(RADIANS($A128))+P2_b*E128^2*SIN(RADIANS(B128)))/(P2_b*COS(RADIANS(B128)))</f>
        <v>2.39885403741051</v>
      </c>
      <c r="H128" s="42" t="n">
        <f aca="false">-P2_a*P2_al2*SIN(RADIANS($A128))-P2_a*P2_w2^2*COS(RADIANS($A128))+P2_b*G128*SIN(RADIANS(B128))+P2_b*E128^2*COS(RADIANS(B128))</f>
        <v>-69.3702160239393</v>
      </c>
      <c r="I128" s="45" t="n">
        <v>45</v>
      </c>
    </row>
    <row r="129" customFormat="false" ht="15" hidden="false" customHeight="false" outlineLevel="0" collapsed="false">
      <c r="A129" s="41" t="n">
        <v>61.5</v>
      </c>
      <c r="B129" s="42" t="n">
        <f aca="false">180-DEGREES(ASIN((P2_a*SIN(RADIANS($A129))-P2_c)/P2_b))</f>
        <v>157.385134370119</v>
      </c>
      <c r="C129" s="42" t="n">
        <f aca="false">P2_a*COS(RADIANS($A129))-P2_b*COS(RADIANS(B129))</f>
        <v>138.551139838411</v>
      </c>
      <c r="D129" s="43" t="n">
        <f aca="false">90-DEGREES(ASIN(ABS((P2_a*SIN(RADIANS($A129))-P2_c)/P2_b)))</f>
        <v>67.3851343701186</v>
      </c>
      <c r="E129" s="44" t="n">
        <f aca="false">P2_a*P2_w2*COS(RADIANS($A129))/(P2_b*COS(RADIANS(B129)))</f>
        <v>-0.430579358452668</v>
      </c>
      <c r="F129" s="42" t="n">
        <f aca="false">-P2_a*P2_w2*SIN(RADIANS($A129))+P2_b*E129*SIN(RADIANS(B129))</f>
        <v>-118.48659344348</v>
      </c>
      <c r="G129" s="44" t="n">
        <f aca="false">(P2_a*P2_al2*COS(RADIANS($A129))-P2_a*P2_w2^2*SIN(RADIANS($A129))+P2_b*E129^2*SIN(RADIANS(B129)))/(P2_b*COS(RADIANS(B129)))</f>
        <v>2.41414216771628</v>
      </c>
      <c r="H129" s="42" t="n">
        <f aca="false">-P2_a*P2_al2*SIN(RADIANS($A129))-P2_a*P2_w2^2*COS(RADIANS($A129))+P2_b*G129*SIN(RADIANS(B129))+P2_b*E129^2*COS(RADIANS(B129))</f>
        <v>-64.8803385079916</v>
      </c>
      <c r="I129" s="45" t="n">
        <v>45</v>
      </c>
    </row>
    <row r="130" customFormat="false" ht="15" hidden="false" customHeight="false" outlineLevel="0" collapsed="false">
      <c r="A130" s="41" t="n">
        <v>62</v>
      </c>
      <c r="B130" s="42" t="n">
        <f aca="false">180-DEGREES(ASIN((P2_a*SIN(RADIANS($A130))-P2_c)/P2_b))</f>
        <v>157.317140295144</v>
      </c>
      <c r="C130" s="42" t="n">
        <f aca="false">P2_a*COS(RADIANS($A130))-P2_b*COS(RADIANS(B130))</f>
        <v>138.221765870646</v>
      </c>
      <c r="D130" s="43" t="n">
        <f aca="false">90-DEGREES(ASIN(ABS((P2_a*SIN(RADIANS($A130))-P2_c)/P2_b)))</f>
        <v>67.3171402951439</v>
      </c>
      <c r="E130" s="44" t="n">
        <f aca="false">P2_a*P2_w2*COS(RADIANS($A130))/(P2_b*COS(RADIANS(B130)))</f>
        <v>-0.423852399591505</v>
      </c>
      <c r="F130" s="42" t="n">
        <f aca="false">-P2_a*P2_w2*SIN(RADIANS($A130))+P2_b*E130*SIN(RADIANS(B130))</f>
        <v>-118.660587443032</v>
      </c>
      <c r="G130" s="44" t="n">
        <f aca="false">(P2_a*P2_al2*COS(RADIANS($A130))-P2_a*P2_w2^2*SIN(RADIANS($A130))+P2_b*E130^2*SIN(RADIANS(B130)))/(P2_b*COS(RADIANS(B130)))</f>
        <v>2.42923547837008</v>
      </c>
      <c r="H130" s="42" t="n">
        <f aca="false">-P2_a*P2_al2*SIN(RADIANS($A130))-P2_a*P2_w2^2*COS(RADIANS($A130))+P2_b*G130*SIN(RADIANS(B130))+P2_b*E130^2*COS(RADIANS(B130))</f>
        <v>-60.3963996277233</v>
      </c>
      <c r="I130" s="45" t="n">
        <v>45</v>
      </c>
    </row>
    <row r="131" customFormat="false" ht="15" hidden="false" customHeight="false" outlineLevel="0" collapsed="false">
      <c r="A131" s="41" t="n">
        <v>62.5</v>
      </c>
      <c r="B131" s="42" t="n">
        <f aca="false">180-DEGREES(ASIN((P2_a*SIN(RADIANS($A131))-P2_c)/P2_b))</f>
        <v>157.250220170748</v>
      </c>
      <c r="C131" s="42" t="n">
        <f aca="false">P2_a*COS(RADIANS($A131))-P2_b*COS(RADIANS(B131))</f>
        <v>137.891925876931</v>
      </c>
      <c r="D131" s="43" t="n">
        <f aca="false">90-DEGREES(ASIN(ABS((P2_a*SIN(RADIANS($A131))-P2_c)/P2_b)))</f>
        <v>67.2502201707483</v>
      </c>
      <c r="E131" s="44" t="n">
        <f aca="false">P2_a*P2_w2*COS(RADIANS($A131))/(P2_b*COS(RADIANS(B131)))</f>
        <v>-0.417083789113965</v>
      </c>
      <c r="F131" s="42" t="n">
        <f aca="false">-P2_a*P2_w2*SIN(RADIANS($A131))+P2_b*E131*SIN(RADIANS(B131))</f>
        <v>-118.822135258182</v>
      </c>
      <c r="G131" s="44" t="n">
        <f aca="false">(P2_a*P2_al2*COS(RADIANS($A131))-P2_a*P2_w2^2*SIN(RADIANS($A131))+P2_b*E131^2*SIN(RADIANS(B131)))/(P2_b*COS(RADIANS(B131)))</f>
        <v>2.44413080496816</v>
      </c>
      <c r="H131" s="42" t="n">
        <f aca="false">-P2_a*P2_al2*SIN(RADIANS($A131))-P2_a*P2_w2^2*COS(RADIANS($A131))+P2_b*G131*SIN(RADIANS(B131))+P2_b*E131^2*COS(RADIANS(B131))</f>
        <v>-55.9192227790444</v>
      </c>
      <c r="I131" s="45" t="n">
        <v>45</v>
      </c>
    </row>
    <row r="132" customFormat="false" ht="15" hidden="false" customHeight="false" outlineLevel="0" collapsed="false">
      <c r="A132" s="41" t="n">
        <v>63</v>
      </c>
      <c r="B132" s="42" t="n">
        <f aca="false">180-DEGREES(ASIN((P2_a*SIN(RADIANS($A132))-P2_c)/P2_b))</f>
        <v>157.184380581996</v>
      </c>
      <c r="C132" s="42" t="n">
        <f aca="false">P2_a*COS(RADIANS($A132))-P2_b*COS(RADIANS(B132))</f>
        <v>137.561654402856</v>
      </c>
      <c r="D132" s="43" t="n">
        <f aca="false">90-DEGREES(ASIN(ABS((P2_a*SIN(RADIANS($A132))-P2_c)/P2_b)))</f>
        <v>67.1843805819958</v>
      </c>
      <c r="E132" s="44" t="n">
        <f aca="false">P2_a*P2_w2*COS(RADIANS($A132))/(P2_b*COS(RADIANS(B132)))</f>
        <v>-0.410274081358281</v>
      </c>
      <c r="F132" s="42" t="n">
        <f aca="false">-P2_a*P2_w2*SIN(RADIANS($A132))+P2_b*E132*SIN(RADIANS(B132))</f>
        <v>-118.971256813189</v>
      </c>
      <c r="G132" s="44" t="n">
        <f aca="false">(P2_a*P2_al2*COS(RADIANS($A132))-P2_a*P2_w2^2*SIN(RADIANS($A132))+P2_b*E132^2*SIN(RADIANS(B132)))/(P2_b*COS(RADIANS(B132)))</f>
        <v>2.45882499406344</v>
      </c>
      <c r="H132" s="42" t="n">
        <f aca="false">-P2_a*P2_al2*SIN(RADIANS($A132))-P2_a*P2_w2^2*COS(RADIANS($A132))+P2_b*G132*SIN(RADIANS(B132))+P2_b*E132^2*COS(RADIANS(B132))</f>
        <v>-51.4496289336222</v>
      </c>
      <c r="I132" s="45" t="n">
        <v>45</v>
      </c>
    </row>
    <row r="133" customFormat="false" ht="15" hidden="false" customHeight="false" outlineLevel="0" collapsed="false">
      <c r="A133" s="41" t="n">
        <v>63.5</v>
      </c>
      <c r="B133" s="42" t="n">
        <f aca="false">180-DEGREES(ASIN((P2_a*SIN(RADIANS($A133))-P2_c)/P2_b))</f>
        <v>157.119628025028</v>
      </c>
      <c r="C133" s="42" t="n">
        <f aca="false">P2_a*COS(RADIANS($A133))-P2_b*COS(RADIANS(B133))</f>
        <v>137.230985935502</v>
      </c>
      <c r="D133" s="43" t="n">
        <f aca="false">90-DEGREES(ASIN(ABS((P2_a*SIN(RADIANS($A133))-P2_c)/P2_b)))</f>
        <v>67.1196280250284</v>
      </c>
      <c r="E133" s="44" t="n">
        <f aca="false">P2_a*P2_w2*COS(RADIANS($A133))/(P2_b*COS(RADIANS(B133)))</f>
        <v>-0.403423839405026</v>
      </c>
      <c r="F133" s="42" t="n">
        <f aca="false">-P2_a*P2_w2*SIN(RADIANS($A133))+P2_b*E133*SIN(RADIANS(B133))</f>
        <v>-119.107974309044</v>
      </c>
      <c r="G133" s="44" t="n">
        <f aca="false">(P2_a*P2_al2*COS(RADIANS($A133))-P2_a*P2_w2^2*SIN(RADIANS($A133))+P2_b*E133^2*SIN(RADIANS(B133)))/(P2_b*COS(RADIANS(B133)))</f>
        <v>2.47331490491341</v>
      </c>
      <c r="H133" s="42" t="n">
        <f aca="false">-P2_a*P2_al2*SIN(RADIANS($A133))-P2_a*P2_w2^2*COS(RADIANS($A133))+P2_b*G133*SIN(RADIANS(B133))+P2_b*E133^2*COS(RADIANS(B133))</f>
        <v>-46.9884363151764</v>
      </c>
      <c r="I133" s="45" t="n">
        <v>45</v>
      </c>
    </row>
    <row r="134" customFormat="false" ht="15" hidden="false" customHeight="false" outlineLevel="0" collapsed="false">
      <c r="A134" s="41" t="n">
        <v>64</v>
      </c>
      <c r="B134" s="42" t="n">
        <f aca="false">180-DEGREES(ASIN((P2_a*SIN(RADIANS($A134))-P2_c)/P2_b))</f>
        <v>157.055968905678</v>
      </c>
      <c r="C134" s="42" t="n">
        <f aca="false">P2_a*COS(RADIANS($A134))-P2_b*COS(RADIANS(B134))</f>
        <v>136.899954897125</v>
      </c>
      <c r="D134" s="43" t="n">
        <f aca="false">90-DEGREES(ASIN(ABS((P2_a*SIN(RADIANS($A134))-P2_c)/P2_b)))</f>
        <v>67.0559689056781</v>
      </c>
      <c r="E134" s="44" t="n">
        <f aca="false">P2_a*P2_w2*COS(RADIANS($A134))/(P2_b*COS(RADIANS(B134)))</f>
        <v>-0.396533635039372</v>
      </c>
      <c r="F134" s="42" t="n">
        <f aca="false">-P2_a*P2_w2*SIN(RADIANS($A134))+P2_b*E134*SIN(RADIANS(B134))</f>
        <v>-119.232312215394</v>
      </c>
      <c r="G134" s="44" t="n">
        <f aca="false">(P2_a*P2_al2*COS(RADIANS($A134))-P2_a*P2_w2^2*SIN(RADIANS($A134))+P2_b*E134^2*SIN(RADIANS(B134)))/(P2_b*COS(RADIANS(B134)))</f>
        <v>2.48759741124595</v>
      </c>
      <c r="H134" s="42" t="n">
        <f aca="false">-P2_a*P2_al2*SIN(RADIANS($A134))-P2_a*P2_w2^2*COS(RADIANS($A134))+P2_b*G134*SIN(RADIANS(B134))+P2_b*E134^2*COS(RADIANS(B134))</f>
        <v>-42.5364600737411</v>
      </c>
      <c r="I134" s="45" t="n">
        <v>45</v>
      </c>
    </row>
    <row r="135" customFormat="false" ht="15" hidden="false" customHeight="false" outlineLevel="0" collapsed="false">
      <c r="A135" s="41" t="n">
        <v>64.5</v>
      </c>
      <c r="B135" s="42" t="n">
        <f aca="false">180-DEGREES(ASIN((P2_a*SIN(RADIANS($A135))-P2_c)/P2_b))</f>
        <v>156.993409538084</v>
      </c>
      <c r="C135" s="42" t="n">
        <f aca="false">P2_a*COS(RADIANS($A135))-P2_b*COS(RADIANS(B135))</f>
        <v>136.568595638875</v>
      </c>
      <c r="D135" s="43" t="n">
        <f aca="false">90-DEGREES(ASIN(ABS((P2_a*SIN(RADIANS($A135))-P2_c)/P2_b)))</f>
        <v>66.9934095380843</v>
      </c>
      <c r="E135" s="44" t="n">
        <f aca="false">P2_a*P2_w2*COS(RADIANS($A135))/(P2_b*COS(RADIANS(B135)))</f>
        <v>-0.389604048708418</v>
      </c>
      <c r="F135" s="42" t="n">
        <f aca="false">-P2_a*P2_w2*SIN(RADIANS($A135))+P2_b*E135*SIN(RADIANS(B135))</f>
        <v>-119.344297261538</v>
      </c>
      <c r="G135" s="44" t="n">
        <f aca="false">(P2_a*P2_al2*COS(RADIANS($A135))-P2_a*P2_w2^2*SIN(RADIANS($A135))+P2_b*E135^2*SIN(RADIANS(B135)))/(P2_b*COS(RADIANS(B135)))</f>
        <v>2.50166940304161</v>
      </c>
      <c r="H135" s="42" t="n">
        <f aca="false">-P2_a*P2_al2*SIN(RADIANS($A135))-P2_a*P2_w2^2*COS(RADIANS($A135))+P2_b*G135*SIN(RADIANS(B135))+P2_b*E135^2*COS(RADIANS(B135))</f>
        <v>-38.0945119581331</v>
      </c>
      <c r="I135" s="45" t="n">
        <v>45</v>
      </c>
    </row>
    <row r="136" customFormat="false" ht="15" hidden="false" customHeight="false" outlineLevel="0" collapsed="false">
      <c r="A136" s="41" t="n">
        <v>65</v>
      </c>
      <c r="B136" s="42" t="n">
        <f aca="false">180-DEGREES(ASIN((P2_a*SIN(RADIANS($A136))-P2_c)/P2_b))</f>
        <v>156.93195614332</v>
      </c>
      <c r="C136" s="42" t="n">
        <f aca="false">P2_a*COS(RADIANS($A136))-P2_b*COS(RADIANS(B136))</f>
        <v>136.23694243452</v>
      </c>
      <c r="D136" s="43" t="n">
        <f aca="false">90-DEGREES(ASIN(ABS((P2_a*SIN(RADIANS($A136))-P2_c)/P2_b)))</f>
        <v>66.9319561433196</v>
      </c>
      <c r="E136" s="44" t="n">
        <f aca="false">P2_a*P2_w2*COS(RADIANS($A136))/(P2_b*COS(RADIANS(B136)))</f>
        <v>-0.382635669473556</v>
      </c>
      <c r="F136" s="42" t="n">
        <f aca="false">-P2_a*P2_w2*SIN(RADIANS($A136))+P2_b*E136*SIN(RADIANS(B136))</f>
        <v>-119.443958426531</v>
      </c>
      <c r="G136" s="44" t="n">
        <f aca="false">(P2_a*P2_al2*COS(RADIANS($A136))-P2_a*P2_w2^2*SIN(RADIANS($A136))+P2_b*E136^2*SIN(RADIANS(B136)))/(P2_b*COS(RADIANS(B136)))</f>
        <v>2.51552778833067</v>
      </c>
      <c r="H136" s="42" t="n">
        <f aca="false">-P2_a*P2_al2*SIN(RADIANS($A136))-P2_a*P2_w2^2*COS(RADIANS($A136))+P2_b*G136*SIN(RADIANS(B136))+P2_b*E136^2*COS(RADIANS(B136))</f>
        <v>-33.6633999868774</v>
      </c>
      <c r="I136" s="45" t="n">
        <v>45</v>
      </c>
    </row>
    <row r="137" customFormat="false" ht="15" hidden="false" customHeight="false" outlineLevel="0" collapsed="false">
      <c r="A137" s="41" t="n">
        <v>65.5</v>
      </c>
      <c r="B137" s="42" t="n">
        <f aca="false">180-DEGREES(ASIN((P2_a*SIN(RADIANS($A137))-P2_c)/P2_b))</f>
        <v>156.871614848022</v>
      </c>
      <c r="C137" s="42" t="n">
        <f aca="false">P2_a*COS(RADIANS($A137))-P2_b*COS(RADIANS(B137))</f>
        <v>135.905029474225</v>
      </c>
      <c r="D137" s="43" t="n">
        <f aca="false">90-DEGREES(ASIN(ABS((P2_a*SIN(RADIANS($A137))-P2_c)/P2_b)))</f>
        <v>66.871614848022</v>
      </c>
      <c r="E137" s="44" t="n">
        <f aca="false">P2_a*P2_w2*COS(RADIANS($A137))/(P2_b*COS(RADIANS(B137)))</f>
        <v>-0.375629094957821</v>
      </c>
      <c r="F137" s="42" t="n">
        <f aca="false">-P2_a*P2_w2*SIN(RADIANS($A137))+P2_b*E137*SIN(RADIANS(B137))</f>
        <v>-119.531326928362</v>
      </c>
      <c r="G137" s="44" t="n">
        <f aca="false">(P2_a*P2_al2*COS(RADIANS($A137))-P2_a*P2_w2^2*SIN(RADIANS($A137))+P2_b*E137^2*SIN(RADIANS(B137)))/(P2_b*COS(RADIANS(B137)))</f>
        <v>2.52916949500341</v>
      </c>
      <c r="H137" s="42" t="n">
        <f aca="false">-P2_a*P2_al2*SIN(RADIANS($A137))-P2_a*P2_w2^2*COS(RADIANS($A137))+P2_b*G137*SIN(RADIANS(B137))+P2_b*E137^2*COS(RADIANS(B137))</f>
        <v>-29.2439281178448</v>
      </c>
      <c r="I137" s="45" t="n">
        <v>45</v>
      </c>
    </row>
    <row r="138" customFormat="false" ht="15" hidden="false" customHeight="false" outlineLevel="0" collapsed="false">
      <c r="A138" s="41" t="n">
        <v>66</v>
      </c>
      <c r="B138" s="42" t="n">
        <f aca="false">180-DEGREES(ASIN((P2_a*SIN(RADIANS($A138))-P2_c)/P2_b))</f>
        <v>156.812391683038</v>
      </c>
      <c r="C138" s="42" t="n">
        <f aca="false">P2_a*COS(RADIANS($A138))-P2_b*COS(RADIANS(B138))</f>
        <v>135.572890858337</v>
      </c>
      <c r="D138" s="43" t="n">
        <f aca="false">90-DEGREES(ASIN(ABS((P2_a*SIN(RADIANS($A138))-P2_c)/P2_b)))</f>
        <v>66.8123916830377</v>
      </c>
      <c r="E138" s="44" t="n">
        <f aca="false">P2_a*P2_w2*COS(RADIANS($A138))/(P2_b*COS(RADIANS(B138)))</f>
        <v>-0.368584931288193</v>
      </c>
      <c r="F138" s="42" t="n">
        <f aca="false">-P2_a*P2_w2*SIN(RADIANS($A138))+P2_b*E138*SIN(RADIANS(B138))</f>
        <v>-119.606436212209</v>
      </c>
      <c r="G138" s="44" t="n">
        <f aca="false">(P2_a*P2_al2*COS(RADIANS($A138))-P2_a*P2_w2^2*SIN(RADIANS($A138))+P2_b*E138^2*SIN(RADIANS(B138)))/(P2_b*COS(RADIANS(B138)))</f>
        <v>2.54259147263183</v>
      </c>
      <c r="H138" s="42" t="n">
        <f aca="false">-P2_a*P2_al2*SIN(RADIANS($A138))-P2_a*P2_w2^2*COS(RADIANS($A138))+P2_b*G138*SIN(RADIANS(B138))+P2_b*E138^2*COS(RADIANS(B138))</f>
        <v>-24.836895916865</v>
      </c>
      <c r="I138" s="45" t="n">
        <v>45</v>
      </c>
    </row>
    <row r="139" customFormat="false" ht="15" hidden="false" customHeight="false" outlineLevel="0" collapsed="false">
      <c r="A139" s="41" t="n">
        <v>66.5</v>
      </c>
      <c r="B139" s="42" t="n">
        <f aca="false">180-DEGREES(ASIN((P2_a*SIN(RADIANS($A139))-P2_c)/P2_b))</f>
        <v>156.754292582072</v>
      </c>
      <c r="C139" s="42" t="n">
        <f aca="false">P2_a*COS(RADIANS($A139))-P2_b*COS(RADIANS(B139))</f>
        <v>135.240560591223</v>
      </c>
      <c r="D139" s="43" t="n">
        <f aca="false">90-DEGREES(ASIN(ABS((P2_a*SIN(RADIANS($A139))-P2_c)/P2_b)))</f>
        <v>66.7542925820721</v>
      </c>
      <c r="E139" s="44" t="n">
        <f aca="false">P2_a*P2_w2*COS(RADIANS($A139))/(P2_b*COS(RADIANS(B139)))</f>
        <v>-0.361503793032833</v>
      </c>
      <c r="F139" s="42" t="n">
        <f aca="false">-P2_a*P2_w2*SIN(RADIANS($A139))+P2_b*E139*SIN(RADIANS(B139))</f>
        <v>-119.669321937787</v>
      </c>
      <c r="G139" s="44" t="n">
        <f aca="false">(P2_a*P2_al2*COS(RADIANS($A139))-P2_a*P2_w2^2*SIN(RADIANS($A139))+P2_b*E139^2*SIN(RADIANS(B139)))/(P2_b*COS(RADIANS(B139)))</f>
        <v>2.55579069430119</v>
      </c>
      <c r="H139" s="42" t="n">
        <f aca="false">-P2_a*P2_al2*SIN(RADIANS($A139))-P2_a*P2_w2^2*COS(RADIANS($A139))+P2_b*G139*SIN(RADIANS(B139))+P2_b*E139^2*COS(RADIANS(B139))</f>
        <v>-20.4430982255858</v>
      </c>
      <c r="I139" s="45" t="n">
        <v>45</v>
      </c>
    </row>
    <row r="140" customFormat="false" ht="15" hidden="false" customHeight="false" outlineLevel="0" collapsed="false">
      <c r="A140" s="41" t="n">
        <v>67</v>
      </c>
      <c r="B140" s="42" t="n">
        <f aca="false">180-DEGREES(ASIN((P2_a*SIN(RADIANS($A140))-P2_c)/P2_b))</f>
        <v>156.697323380352</v>
      </c>
      <c r="C140" s="42" t="n">
        <f aca="false">P2_a*COS(RADIANS($A140))-P2_b*COS(RADIANS(B140))</f>
        <v>134.908072575137</v>
      </c>
      <c r="D140" s="43" t="n">
        <f aca="false">90-DEGREES(ASIN(ABS((P2_a*SIN(RADIANS($A140))-P2_c)/P2_b)))</f>
        <v>66.6973233803517</v>
      </c>
      <c r="E140" s="44" t="n">
        <f aca="false">P2_a*P2_w2*COS(RADIANS($A140))/(P2_b*COS(RADIANS(B140)))</f>
        <v>-0.354386303133212</v>
      </c>
      <c r="F140" s="42" t="n">
        <f aca="false">-P2_a*P2_w2*SIN(RADIANS($A140))+P2_b*E140*SIN(RADIANS(B140))</f>
        <v>-119.720021965754</v>
      </c>
      <c r="G140" s="44" t="n">
        <f aca="false">(P2_a*P2_al2*COS(RADIANS($A140))-P2_a*P2_w2^2*SIN(RADIANS($A140))+P2_b*E140^2*SIN(RADIANS(B140)))/(P2_b*COS(RADIANS(B140)))</f>
        <v>2.56876415844945</v>
      </c>
      <c r="H140" s="42" t="n">
        <f aca="false">-P2_a*P2_al2*SIN(RADIANS($A140))-P2_a*P2_w2^2*COS(RADIANS($A140))+P2_b*G140*SIN(RADIANS(B140))+P2_b*E140^2*COS(RADIANS(B140))</f>
        <v>-16.0633248288517</v>
      </c>
      <c r="I140" s="45" t="n">
        <v>45</v>
      </c>
    </row>
    <row r="141" customFormat="false" ht="15" hidden="false" customHeight="false" outlineLevel="0" collapsed="false">
      <c r="A141" s="41" t="n">
        <v>67.5</v>
      </c>
      <c r="B141" s="42" t="n">
        <f aca="false">180-DEGREES(ASIN((P2_a*SIN(RADIANS($A141))-P2_c)/P2_b))</f>
        <v>156.641489813297</v>
      </c>
      <c r="C141" s="42" t="n">
        <f aca="false">P2_a*COS(RADIANS($A141))-P2_b*COS(RADIANS(B141))</f>
        <v>134.57546060412</v>
      </c>
      <c r="D141" s="43" t="n">
        <f aca="false">90-DEGREES(ASIN(ABS((P2_a*SIN(RADIANS($A141))-P2_c)/P2_b)))</f>
        <v>66.6414898132974</v>
      </c>
      <c r="E141" s="44" t="n">
        <f aca="false">P2_a*P2_w2*COS(RADIANS($A141))/(P2_b*COS(RADIANS(B141)))</f>
        <v>-0.347233092831126</v>
      </c>
      <c r="F141" s="42" t="n">
        <f aca="false">-P2_a*P2_w2*SIN(RADIANS($A141))+P2_b*E141*SIN(RADIANS(B141))</f>
        <v>-119.758576343207</v>
      </c>
      <c r="G141" s="44" t="n">
        <f aca="false">(P2_a*P2_al2*COS(RADIANS($A141))-P2_a*P2_w2^2*SIN(RADIANS($A141))+P2_b*E141^2*SIN(RADIANS(B141)))/(P2_b*COS(RADIANS(B141)))</f>
        <v>2.58150889071292</v>
      </c>
      <c r="H141" s="42" t="n">
        <f aca="false">-P2_a*P2_al2*SIN(RADIANS($A141))-P2_a*P2_w2^2*COS(RADIANS($A141))+P2_b*G141*SIN(RADIANS(B141))+P2_b*E141^2*COS(RADIANS(B141))</f>
        <v>-11.6983601218881</v>
      </c>
      <c r="I141" s="45" t="n">
        <v>45</v>
      </c>
    </row>
    <row r="142" customFormat="false" ht="15" hidden="false" customHeight="false" outlineLevel="0" collapsed="false">
      <c r="A142" s="41" t="n">
        <v>68</v>
      </c>
      <c r="B142" s="42" t="n">
        <f aca="false">180-DEGREES(ASIN((P2_a*SIN(RADIANS($A142))-P2_c)/P2_b))</f>
        <v>156.586797515209</v>
      </c>
      <c r="C142" s="42" t="n">
        <f aca="false">P2_a*COS(RADIANS($A142))-P2_b*COS(RADIANS(B142))</f>
        <v>134.242758357956</v>
      </c>
      <c r="D142" s="43" t="n">
        <f aca="false">90-DEGREES(ASIN(ABS((P2_a*SIN(RADIANS($A142))-P2_c)/P2_b)))</f>
        <v>66.5867975152094</v>
      </c>
      <c r="E142" s="44" t="n">
        <f aca="false">P2_a*P2_w2*COS(RADIANS($A142))/(P2_b*COS(RADIANS(B142)))</f>
        <v>-0.340044801590576</v>
      </c>
      <c r="F142" s="42" t="n">
        <f aca="false">-P2_a*P2_w2*SIN(RADIANS($A142))+P2_b*E142*SIN(RADIANS(B142))</f>
        <v>-119.78502728825</v>
      </c>
      <c r="G142" s="44" t="n">
        <f aca="false">(P2_a*P2_al2*COS(RADIANS($A142))-P2_a*P2_w2^2*SIN(RADIANS($A142))+P2_b*E142^2*SIN(RADIANS(B142)))/(P2_b*COS(RADIANS(B142)))</f>
        <v>2.59402194577615</v>
      </c>
      <c r="H142" s="42" t="n">
        <f aca="false">-P2_a*P2_al2*SIN(RADIANS($A142))-P2_a*P2_w2^2*COS(RADIANS($A142))+P2_b*G142*SIN(RADIANS(B142))+P2_b*E142^2*COS(RADIANS(B142))</f>
        <v>-7.34898277757249</v>
      </c>
      <c r="I142" s="45" t="n">
        <v>45</v>
      </c>
    </row>
    <row r="143" customFormat="false" ht="15" hidden="false" customHeight="false" outlineLevel="0" collapsed="false">
      <c r="A143" s="41" t="n">
        <v>68.5</v>
      </c>
      <c r="B143" s="42" t="n">
        <f aca="false">180-DEGREES(ASIN((P2_a*SIN(RADIANS($A143))-P2_c)/P2_b))</f>
        <v>156.533252017965</v>
      </c>
      <c r="C143" s="42" t="n">
        <f aca="false">P2_a*COS(RADIANS($A143))-P2_b*COS(RADIANS(B143))</f>
        <v>133.909999396158</v>
      </c>
      <c r="D143" s="43" t="n">
        <f aca="false">90-DEGREES(ASIN(ABS((P2_a*SIN(RADIANS($A143))-P2_c)/P2_b)))</f>
        <v>66.5332520179651</v>
      </c>
      <c r="E143" s="44" t="n">
        <f aca="false">P2_a*P2_w2*COS(RADIANS($A143))/(P2_b*COS(RADIANS(B143)))</f>
        <v>-0.332822077014505</v>
      </c>
      <c r="F143" s="42" t="n">
        <f aca="false">-P2_a*P2_w2*SIN(RADIANS($A143))+P2_b*E143*SIN(RADIANS(B143))</f>
        <v>-119.799419173632</v>
      </c>
      <c r="G143" s="44" t="n">
        <f aca="false">(P2_a*P2_al2*COS(RADIANS($A143))-P2_a*P2_w2^2*SIN(RADIANS($A143))+P2_b*E143^2*SIN(RADIANS(B143)))/(P2_b*COS(RADIANS(B143)))</f>
        <v>2.60630040922426</v>
      </c>
      <c r="H143" s="42" t="n">
        <f aca="false">-P2_a*P2_al2*SIN(RADIANS($A143))-P2_a*P2_w2^2*COS(RADIANS($A143))+P2_b*G143*SIN(RADIANS(B143))+P2_b*E143^2*COS(RADIANS(B143))</f>
        <v>-3.01596541408903</v>
      </c>
      <c r="I143" s="45" t="n">
        <v>45</v>
      </c>
    </row>
    <row r="144" customFormat="false" ht="15" hidden="false" customHeight="false" outlineLevel="0" collapsed="false">
      <c r="A144" s="41" t="n">
        <v>69</v>
      </c>
      <c r="B144" s="42" t="n">
        <f aca="false">180-DEGREES(ASIN((P2_a*SIN(RADIANS($A144))-P2_c)/P2_b))</f>
        <v>156.480858749731</v>
      </c>
      <c r="C144" s="42" t="n">
        <f aca="false">P2_a*COS(RADIANS($A144))-P2_b*COS(RADIANS(B144))</f>
        <v>133.57721715201</v>
      </c>
      <c r="D144" s="43" t="n">
        <f aca="false">90-DEGREES(ASIN(ABS((P2_a*SIN(RADIANS($A144))-P2_c)/P2_b)))</f>
        <v>66.4808587497312</v>
      </c>
      <c r="E144" s="44" t="n">
        <f aca="false">P2_a*P2_w2*COS(RADIANS($A144))/(P2_b*COS(RADIANS(B144)))</f>
        <v>-0.325565574756395</v>
      </c>
      <c r="F144" s="42" t="n">
        <f aca="false">-P2_a*P2_w2*SIN(RADIANS($A144))+P2_b*E144*SIN(RADIANS(B144))</f>
        <v>-119.801798509473</v>
      </c>
      <c r="G144" s="44" t="n">
        <f aca="false">(P2_a*P2_al2*COS(RADIANS($A144))-P2_a*P2_w2^2*SIN(RADIANS($A144))+P2_b*E144^2*SIN(RADIANS(B144)))/(P2_b*COS(RADIANS(B144)))</f>
        <v>2.61834139939568</v>
      </c>
      <c r="H144" s="42" t="n">
        <f aca="false">-P2_a*P2_al2*SIN(RADIANS($A144))-P2_a*P2_w2^2*COS(RADIANS($A144))+P2_b*G144*SIN(RADIANS(B144))+P2_b*E144^2*COS(RADIANS(B144))</f>
        <v>1.299925736736</v>
      </c>
      <c r="I144" s="45" t="n">
        <v>45</v>
      </c>
    </row>
    <row r="145" customFormat="false" ht="15" hidden="false" customHeight="false" outlineLevel="0" collapsed="false">
      <c r="A145" s="41" t="n">
        <v>69.5</v>
      </c>
      <c r="B145" s="42" t="n">
        <f aca="false">180-DEGREES(ASIN((P2_a*SIN(RADIANS($A145))-P2_c)/P2_b))</f>
        <v>156.429623033689</v>
      </c>
      <c r="C145" s="42" t="n">
        <f aca="false">P2_a*COS(RADIANS($A145))-P2_b*COS(RADIANS(B145))</f>
        <v>133.244444926652</v>
      </c>
      <c r="D145" s="43" t="n">
        <f aca="false">90-DEGREES(ASIN(ABS((P2_a*SIN(RADIANS($A145))-P2_c)/P2_b)))</f>
        <v>66.429623033689</v>
      </c>
      <c r="E145" s="44" t="n">
        <f aca="false">P2_a*P2_w2*COS(RADIANS($A145))/(P2_b*COS(RADIANS(B145)))</f>
        <v>-0.318275958426704</v>
      </c>
      <c r="F145" s="42" t="n">
        <f aca="false">-P2_a*P2_w2*SIN(RADIANS($A145))+P2_b*E145*SIN(RADIANS(B145))</f>
        <v>-119.79221392506</v>
      </c>
      <c r="G145" s="44" t="n">
        <f aca="false">(P2_a*P2_al2*COS(RADIANS($A145))-P2_a*P2_w2^2*SIN(RADIANS($A145))+P2_b*E145^2*SIN(RADIANS(B145)))/(P2_b*COS(RADIANS(B145)))</f>
        <v>2.63014206923346</v>
      </c>
      <c r="H145" s="42" t="n">
        <f aca="false">-P2_a*P2_al2*SIN(RADIANS($A145))-P2_a*P2_w2^2*COS(RADIANS($A145))+P2_b*G145*SIN(RADIANS(B145))+P2_b*E145^2*COS(RADIANS(B145))</f>
        <v>5.59793116011961</v>
      </c>
      <c r="I145" s="45" t="n">
        <v>45</v>
      </c>
    </row>
    <row r="146" customFormat="false" ht="15" hidden="false" customHeight="false" outlineLevel="0" collapsed="false">
      <c r="A146" s="41" t="n">
        <v>70</v>
      </c>
      <c r="B146" s="42" t="n">
        <f aca="false">180-DEGREES(ASIN((P2_a*SIN(RADIANS($A146))-P2_c)/P2_b))</f>
        <v>156.379550086777</v>
      </c>
      <c r="C146" s="42" t="n">
        <f aca="false">P2_a*COS(RADIANS($A146))-P2_b*COS(RADIANS(B146))</f>
        <v>132.911715883223</v>
      </c>
      <c r="D146" s="43" t="n">
        <f aca="false">90-DEGREES(ASIN(ABS((P2_a*SIN(RADIANS($A146))-P2_c)/P2_b)))</f>
        <v>66.3795500867766</v>
      </c>
      <c r="E146" s="44" t="n">
        <f aca="false">P2_a*P2_w2*COS(RADIANS($A146))/(P2_b*COS(RADIANS(B146)))</f>
        <v>-0.310953899494185</v>
      </c>
      <c r="F146" s="42" t="n">
        <f aca="false">-P2_a*P2_w2*SIN(RADIANS($A146))+P2_b*E146*SIN(RADIANS(B146))</f>
        <v>-119.770716149733</v>
      </c>
      <c r="G146" s="44" t="n">
        <f aca="false">(P2_a*P2_al2*COS(RADIANS($A146))-P2_a*P2_w2^2*SIN(RADIANS($A146))+P2_b*E146^2*SIN(RADIANS(B146)))/(P2_b*COS(RADIANS(B146)))</f>
        <v>2.64169960813299</v>
      </c>
      <c r="H146" s="42" t="n">
        <f aca="false">-P2_a*P2_al2*SIN(RADIANS($A146))-P2_a*P2_w2^2*COS(RADIANS($A146))+P2_b*G146*SIN(RADIANS(B146))+P2_b*E146^2*COS(RADIANS(B146))</f>
        <v>9.87729838772091</v>
      </c>
      <c r="I146" s="45" t="n">
        <v>45</v>
      </c>
    </row>
    <row r="147" customFormat="false" ht="15" hidden="false" customHeight="false" outlineLevel="0" collapsed="false">
      <c r="A147" s="41" t="n">
        <v>70.5</v>
      </c>
      <c r="B147" s="42" t="n">
        <f aca="false">180-DEGREES(ASIN((P2_a*SIN(RADIANS($A147))-P2_c)/P2_b))</f>
        <v>156.330645018446</v>
      </c>
      <c r="C147" s="42" t="n">
        <f aca="false">P2_a*COS(RADIANS($A147))-P2_b*COS(RADIANS(B147))</f>
        <v>132.579063041052</v>
      </c>
      <c r="D147" s="43" t="n">
        <f aca="false">90-DEGREES(ASIN(ABS((P2_a*SIN(RADIANS($A147))-P2_c)/P2_b)))</f>
        <v>66.3306450184458</v>
      </c>
      <c r="E147" s="44" t="n">
        <f aca="false">P2_a*P2_w2*COS(RADIANS($A147))/(P2_b*COS(RADIANS(B147)))</f>
        <v>-0.303600077182063</v>
      </c>
      <c r="F147" s="42" t="n">
        <f aca="false">-P2_a*P2_w2*SIN(RADIANS($A147))+P2_b*E147*SIN(RADIANS(B147))</f>
        <v>-119.737357992856</v>
      </c>
      <c r="G147" s="44" t="n">
        <f aca="false">(P2_a*P2_al2*COS(RADIANS($A147))-P2_a*P2_w2^2*SIN(RADIANS($A147))+P2_b*E147^2*SIN(RADIANS(B147)))/(P2_b*COS(RADIANS(B147)))</f>
        <v>2.65301124378427</v>
      </c>
      <c r="H147" s="42" t="n">
        <f aca="false">-P2_a*P2_al2*SIN(RADIANS($A147))-P2_a*P2_w2^2*COS(RADIANS($A147))+P2_b*G147*SIN(RADIANS(B147))+P2_b*E147^2*COS(RADIANS(B147))</f>
        <v>14.1372823254426</v>
      </c>
      <c r="I147" s="45" t="n">
        <v>45</v>
      </c>
    </row>
    <row r="148" customFormat="false" ht="15" hidden="false" customHeight="false" outlineLevel="0" collapsed="false">
      <c r="A148" s="41" t="n">
        <v>71</v>
      </c>
      <c r="B148" s="42" t="n">
        <f aca="false">180-DEGREES(ASIN((P2_a*SIN(RADIANS($A148))-P2_c)/P2_b))</f>
        <v>156.282912829437</v>
      </c>
      <c r="C148" s="42" t="n">
        <f aca="false">P2_a*COS(RADIANS($A148))-P2_b*COS(RADIANS(B148))</f>
        <v>132.246519269912</v>
      </c>
      <c r="D148" s="43" t="n">
        <f aca="false">90-DEGREES(ASIN(ABS((P2_a*SIN(RADIANS($A148))-P2_c)/P2_b)))</f>
        <v>66.2829128294368</v>
      </c>
      <c r="E148" s="44" t="n">
        <f aca="false">P2_a*P2_w2*COS(RADIANS($A148))/(P2_b*COS(RADIANS(B148)))</f>
        <v>-0.296215178359113</v>
      </c>
      <c r="F148" s="42" t="n">
        <f aca="false">-P2_a*P2_w2*SIN(RADIANS($A148))+P2_b*E148*SIN(RADIANS(B148))</f>
        <v>-119.69219432288</v>
      </c>
      <c r="G148" s="44" t="n">
        <f aca="false">(P2_a*P2_al2*COS(RADIANS($A148))-P2_a*P2_w2^2*SIN(RADIANS($A148))+P2_b*E148^2*SIN(RADIANS(B148)))/(P2_b*COS(RADIANS(B148)))</f>
        <v>2.66407424400659</v>
      </c>
      <c r="H148" s="42" t="n">
        <f aca="false">-P2_a*P2_al2*SIN(RADIANS($A148))-P2_a*P2_w2^2*COS(RADIANS($A148))+P2_b*G148*SIN(RADIANS(B148))+P2_b*E148^2*COS(RADIANS(B148))</f>
        <v>18.3771455793262</v>
      </c>
      <c r="I148" s="45" t="n">
        <v>45</v>
      </c>
    </row>
    <row r="149" customFormat="false" ht="15" hidden="false" customHeight="false" outlineLevel="0" collapsed="false">
      <c r="A149" s="41" t="n">
        <v>71.5</v>
      </c>
      <c r="B149" s="42" t="n">
        <f aca="false">180-DEGREES(ASIN((P2_a*SIN(RADIANS($A149))-P2_c)/P2_b))</f>
        <v>156.236358410571</v>
      </c>
      <c r="C149" s="42" t="n">
        <f aca="false">P2_a*COS(RADIANS($A149))-P2_b*COS(RADIANS(B149))</f>
        <v>131.914117284327</v>
      </c>
      <c r="D149" s="43" t="n">
        <f aca="false">90-DEGREES(ASIN(ABS((P2_a*SIN(RADIANS($A149))-P2_c)/P2_b)))</f>
        <v>66.2363584105705</v>
      </c>
      <c r="E149" s="44" t="n">
        <f aca="false">P2_a*P2_w2*COS(RADIANS($A149))/(P2_b*COS(RADIANS(B149)))</f>
        <v>-0.288799897425651</v>
      </c>
      <c r="F149" s="42" t="n">
        <f aca="false">-P2_a*P2_w2*SIN(RADIANS($A149))+P2_b*E149*SIN(RADIANS(B149))</f>
        <v>-119.635282045501</v>
      </c>
      <c r="G149" s="44" t="n">
        <f aca="false">(P2_a*P2_al2*COS(RADIANS($A149))-P2_a*P2_w2^2*SIN(RADIANS($A149))+P2_b*E149^2*SIN(RADIANS(B149)))/(P2_b*COS(RADIANS(B149)))</f>
        <v>2.67488591857361</v>
      </c>
      <c r="H149" s="42" t="n">
        <f aca="false">-P2_a*P2_al2*SIN(RADIANS($A149))-P2_a*P2_w2^2*COS(RADIANS($A149))+P2_b*G149*SIN(RADIANS(B149))+P2_b*E149^2*COS(RADIANS(B149))</f>
        <v>22.5961587792264</v>
      </c>
      <c r="I149" s="45" t="n">
        <v>45</v>
      </c>
    </row>
    <row r="150" customFormat="false" ht="15" hidden="false" customHeight="false" outlineLevel="0" collapsed="false">
      <c r="A150" s="41" t="n">
        <v>72</v>
      </c>
      <c r="B150" s="42" t="n">
        <f aca="false">180-DEGREES(ASIN((P2_a*SIN(RADIANS($A150))-P2_c)/P2_b))</f>
        <v>156.190986541559</v>
      </c>
      <c r="C150" s="42" t="n">
        <f aca="false">P2_a*COS(RADIANS($A150))-P2_b*COS(RADIANS(B150))</f>
        <v>131.581889637949</v>
      </c>
      <c r="D150" s="43" t="n">
        <f aca="false">90-DEGREES(ASIN(ABS((P2_a*SIN(RADIANS($A150))-P2_c)/P2_b)))</f>
        <v>66.1909865415589</v>
      </c>
      <c r="E150" s="44" t="n">
        <f aca="false">P2_a*P2_w2*COS(RADIANS($A150))/(P2_b*COS(RADIANS(B150)))</f>
        <v>-0.281354936194475</v>
      </c>
      <c r="F150" s="42" t="n">
        <f aca="false">-P2_a*P2_w2*SIN(RADIANS($A150))+P2_b*E150*SIN(RADIANS(B150))</f>
        <v>-119.566680080929</v>
      </c>
      <c r="G150" s="44" t="n">
        <f aca="false">(P2_a*P2_al2*COS(RADIANS($A150))-P2_a*P2_w2^2*SIN(RADIANS($A150))+P2_b*E150^2*SIN(RADIANS(B150)))/(P2_b*COS(RADIANS(B150)))</f>
        <v>2.68544362102672</v>
      </c>
      <c r="H150" s="42" t="n">
        <f aca="false">-P2_a*P2_al2*SIN(RADIANS($A150))-P2_a*P2_w2^2*COS(RADIANS($A150))+P2_b*G150*SIN(RADIANS(B150))+P2_b*E150^2*COS(RADIANS(B150))</f>
        <v>26.7936008999419</v>
      </c>
      <c r="I150" s="45" t="n">
        <v>45</v>
      </c>
    </row>
    <row r="151" customFormat="false" ht="15" hidden="false" customHeight="false" outlineLevel="0" collapsed="false">
      <c r="A151" s="41" t="n">
        <v>72.5</v>
      </c>
      <c r="B151" s="42" t="n">
        <f aca="false">180-DEGREES(ASIN((P2_a*SIN(RADIANS($A151))-P2_c)/P2_b))</f>
        <v>156.146801889836</v>
      </c>
      <c r="C151" s="42" t="n">
        <f aca="false">P2_a*COS(RADIANS($A151))-P2_b*COS(RADIANS(B151))</f>
        <v>131.24986871799</v>
      </c>
      <c r="D151" s="43" t="n">
        <f aca="false">90-DEGREES(ASIN(ABS((P2_a*SIN(RADIANS($A151))-P2_c)/P2_b)))</f>
        <v>66.1468018898356</v>
      </c>
      <c r="E151" s="44" t="n">
        <f aca="false">P2_a*P2_w2*COS(RADIANS($A151))/(P2_b*COS(RADIANS(B151)))</f>
        <v>-0.273881003766784</v>
      </c>
      <c r="F151" s="42" t="n">
        <f aca="false">-P2_a*P2_w2*SIN(RADIANS($A151))+P2_b*E151*SIN(RADIANS(B151))</f>
        <v>-119.486449340261</v>
      </c>
      <c r="G151" s="44" t="n">
        <f aca="false">(P2_a*P2_al2*COS(RADIANS($A151))-P2_a*P2_w2^2*SIN(RADIANS($A151))+P2_b*E151^2*SIN(RADIANS(B151)))/(P2_b*COS(RADIANS(B151)))</f>
        <v>2.69574475047462</v>
      </c>
      <c r="H151" s="42" t="n">
        <f aca="false">-P2_a*P2_al2*SIN(RADIANS($A151))-P2_a*P2_w2^2*COS(RADIANS($A151))+P2_b*G151*SIN(RADIANS(B151))+P2_b*E151^2*COS(RADIANS(B151))</f>
        <v>30.9687595794929</v>
      </c>
      <c r="I151" s="45" t="n">
        <v>45</v>
      </c>
    </row>
    <row r="152" customFormat="false" ht="15" hidden="false" customHeight="false" outlineLevel="0" collapsed="false">
      <c r="A152" s="41" t="n">
        <v>73</v>
      </c>
      <c r="B152" s="42" t="n">
        <f aca="false">180-DEGREES(ASIN((P2_a*SIN(RADIANS($A152))-P2_c)/P2_b))</f>
        <v>156.103809009405</v>
      </c>
      <c r="C152" s="42" t="n">
        <f aca="false">P2_a*COS(RADIANS($A152))-P2_b*COS(RADIANS(B152))</f>
        <v>130.918086739729</v>
      </c>
      <c r="D152" s="43" t="n">
        <f aca="false">90-DEGREES(ASIN(ABS((P2_a*SIN(RADIANS($A152))-P2_c)/P2_b)))</f>
        <v>66.1038090094054</v>
      </c>
      <c r="E152" s="44" t="n">
        <f aca="false">P2_a*P2_w2*COS(RADIANS($A152))/(P2_b*COS(RADIANS(B152)))</f>
        <v>-0.266378816403119</v>
      </c>
      <c r="F152" s="42" t="n">
        <f aca="false">-P2_a*P2_w2*SIN(RADIANS($A152))+P2_b*E152*SIN(RADIANS(B152))</f>
        <v>-119.394652700982</v>
      </c>
      <c r="G152" s="44" t="n">
        <f aca="false">(P2_a*P2_al2*COS(RADIANS($A152))-P2_a*P2_w2^2*SIN(RADIANS($A152))+P2_b*E152^2*SIN(RADIANS(B152)))/(P2_b*COS(RADIANS(B152)))</f>
        <v>2.70578675337699</v>
      </c>
      <c r="H152" s="42" t="n">
        <f aca="false">-P2_a*P2_al2*SIN(RADIANS($A152))-P2_a*P2_w2^2*COS(RADIANS($A152))+P2_b*G152*SIN(RADIANS(B152))+P2_b*E152^2*COS(RADIANS(B152))</f>
        <v>35.1209314342194</v>
      </c>
      <c r="I152" s="45" t="n">
        <v>45</v>
      </c>
    </row>
    <row r="153" customFormat="false" ht="15" hidden="false" customHeight="false" outlineLevel="0" collapsed="false">
      <c r="A153" s="41" t="n">
        <v>73.5</v>
      </c>
      <c r="B153" s="42" t="n">
        <f aca="false">180-DEGREES(ASIN((P2_a*SIN(RADIANS($A153))-P2_c)/P2_b))</f>
        <v>156.062012339716</v>
      </c>
      <c r="C153" s="42" t="n">
        <f aca="false">P2_a*COS(RADIANS($A153))-P2_b*COS(RADIANS(B153))</f>
        <v>130.586575741081</v>
      </c>
      <c r="D153" s="43" t="n">
        <f aca="false">90-DEGREES(ASIN(ABS((P2_a*SIN(RADIANS($A153))-P2_c)/P2_b)))</f>
        <v>66.0620123397161</v>
      </c>
      <c r="E153" s="44" t="n">
        <f aca="false">P2_a*P2_w2*COS(RADIANS($A153))/(P2_b*COS(RADIANS(B153)))</f>
        <v>-0.258849097389379</v>
      </c>
      <c r="F153" s="42" t="n">
        <f aca="false">-P2_a*P2_w2*SIN(RADIANS($A153))+P2_b*E153*SIN(RADIANS(B153))</f>
        <v>-119.291354981588</v>
      </c>
      <c r="G153" s="44" t="n">
        <f aca="false">(P2_a*P2_al2*COS(RADIANS($A153))-P2_a*P2_w2^2*SIN(RADIANS($A153))+P2_b*E153^2*SIN(RADIANS(B153)))/(P2_b*COS(RADIANS(B153)))</f>
        <v>2.71556712531019</v>
      </c>
      <c r="H153" s="42" t="n">
        <f aca="false">-P2_a*P2_al2*SIN(RADIANS($A153))-P2_a*P2_w2^2*COS(RADIANS($A153))+P2_b*G153*SIN(RADIANS(B153))+P2_b*E153^2*COS(RADIANS(B153))</f>
        <v>39.2494223703828</v>
      </c>
      <c r="I153" s="45" t="n">
        <v>45</v>
      </c>
    </row>
    <row r="154" customFormat="false" ht="15" hidden="false" customHeight="false" outlineLevel="0" collapsed="false">
      <c r="A154" s="41" t="n">
        <v>74</v>
      </c>
      <c r="B154" s="42" t="n">
        <f aca="false">180-DEGREES(ASIN((P2_a*SIN(RADIANS($A154))-P2_c)/P2_b))</f>
        <v>156.021416204551</v>
      </c>
      <c r="C154" s="42" t="n">
        <f aca="false">P2_a*COS(RADIANS($A154))-P2_b*COS(RADIANS(B154))</f>
        <v>130.255367577247</v>
      </c>
      <c r="D154" s="43" t="n">
        <f aca="false">90-DEGREES(ASIN(ABS((P2_a*SIN(RADIANS($A154))-P2_c)/P2_b)))</f>
        <v>66.021416204551</v>
      </c>
      <c r="E154" s="44" t="n">
        <f aca="false">P2_a*P2_w2*COS(RADIANS($A154))/(P2_b*COS(RADIANS(B154)))</f>
        <v>-0.251292576897954</v>
      </c>
      <c r="F154" s="42" t="n">
        <f aca="false">-P2_a*P2_w2*SIN(RADIANS($A154))+P2_b*E154*SIN(RADIANS(B154))</f>
        <v>-119.176622915355</v>
      </c>
      <c r="G154" s="44" t="n">
        <f aca="false">(P2_a*P2_al2*COS(RADIANS($A154))-P2_a*P2_w2^2*SIN(RADIANS($A154))+P2_b*E154^2*SIN(RADIANS(B154)))/(P2_b*COS(RADIANS(B154)))</f>
        <v>2.72508341271284</v>
      </c>
      <c r="H154" s="42" t="n">
        <f aca="false">-P2_a*P2_al2*SIN(RADIANS($A154))-P2_a*P2_w2^2*COS(RADIANS($A154))+P2_b*G154*SIN(RADIANS(B154))+P2_b*E154^2*COS(RADIANS(B154))</f>
        <v>43.3535478919507</v>
      </c>
      <c r="I154" s="45" t="n">
        <v>45</v>
      </c>
    </row>
    <row r="155" customFormat="false" ht="15" hidden="false" customHeight="false" outlineLevel="0" collapsed="false">
      <c r="A155" s="41" t="n">
        <v>74.5</v>
      </c>
      <c r="B155" s="42" t="n">
        <f aca="false">180-DEGREES(ASIN((P2_a*SIN(RADIANS($A155))-P2_c)/P2_b))</f>
        <v>155.982024810945</v>
      </c>
      <c r="C155" s="42" t="n">
        <f aca="false">P2_a*COS(RADIANS($A155))-P2_b*COS(RADIANS(B155))</f>
        <v>129.924493915429</v>
      </c>
      <c r="D155" s="43" t="n">
        <f aca="false">90-DEGREES(ASIN(ABS((P2_a*SIN(RADIANS($A155))-P2_c)/P2_b)))</f>
        <v>65.9820248109445</v>
      </c>
      <c r="E155" s="44" t="n">
        <f aca="false">P2_a*P2_w2*COS(RADIANS($A155))/(P2_b*COS(RADIANS(B155)))</f>
        <v>-0.243709991844045</v>
      </c>
      <c r="F155" s="42" t="n">
        <f aca="false">-P2_a*P2_w2*SIN(RADIANS($A155))+P2_b*E155*SIN(RADIANS(B155))</f>
        <v>-119.050525123252</v>
      </c>
      <c r="G155" s="44" t="n">
        <f aca="false">(P2_a*P2_al2*COS(RADIANS($A155))-P2_a*P2_w2^2*SIN(RADIANS($A155))+P2_b*E155^2*SIN(RADIANS(B155)))/(P2_b*COS(RADIANS(B155)))</f>
        <v>2.73433321460914</v>
      </c>
      <c r="H155" s="42" t="n">
        <f aca="false">-P2_a*P2_al2*SIN(RADIANS($A155))-P2_a*P2_w2^2*COS(RADIANS($A155))+P2_b*G155*SIN(RADIANS(B155))+P2_b*E155^2*COS(RADIANS(B155))</f>
        <v>47.4326334042412</v>
      </c>
      <c r="I155" s="45" t="n">
        <v>45</v>
      </c>
    </row>
    <row r="156" customFormat="false" ht="15" hidden="false" customHeight="false" outlineLevel="0" collapsed="false">
      <c r="A156" s="41" t="n">
        <v>75</v>
      </c>
      <c r="B156" s="42" t="n">
        <f aca="false">180-DEGREES(ASIN((P2_a*SIN(RADIANS($A156))-P2_c)/P2_b))</f>
        <v>155.94384224812</v>
      </c>
      <c r="C156" s="42" t="n">
        <f aca="false">P2_a*COS(RADIANS($A156))-P2_b*COS(RADIANS(B156))</f>
        <v>129.593986229624</v>
      </c>
      <c r="D156" s="43" t="n">
        <f aca="false">90-DEGREES(ASIN(ABS((P2_a*SIN(RADIANS($A156))-P2_c)/P2_b)))</f>
        <v>65.9438422481203</v>
      </c>
      <c r="E156" s="44" t="n">
        <f aca="false">P2_a*P2_w2*COS(RADIANS($A156))/(P2_b*COS(RADIANS(B156)))</f>
        <v>-0.236102085737221</v>
      </c>
      <c r="F156" s="42" t="n">
        <f aca="false">-P2_a*P2_w2*SIN(RADIANS($A156))+P2_b*E156*SIN(RADIANS(B156))</f>
        <v>-118.913132086028</v>
      </c>
      <c r="G156" s="44" t="n">
        <f aca="false">(P2_a*P2_al2*COS(RADIANS($A156))-P2_a*P2_w2^2*SIN(RADIANS($A156))+P2_b*E156^2*SIN(RADIANS(B156)))/(P2_b*COS(RADIANS(B156)))</f>
        <v>2.74331418430793</v>
      </c>
      <c r="H156" s="42" t="n">
        <f aca="false">-P2_a*P2_al2*SIN(RADIANS($A156))-P2_a*P2_w2^2*COS(RADIANS($A156))+P2_b*G156*SIN(RADIANS(B156))+P2_b*E156^2*COS(RADIANS(B156))</f>
        <v>51.4860145131175</v>
      </c>
      <c r="I156" s="45" t="n">
        <v>45</v>
      </c>
    </row>
    <row r="157" customFormat="false" ht="15" hidden="false" customHeight="false" outlineLevel="0" collapsed="false">
      <c r="A157" s="41" t="n">
        <v>75.5</v>
      </c>
      <c r="B157" s="42" t="n">
        <f aca="false">180-DEGREES(ASIN((P2_a*SIN(RADIANS($A157))-P2_c)/P2_b))</f>
        <v>155.906872486454</v>
      </c>
      <c r="C157" s="42" t="n">
        <f aca="false">P2_a*COS(RADIANS($A157))-P2_b*COS(RADIANS(B157))</f>
        <v>129.2638757955</v>
      </c>
      <c r="D157" s="43" t="n">
        <f aca="false">90-DEGREES(ASIN(ABS((P2_a*SIN(RADIANS($A157))-P2_c)/P2_b)))</f>
        <v>65.9068724864543</v>
      </c>
      <c r="E157" s="44" t="n">
        <f aca="false">P2_a*P2_w2*COS(RADIANS($A157))/(P2_b*COS(RADIANS(B157)))</f>
        <v>-0.228469608528308</v>
      </c>
      <c r="F157" s="42" t="n">
        <f aca="false">-P2_a*P2_w2*SIN(RADIANS($A157))+P2_b*E157*SIN(RADIANS(B157))</f>
        <v>-118.764516115459</v>
      </c>
      <c r="G157" s="44" t="n">
        <f aca="false">(P2_a*P2_al2*COS(RADIANS($A157))-P2_a*P2_w2^2*SIN(RADIANS($A157))+P2_b*E157^2*SIN(RADIANS(B157)))/(P2_b*COS(RADIANS(B157)))</f>
        <v>2.75202403107529</v>
      </c>
      <c r="H157" s="42" t="n">
        <f aca="false">-P2_a*P2_al2*SIN(RADIANS($A157))-P2_a*P2_w2^2*COS(RADIANS($A157))+P2_b*G157*SIN(RADIANS(B157))+P2_b*E157^2*COS(RADIANS(B157))</f>
        <v>55.5130373194028</v>
      </c>
      <c r="I157" s="45" t="n">
        <v>45</v>
      </c>
    </row>
    <row r="158" customFormat="false" ht="15" hidden="false" customHeight="false" outlineLevel="0" collapsed="false">
      <c r="A158" s="41" t="n">
        <v>76</v>
      </c>
      <c r="B158" s="42" t="n">
        <f aca="false">180-DEGREES(ASIN((P2_a*SIN(RADIANS($A158))-P2_c)/P2_b))</f>
        <v>155.871119376462</v>
      </c>
      <c r="C158" s="42" t="n">
        <f aca="false">P2_a*COS(RADIANS($A158))-P2_b*COS(RADIANS(B158))</f>
        <v>128.934193685352</v>
      </c>
      <c r="D158" s="43" t="n">
        <f aca="false">90-DEGREES(ASIN(ABS((P2_a*SIN(RADIANS($A158))-P2_c)/P2_b)))</f>
        <v>65.871119376462</v>
      </c>
      <c r="E158" s="44" t="n">
        <f aca="false">P2_a*P2_w2*COS(RADIANS($A158))/(P2_b*COS(RADIANS(B158)))</f>
        <v>-0.220813316451653</v>
      </c>
      <c r="F158" s="42" t="n">
        <f aca="false">-P2_a*P2_w2*SIN(RADIANS($A158))+P2_b*E158*SIN(RADIANS(B158))</f>
        <v>-118.604751324797</v>
      </c>
      <c r="G158" s="44" t="n">
        <f aca="false">(P2_a*P2_al2*COS(RADIANS($A158))-P2_a*P2_w2^2*SIN(RADIANS($A158))+P2_b*E158^2*SIN(RADIANS(B158)))/(P2_b*COS(RADIANS(B158)))</f>
        <v>2.76046052177863</v>
      </c>
      <c r="H158" s="42" t="n">
        <f aca="false">-P2_a*P2_al2*SIN(RADIANS($A158))-P2_a*P2_w2^2*COS(RADIANS($A158))+P2_b*G158*SIN(RADIANS(B158))+P2_b*E158^2*COS(RADIANS(B158))</f>
        <v>59.5130587082119</v>
      </c>
      <c r="I158" s="45" t="n">
        <v>45</v>
      </c>
    </row>
    <row r="159" customFormat="false" ht="15" hidden="false" customHeight="false" outlineLevel="0" collapsed="false">
      <c r="A159" s="41" t="n">
        <v>76.5</v>
      </c>
      <c r="B159" s="42" t="n">
        <f aca="false">180-DEGREES(ASIN((P2_a*SIN(RADIANS($A159))-P2_c)/P2_b))</f>
        <v>155.836586647811</v>
      </c>
      <c r="C159" s="42" t="n">
        <f aca="false">P2_a*COS(RADIANS($A159))-P2_b*COS(RADIANS(B159))</f>
        <v>128.604970763135</v>
      </c>
      <c r="D159" s="43" t="n">
        <f aca="false">90-DEGREES(ASIN(ABS((P2_a*SIN(RADIANS($A159))-P2_c)/P2_b)))</f>
        <v>65.836586647811</v>
      </c>
      <c r="E159" s="44" t="n">
        <f aca="false">P2_a*P2_w2*COS(RADIANS($A159))/(P2_b*COS(RADIANS(B159)))</f>
        <v>-0.213133971862879</v>
      </c>
      <c r="F159" s="42" t="n">
        <f aca="false">-P2_a*P2_w2*SIN(RADIANS($A159))+P2_b*E159*SIN(RADIANS(B159))</f>
        <v>-118.433913598416</v>
      </c>
      <c r="G159" s="44" t="n">
        <f aca="false">(P2_a*P2_al2*COS(RADIANS($A159))-P2_a*P2_w2^2*SIN(RADIANS($A159))+P2_b*E159^2*SIN(RADIANS(B159)))/(P2_b*COS(RADIANS(B159)))</f>
        <v>2.76862148250027</v>
      </c>
      <c r="H159" s="42" t="n">
        <f aca="false">-P2_a*P2_al2*SIN(RADIANS($A159))-P2_a*P2_w2^2*COS(RADIANS($A159))+P2_b*G159*SIN(RADIANS(B159))+P2_b*E159^2*COS(RADIANS(B159))</f>
        <v>63.4854466328817</v>
      </c>
      <c r="I159" s="45" t="n">
        <v>45</v>
      </c>
    </row>
    <row r="160" customFormat="false" ht="15" hidden="false" customHeight="false" outlineLevel="0" collapsed="false">
      <c r="A160" s="41" t="n">
        <v>77</v>
      </c>
      <c r="B160" s="42" t="n">
        <f aca="false">180-DEGREES(ASIN((P2_a*SIN(RADIANS($A160))-P2_c)/P2_b))</f>
        <v>155.80327790836</v>
      </c>
      <c r="C160" s="42" t="n">
        <f aca="false">P2_a*COS(RADIANS($A160))-P2_b*COS(RADIANS(B160))</f>
        <v>128.276237679591</v>
      </c>
      <c r="D160" s="43" t="n">
        <f aca="false">90-DEGREES(ASIN(ABS((P2_a*SIN(RADIANS($A160))-P2_c)/P2_b)))</f>
        <v>65.8032779083603</v>
      </c>
      <c r="E160" s="44" t="n">
        <f aca="false">P2_a*P2_w2*COS(RADIANS($A160))/(P2_b*COS(RADIANS(B160)))</f>
        <v>-0.20543234307219</v>
      </c>
      <c r="F160" s="42" t="n">
        <f aca="false">-P2_a*P2_w2*SIN(RADIANS($A160))+P2_b*E160*SIN(RADIANS(B160))</f>
        <v>-118.252080560681</v>
      </c>
      <c r="G160" s="44" t="n">
        <f aca="false">(P2_a*P2_al2*COS(RADIANS($A160))-P2_a*P2_w2^2*SIN(RADIANS($A160))+P2_b*E160^2*SIN(RADIANS(B160)))/(P2_b*COS(RADIANS(B160)))</f>
        <v>2.77650480011833</v>
      </c>
      <c r="H160" s="42" t="n">
        <f aca="false">-P2_a*P2_al2*SIN(RADIANS($A160))-P2_a*P2_w2^2*COS(RADIANS($A160))+P2_b*G160*SIN(RADIANS(B160))+P2_b*E160^2*COS(RADIANS(B160))</f>
        <v>67.429580393191</v>
      </c>
      <c r="I160" s="45" t="n">
        <v>45</v>
      </c>
    </row>
    <row r="161" customFormat="false" ht="15" hidden="false" customHeight="false" outlineLevel="0" collapsed="false">
      <c r="A161" s="41" t="n">
        <v>77.5</v>
      </c>
      <c r="B161" s="42" t="n">
        <f aca="false">180-DEGREES(ASIN((P2_a*SIN(RADIANS($A161))-P2_c)/P2_b))</f>
        <v>155.771196643226</v>
      </c>
      <c r="C161" s="42" t="n">
        <f aca="false">P2_a*COS(RADIANS($A161))-P2_b*COS(RADIANS(B161))</f>
        <v>127.948024867459</v>
      </c>
      <c r="D161" s="43" t="n">
        <f aca="false">90-DEGREES(ASIN(ABS((P2_a*SIN(RADIANS($A161))-P2_c)/P2_b)))</f>
        <v>65.7711966432258</v>
      </c>
      <c r="E161" s="44" t="n">
        <f aca="false">P2_a*P2_w2*COS(RADIANS($A161))/(P2_b*COS(RADIANS(B161)))</f>
        <v>-0.197709204173343</v>
      </c>
      <c r="F161" s="42" t="n">
        <f aca="false">-P2_a*P2_w2*SIN(RADIANS($A161))+P2_b*E161*SIN(RADIANS(B161))</f>
        <v>-118.059331544048</v>
      </c>
      <c r="G161" s="44" t="n">
        <f aca="false">(P2_a*P2_al2*COS(RADIANS($A161))-P2_a*P2_w2^2*SIN(RADIANS($A161))+P2_b*E161^2*SIN(RADIANS(B161)))/(P2_b*COS(RADIANS(B161)))</f>
        <v>2.78410842385304</v>
      </c>
      <c r="H161" s="42" t="n">
        <f aca="false">-P2_a*P2_al2*SIN(RADIANS($A161))-P2_a*P2_w2^2*COS(RADIANS($A161))+P2_b*G161*SIN(RADIANS(B161))+P2_b*E161^2*COS(RADIANS(B161))</f>
        <v>71.3448509075684</v>
      </c>
      <c r="I161" s="45" t="n">
        <v>45</v>
      </c>
    </row>
    <row r="162" customFormat="false" ht="15" hidden="false" customHeight="false" outlineLevel="0" collapsed="false">
      <c r="A162" s="41" t="n">
        <v>78</v>
      </c>
      <c r="B162" s="42" t="n">
        <f aca="false">180-DEGREES(ASIN((P2_a*SIN(RADIANS($A162))-P2_c)/P2_b))</f>
        <v>155.740346213874</v>
      </c>
      <c r="C162" s="42" t="n">
        <f aca="false">P2_a*COS(RADIANS($A162))-P2_b*COS(RADIANS(B162))</f>
        <v>127.620362536777</v>
      </c>
      <c r="D162" s="43" t="n">
        <f aca="false">90-DEGREES(ASIN(ABS((P2_a*SIN(RADIANS($A162))-P2_c)/P2_b)))</f>
        <v>65.7403462138742</v>
      </c>
      <c r="E162" s="44" t="n">
        <f aca="false">P2_a*P2_w2*COS(RADIANS($A162))/(P2_b*COS(RADIANS(B162)))</f>
        <v>-0.189965334868366</v>
      </c>
      <c r="F162" s="42" t="n">
        <f aca="false">-P2_a*P2_w2*SIN(RADIANS($A162))+P2_b*E162*SIN(RADIANS(B162))</f>
        <v>-117.855747556424</v>
      </c>
      <c r="G162" s="44" t="n">
        <f aca="false">(P2_a*P2_al2*COS(RADIANS($A162))-P2_a*P2_w2^2*SIN(RADIANS($A162))+P2_b*E162^2*SIN(RADIANS(B162)))/(P2_b*COS(RADIANS(B162)))</f>
        <v>2.79143036677638</v>
      </c>
      <c r="H162" s="42" t="n">
        <f aca="false">-P2_a*P2_al2*SIN(RADIANS($A162))-P2_a*P2_w2^2*COS(RADIANS($A162))+P2_b*G162*SIN(RADIANS(B162))+P2_b*E162^2*COS(RADIANS(B162))</f>
        <v>75.2306609789846</v>
      </c>
      <c r="I162" s="45" t="n">
        <v>45</v>
      </c>
    </row>
    <row r="163" customFormat="false" ht="15" hidden="false" customHeight="false" outlineLevel="0" collapsed="false">
      <c r="A163" s="41" t="n">
        <v>78.5</v>
      </c>
      <c r="B163" s="42" t="n">
        <f aca="false">180-DEGREES(ASIN((P2_a*SIN(RADIANS($A163))-P2_c)/P2_b))</f>
        <v>155.710729857244</v>
      </c>
      <c r="C163" s="42" t="n">
        <f aca="false">P2_a*COS(RADIANS($A163))-P2_b*COS(RADIANS(B163))</f>
        <v>127.29328067027</v>
      </c>
      <c r="D163" s="43" t="n">
        <f aca="false">90-DEGREES(ASIN(ABS((P2_a*SIN(RADIANS($A163))-P2_c)/P2_b)))</f>
        <v>65.710729857244</v>
      </c>
      <c r="E163" s="44" t="n">
        <f aca="false">P2_a*P2_w2*COS(RADIANS($A163))/(P2_b*COS(RADIANS(B163)))</f>
        <v>-0.182201520288143</v>
      </c>
      <c r="F163" s="42" t="n">
        <f aca="false">-P2_a*P2_w2*SIN(RADIANS($A163))+P2_b*E163*SIN(RADIANS(B163))</f>
        <v>-117.641411247785</v>
      </c>
      <c r="G163" s="44" t="n">
        <f aca="false">(P2_a*P2_al2*COS(RADIANS($A163))-P2_a*P2_w2^2*SIN(RADIANS($A163))+P2_b*E163^2*SIN(RADIANS(B163)))/(P2_b*COS(RADIANS(B163)))</f>
        <v>2.79846870728314</v>
      </c>
      <c r="H163" s="42" t="n">
        <f aca="false">-P2_a*P2_al2*SIN(RADIANS($A163))-P2_a*P2_w2^2*COS(RADIANS($A163))+P2_b*G163*SIN(RADIANS(B163))+P2_b*E163^2*COS(RADIANS(B163))</f>
        <v>79.0864255542324</v>
      </c>
      <c r="I163" s="45" t="n">
        <v>45</v>
      </c>
    </row>
    <row r="164" customFormat="false" ht="15" hidden="false" customHeight="false" outlineLevel="0" collapsed="false">
      <c r="A164" s="41" t="n">
        <v>79</v>
      </c>
      <c r="B164" s="42" t="n">
        <f aca="false">180-DEGREES(ASIN((P2_a*SIN(RADIANS($A164))-P2_c)/P2_b))</f>
        <v>155.682350684897</v>
      </c>
      <c r="C164" s="42" t="n">
        <f aca="false">P2_a*COS(RADIANS($A164))-P2_b*COS(RADIANS(B164))</f>
        <v>126.966809018841</v>
      </c>
      <c r="D164" s="43" t="n">
        <f aca="false">90-DEGREES(ASIN(ABS((P2_a*SIN(RADIANS($A164))-P2_c)/P2_b)))</f>
        <v>65.6823506848966</v>
      </c>
      <c r="E164" s="44" t="n">
        <f aca="false">P2_a*P2_w2*COS(RADIANS($A164))/(P2_b*COS(RADIANS(B164)))</f>
        <v>-0.17441855080896</v>
      </c>
      <c r="F164" s="42" t="n">
        <f aca="false">-P2_a*P2_w2*SIN(RADIANS($A164))+P2_b*E164*SIN(RADIANS(B164))</f>
        <v>-117.416406876099</v>
      </c>
      <c r="G164" s="44" t="n">
        <f aca="false">(P2_a*P2_al2*COS(RADIANS($A164))-P2_a*P2_w2^2*SIN(RADIANS($A164))+P2_b*E164^2*SIN(RADIANS(B164)))/(P2_b*COS(RADIANS(B164)))</f>
        <v>2.80522159052151</v>
      </c>
      <c r="H164" s="42" t="n">
        <f aca="false">-P2_a*P2_al2*SIN(RADIANS($A164))-P2_a*P2_w2^2*COS(RADIANS($A164))+P2_b*G164*SIN(RADIANS(B164))+P2_b*E164^2*COS(RADIANS(B164))</f>
        <v>82.9115719763091</v>
      </c>
      <c r="I164" s="45" t="n">
        <v>45</v>
      </c>
    </row>
    <row r="165" customFormat="false" ht="15" hidden="false" customHeight="false" outlineLevel="0" collapsed="false">
      <c r="A165" s="41" t="n">
        <v>79.5</v>
      </c>
      <c r="B165" s="42" t="n">
        <f aca="false">180-DEGREES(ASIN((P2_a*SIN(RADIANS($A165))-P2_c)/P2_b))</f>
        <v>155.655211682196</v>
      </c>
      <c r="C165" s="42" t="n">
        <f aca="false">P2_a*COS(RADIANS($A165))-P2_b*COS(RADIANS(B165))</f>
        <v>126.640977097147</v>
      </c>
      <c r="D165" s="43" t="n">
        <f aca="false">90-DEGREES(ASIN(ABS((P2_a*SIN(RADIANS($A165))-P2_c)/P2_b)))</f>
        <v>65.6552116821961</v>
      </c>
      <c r="E165" s="44" t="n">
        <f aca="false">P2_a*P2_w2*COS(RADIANS($A165))/(P2_b*COS(RADIANS(B165)))</f>
        <v>-0.166617221865149</v>
      </c>
      <c r="F165" s="42" t="n">
        <f aca="false">-P2_a*P2_w2*SIN(RADIANS($A165))+P2_b*E165*SIN(RADIANS(B165))</f>
        <v>-117.180820272544</v>
      </c>
      <c r="G165" s="44" t="n">
        <f aca="false">(P2_a*P2_al2*COS(RADIANS($A165))-P2_a*P2_w2^2*SIN(RADIANS($A165))+P2_b*E165^2*SIN(RADIANS(B165)))/(P2_b*COS(RADIANS(B165)))</f>
        <v>2.81168722978114</v>
      </c>
      <c r="H165" s="42" t="n">
        <f aca="false">-P2_a*P2_al2*SIN(RADIANS($A165))-P2_a*P2_w2^2*COS(RADIANS($A165))+P2_b*G165*SIN(RADIANS(B165))+P2_b*E165^2*COS(RADIANS(B165))</f>
        <v>86.7055402296129</v>
      </c>
      <c r="I165" s="45" t="n">
        <v>45</v>
      </c>
    </row>
    <row r="166" customFormat="false" ht="15" hidden="false" customHeight="false" outlineLevel="0" collapsed="false">
      <c r="A166" s="41" t="n">
        <v>80</v>
      </c>
      <c r="B166" s="42" t="n">
        <f aca="false">180-DEGREES(ASIN((P2_a*SIN(RADIANS($A166))-P2_c)/P2_b))</f>
        <v>155.629315707519</v>
      </c>
      <c r="C166" s="42" t="n">
        <f aca="false">P2_a*COS(RADIANS($A166))-P2_b*COS(RADIANS(B166))</f>
        <v>126.315814179283</v>
      </c>
      <c r="D166" s="43" t="n">
        <f aca="false">90-DEGREES(ASIN(ABS((P2_a*SIN(RADIANS($A166))-P2_c)/P2_b)))</f>
        <v>65.6293157075193</v>
      </c>
      <c r="E166" s="44" t="n">
        <f aca="false">P2_a*P2_w2*COS(RADIANS($A166))/(P2_b*COS(RADIANS(B166)))</f>
        <v>-0.15879833375792</v>
      </c>
      <c r="F166" s="42" t="n">
        <f aca="false">-P2_a*P2_w2*SIN(RADIANS($A166))+P2_b*E166*SIN(RADIANS(B166))</f>
        <v>-116.934738806066</v>
      </c>
      <c r="G166" s="44" t="n">
        <f aca="false">(P2_a*P2_al2*COS(RADIANS($A166))-P2_a*P2_w2^2*SIN(RADIANS($A166))+P2_b*E166^2*SIN(RADIANS(B166)))/(P2_b*COS(RADIANS(B166)))</f>
        <v>2.8178639078371</v>
      </c>
      <c r="H166" s="42" t="n">
        <f aca="false">-P2_a*P2_al2*SIN(RADIANS($A166))-P2_a*P2_w2^2*COS(RADIANS($A166))+P2_b*G166*SIN(RADIANS(B166))+P2_b*E166^2*COS(RADIANS(B166))</f>
        <v>90.4677831776757</v>
      </c>
      <c r="I166" s="45" t="n">
        <v>45</v>
      </c>
    </row>
    <row r="167" customFormat="false" ht="15" hidden="false" customHeight="false" outlineLevel="0" collapsed="false">
      <c r="A167" s="41" t="n">
        <v>80.5</v>
      </c>
      <c r="B167" s="42" t="n">
        <f aca="false">180-DEGREES(ASIN((P2_a*SIN(RADIANS($A167))-P2_c)/P2_b))</f>
        <v>155.604665491497</v>
      </c>
      <c r="C167" s="42" t="n">
        <f aca="false">P2_a*COS(RADIANS($A167))-P2_b*COS(RADIANS(B167))</f>
        <v>125.991349294559</v>
      </c>
      <c r="D167" s="43" t="n">
        <f aca="false">90-DEGREES(ASIN(ABS((P2_a*SIN(RADIANS($A167))-P2_c)/P2_b)))</f>
        <v>65.6046654914968</v>
      </c>
      <c r="E167" s="44" t="n">
        <f aca="false">P2_a*P2_w2*COS(RADIANS($A167))/(P2_b*COS(RADIANS(B167)))</f>
        <v>-0.150962691460541</v>
      </c>
      <c r="F167" s="42" t="n">
        <f aca="false">-P2_a*P2_w2*SIN(RADIANS($A167))+P2_b*E167*SIN(RADIANS(B167))</f>
        <v>-116.678251347277</v>
      </c>
      <c r="G167" s="44" t="n">
        <f aca="false">(P2_a*P2_al2*COS(RADIANS($A167))-P2_a*P2_w2^2*SIN(RADIANS($A167))+P2_b*E167^2*SIN(RADIANS(B167)))/(P2_b*COS(RADIANS(B167)))</f>
        <v>2.82374997824766</v>
      </c>
      <c r="H167" s="42" t="n">
        <f aca="false">-P2_a*P2_al2*SIN(RADIANS($A167))-P2_a*P2_w2^2*COS(RADIANS($A167))+P2_b*G167*SIN(RADIANS(B167))+P2_b*E167^2*COS(RADIANS(B167))</f>
        <v>94.1977667931667</v>
      </c>
      <c r="I167" s="45" t="n">
        <v>45</v>
      </c>
    </row>
    <row r="168" customFormat="false" ht="15" hidden="false" customHeight="false" outlineLevel="0" collapsed="false">
      <c r="A168" s="41" t="n">
        <v>81</v>
      </c>
      <c r="B168" s="42" t="n">
        <f aca="false">180-DEGREES(ASIN((P2_a*SIN(RADIANS($A168))-P2_c)/P2_b))</f>
        <v>155.581263636285</v>
      </c>
      <c r="C168" s="42" t="n">
        <f aca="false">P2_a*COS(RADIANS($A168))-P2_b*COS(RADIANS(B168))</f>
        <v>125.667611223376</v>
      </c>
      <c r="D168" s="43" t="n">
        <f aca="false">90-DEGREES(ASIN(ABS((P2_a*SIN(RADIANS($A168))-P2_c)/P2_b)))</f>
        <v>65.5812636362849</v>
      </c>
      <c r="E168" s="44" t="n">
        <f aca="false">P2_a*P2_w2*COS(RADIANS($A168))/(P2_b*COS(RADIANS(B168)))</f>
        <v>-0.143111104419965</v>
      </c>
      <c r="F168" s="42" t="n">
        <f aca="false">-P2_a*P2_w2*SIN(RADIANS($A168))+P2_b*E168*SIN(RADIANS(B168))</f>
        <v>-116.411448231734</v>
      </c>
      <c r="G168" s="44" t="n">
        <f aca="false">(P2_a*P2_al2*COS(RADIANS($A168))-P2_a*P2_w2^2*SIN(RADIANS($A168))+P2_b*E168^2*SIN(RADIANS(B168)))/(P2_b*COS(RADIANS(B168)))</f>
        <v>2.82934386660438</v>
      </c>
      <c r="H168" s="42" t="n">
        <f aca="false">-P2_a*P2_al2*SIN(RADIANS($A168))-P2_a*P2_w2^2*COS(RADIANS($A168))+P2_b*G168*SIN(RADIANS(B168))+P2_b*E168^2*COS(RADIANS(B168))</f>
        <v>97.8949703798958</v>
      </c>
      <c r="I168" s="45" t="n">
        <v>45</v>
      </c>
    </row>
    <row r="169" customFormat="false" ht="15" hidden="false" customHeight="false" outlineLevel="0" collapsed="false">
      <c r="A169" s="41" t="n">
        <v>81.5</v>
      </c>
      <c r="B169" s="42" t="n">
        <f aca="false">180-DEGREES(ASIN((P2_a*SIN(RADIANS($A169))-P2_c)/P2_b))</f>
        <v>155.55911261487</v>
      </c>
      <c r="C169" s="42" t="n">
        <f aca="false">P2_a*COS(RADIANS($A169))-P2_b*COS(RADIANS(B169))</f>
        <v>125.344628493216</v>
      </c>
      <c r="D169" s="43" t="n">
        <f aca="false">90-DEGREES(ASIN(ABS((P2_a*SIN(RADIANS($A169))-P2_c)/P2_b)))</f>
        <v>65.5591126148702</v>
      </c>
      <c r="E169" s="44" t="n">
        <f aca="false">P2_a*P2_w2*COS(RADIANS($A169))/(P2_b*COS(RADIANS(B169)))</f>
        <v>-0.135244386355061</v>
      </c>
      <c r="F169" s="42" t="n">
        <f aca="false">-P2_a*P2_w2*SIN(RADIANS($A169))+P2_b*E169*SIN(RADIANS(B169))</f>
        <v>-116.134421222609</v>
      </c>
      <c r="G169" s="44" t="n">
        <f aca="false">(P2_a*P2_al2*COS(RADIANS($A169))-P2_a*P2_w2^2*SIN(RADIANS($A169))+P2_b*E169^2*SIN(RADIANS(B169)))/(P2_b*COS(RADIANS(B169)))</f>
        <v>2.83464407173263</v>
      </c>
      <c r="H169" s="42" t="n">
        <f aca="false">-P2_a*P2_al2*SIN(RADIANS($A169))-P2_a*P2_w2^2*COS(RADIANS($A169))+P2_b*G169*SIN(RADIANS(B169))+P2_b*E169^2*COS(RADIANS(B169))</f>
        <v>101.558886786576</v>
      </c>
      <c r="I169" s="45" t="n">
        <v>45</v>
      </c>
    </row>
    <row r="170" customFormat="false" ht="15" hidden="false" customHeight="false" outlineLevel="0" collapsed="false">
      <c r="A170" s="41" t="n">
        <v>82</v>
      </c>
      <c r="B170" s="42" t="n">
        <f aca="false">180-DEGREES(ASIN((P2_a*SIN(RADIANS($A170))-P2_c)/P2_b))</f>
        <v>155.538214770405</v>
      </c>
      <c r="C170" s="42" t="n">
        <f aca="false">P2_a*COS(RADIANS($A170))-P2_b*COS(RADIANS(B170))</f>
        <v>125.022429374719</v>
      </c>
      <c r="D170" s="43" t="n">
        <f aca="false">90-DEGREES(ASIN(ABS((P2_a*SIN(RADIANS($A170))-P2_c)/P2_b)))</f>
        <v>65.538214770405</v>
      </c>
      <c r="E170" s="44" t="n">
        <f aca="false">P2_a*P2_w2*COS(RADIANS($A170))/(P2_b*COS(RADIANS(B170)))</f>
        <v>-0.127363355051577</v>
      </c>
      <c r="F170" s="42" t="n">
        <f aca="false">-P2_a*P2_w2*SIN(RADIANS($A170))+P2_b*E170*SIN(RADIANS(B170))</f>
        <v>-115.847263472777</v>
      </c>
      <c r="G170" s="44" t="n">
        <f aca="false">(P2_a*P2_al2*COS(RADIANS($A170))-P2_a*P2_w2^2*SIN(RADIANS($A170))+P2_b*E170^2*SIN(RADIANS(B170)))/(P2_b*COS(RADIANS(B170)))</f>
        <v>2.83964916684106</v>
      </c>
      <c r="H170" s="42" t="n">
        <f aca="false">-P2_a*P2_al2*SIN(RADIANS($A170))-P2_a*P2_w2^2*COS(RADIANS($A170))+P2_b*G170*SIN(RADIANS(B170))+P2_b*E170^2*COS(RADIANS(B170))</f>
        <v>105.189022612086</v>
      </c>
      <c r="I170" s="45" t="n">
        <v>45</v>
      </c>
    </row>
    <row r="171" customFormat="false" ht="15" hidden="false" customHeight="false" outlineLevel="0" collapsed="false">
      <c r="A171" s="41" t="n">
        <v>82.5</v>
      </c>
      <c r="B171" s="42" t="n">
        <f aca="false">180-DEGREES(ASIN((P2_a*SIN(RADIANS($A171))-P2_c)/P2_b))</f>
        <v>155.518572315577</v>
      </c>
      <c r="C171" s="42" t="n">
        <f aca="false">P2_a*COS(RADIANS($A171))-P2_b*COS(RADIANS(B171))</f>
        <v>124.701041877886</v>
      </c>
      <c r="D171" s="43" t="n">
        <f aca="false">90-DEGREES(ASIN(ABS((P2_a*SIN(RADIANS($A171))-P2_c)/P2_b)))</f>
        <v>65.5185723155775</v>
      </c>
      <c r="E171" s="44" t="n">
        <f aca="false">P2_a*P2_w2*COS(RADIANS($A171))/(P2_b*COS(RADIANS(B171)))</f>
        <v>-0.119468832153983</v>
      </c>
      <c r="F171" s="42" t="n">
        <f aca="false">-P2_a*P2_w2*SIN(RADIANS($A171))+P2_b*E171*SIN(RADIANS(B171))</f>
        <v>-115.550069486345</v>
      </c>
      <c r="G171" s="44" t="n">
        <f aca="false">(P2_a*P2_al2*COS(RADIANS($A171))-P2_a*P2_w2^2*SIN(RADIANS($A171))+P2_b*E171^2*SIN(RADIANS(B171)))/(P2_b*COS(RADIANS(B171)))</f>
        <v>2.84435780061836</v>
      </c>
      <c r="H171" s="42" t="n">
        <f aca="false">-P2_a*P2_al2*SIN(RADIANS($A171))-P2_a*P2_w2^2*COS(RADIANS($A171))+P2_b*G171*SIN(RADIANS(B171))+P2_b*E171^2*COS(RADIANS(B171))</f>
        <v>108.784898401999</v>
      </c>
      <c r="I171" s="45" t="n">
        <v>45</v>
      </c>
    </row>
    <row r="172" customFormat="false" ht="15" hidden="false" customHeight="false" outlineLevel="0" collapsed="false">
      <c r="A172" s="41" t="n">
        <v>83</v>
      </c>
      <c r="B172" s="42" t="n">
        <f aca="false">180-DEGREES(ASIN((P2_a*SIN(RADIANS($A172))-P2_c)/P2_b))</f>
        <v>155.500187332014</v>
      </c>
      <c r="C172" s="42" t="n">
        <f aca="false">P2_a*COS(RADIANS($A172))-P2_b*COS(RADIANS(B172))</f>
        <v>124.380493748372</v>
      </c>
      <c r="D172" s="43" t="n">
        <f aca="false">90-DEGREES(ASIN(ABS((P2_a*SIN(RADIANS($A172))-P2_c)/P2_b)))</f>
        <v>65.5001873320138</v>
      </c>
      <c r="E172" s="44" t="n">
        <f aca="false">P2_a*P2_w2*COS(RADIANS($A172))/(P2_b*COS(RADIANS(B172)))</f>
        <v>-0.111561642954349</v>
      </c>
      <c r="F172" s="42" t="n">
        <f aca="false">-P2_a*P2_w2*SIN(RADIANS($A172))+P2_b*E172*SIN(RADIANS(B172))</f>
        <v>-115.242935079648</v>
      </c>
      <c r="G172" s="44" t="n">
        <f aca="false">(P2_a*P2_al2*COS(RADIANS($A172))-P2_a*P2_w2^2*SIN(RADIANS($A172))+P2_b*E172^2*SIN(RADIANS(B172)))/(P2_b*COS(RADIANS(B172)))</f>
        <v>2.84876869827577</v>
      </c>
      <c r="H172" s="42" t="n">
        <f aca="false">-P2_a*P2_al2*SIN(RADIANS($A172))-P2_a*P2_w2^2*COS(RADIANS($A172))+P2_b*G172*SIN(RADIANS(B172))+P2_b*E172^2*COS(RADIANS(B172))</f>
        <v>112.346048836162</v>
      </c>
      <c r="I172" s="45" t="n">
        <v>45</v>
      </c>
    </row>
    <row r="173" customFormat="false" ht="15" hidden="false" customHeight="false" outlineLevel="0" collapsed="false">
      <c r="A173" s="41" t="n">
        <v>83.5</v>
      </c>
      <c r="B173" s="42" t="n">
        <f aca="false">180-DEGREES(ASIN((P2_a*SIN(RADIANS($A173))-P2_c)/P2_b))</f>
        <v>155.483061769715</v>
      </c>
      <c r="C173" s="42" t="n">
        <f aca="false">P2_a*COS(RADIANS($A173))-P2_b*COS(RADIANS(B173))</f>
        <v>124.060812463899</v>
      </c>
      <c r="D173" s="43" t="n">
        <f aca="false">90-DEGREES(ASIN(ABS((P2_a*SIN(RADIANS($A173))-P2_c)/P2_b)))</f>
        <v>65.4830617697148</v>
      </c>
      <c r="E173" s="44" t="n">
        <f aca="false">P2_a*P2_w2*COS(RADIANS($A173))/(P2_b*COS(RADIANS(B173)))</f>
        <v>-0.10364261617839</v>
      </c>
      <c r="F173" s="42" t="n">
        <f aca="false">-P2_a*P2_w2*SIN(RADIANS($A173))+P2_b*E173*SIN(RADIANS(B173))</f>
        <v>-114.925957341742</v>
      </c>
      <c r="G173" s="44" t="n">
        <f aca="false">(P2_a*P2_al2*COS(RADIANS($A173))-P2_a*P2_w2^2*SIN(RADIANS($A173))+P2_b*E173^2*SIN(RADIANS(B173)))/(P2_b*COS(RADIANS(B173)))</f>
        <v>2.85288066253404</v>
      </c>
      <c r="H173" s="42" t="n">
        <f aca="false">-P2_a*P2_al2*SIN(RADIANS($A173))-P2_a*P2_w2^2*COS(RADIANS($A173))+P2_b*G173*SIN(RADIANS(B173))+P2_b*E173^2*COS(RADIANS(B173))</f>
        <v>115.872022907099</v>
      </c>
      <c r="I173" s="45" t="n">
        <v>45</v>
      </c>
    </row>
    <row r="174" customFormat="false" ht="15" hidden="false" customHeight="false" outlineLevel="0" collapsed="false">
      <c r="A174" s="41" t="n">
        <v>84</v>
      </c>
      <c r="B174" s="42" t="n">
        <f aca="false">180-DEGREES(ASIN((P2_a*SIN(RADIANS($A174))-P2_c)/P2_b))</f>
        <v>155.467197446527</v>
      </c>
      <c r="C174" s="42" t="n">
        <f aca="false">P2_a*COS(RADIANS($A174))-P2_b*COS(RADIANS(B174))</f>
        <v>123.742025230778</v>
      </c>
      <c r="D174" s="43" t="n">
        <f aca="false">90-DEGREES(ASIN(ABS((P2_a*SIN(RADIANS($A174))-P2_c)/P2_b)))</f>
        <v>65.4671974465266</v>
      </c>
      <c r="E174" s="44" t="n">
        <f aca="false">P2_a*P2_w2*COS(RADIANS($A174))/(P2_b*COS(RADIANS(B174)))</f>
        <v>-0.0957125837688659</v>
      </c>
      <c r="F174" s="42" t="n">
        <f aca="false">-P2_a*P2_w2*SIN(RADIANS($A174))+P2_b*E174*SIN(RADIANS(B174))</f>
        <v>-114.599234594402</v>
      </c>
      <c r="G174" s="44" t="n">
        <f aca="false">(P2_a*P2_al2*COS(RADIANS($A174))-P2_a*P2_w2^2*SIN(RADIANS($A174))+P2_b*E174^2*SIN(RADIANS(B174)))/(P2_b*COS(RADIANS(B174)))</f>
        <v>2.85669257455331</v>
      </c>
      <c r="H174" s="42" t="n">
        <f aca="false">-P2_a*P2_al2*SIN(RADIANS($A174))-P2_a*P2_w2^2*COS(RADIANS($A174))+P2_b*G174*SIN(RADIANS(B174))+P2_b*E174^2*COS(RADIANS(B174))</f>
        <v>119.362384089033</v>
      </c>
      <c r="I174" s="45" t="n">
        <v>45</v>
      </c>
    </row>
    <row r="175" customFormat="false" ht="15" hidden="false" customHeight="false" outlineLevel="0" collapsed="false">
      <c r="A175" s="41" t="n">
        <v>84.5</v>
      </c>
      <c r="B175" s="42" t="n">
        <f aca="false">180-DEGREES(ASIN((P2_a*SIN(RADIANS($A175))-P2_c)/P2_b))</f>
        <v>155.452596047646</v>
      </c>
      <c r="C175" s="42" t="n">
        <f aca="false">P2_a*COS(RADIANS($A175))-P2_b*COS(RADIANS(B175))</f>
        <v>123.424158980536</v>
      </c>
      <c r="D175" s="43" t="n">
        <f aca="false">90-DEGREES(ASIN(ABS((P2_a*SIN(RADIANS($A175))-P2_c)/P2_b)))</f>
        <v>65.4525960476459</v>
      </c>
      <c r="E175" s="44" t="n">
        <f aca="false">P2_a*P2_w2*COS(RADIANS($A175))/(P2_b*COS(RADIANS(B175)))</f>
        <v>-0.0877723806664633</v>
      </c>
      <c r="F175" s="42" t="n">
        <f aca="false">-P2_a*P2_w2*SIN(RADIANS($A175))+P2_b*E175*SIN(RADIANS(B175))</f>
        <v>-114.262866351679</v>
      </c>
      <c r="G175" s="44" t="n">
        <f aca="false">(P2_a*P2_al2*COS(RADIANS($A175))-P2_a*P2_w2^2*SIN(RADIANS($A175))+P2_b*E175^2*SIN(RADIANS(B175)))/(P2_b*COS(RADIANS(B175)))</f>
        <v>2.86020339480475</v>
      </c>
      <c r="H175" s="42" t="n">
        <f aca="false">-P2_a*P2_al2*SIN(RADIANS($A175))-P2_a*P2_w2^2*COS(RADIANS($A175))+P2_b*G175*SIN(RADIANS(B175))+P2_b*E175^2*COS(RADIANS(B175))</f>
        <v>122.816710497333</v>
      </c>
      <c r="I175" s="45" t="n">
        <v>45</v>
      </c>
    </row>
    <row r="176" customFormat="false" ht="15" hidden="false" customHeight="false" outlineLevel="0" collapsed="false">
      <c r="A176" s="41" t="n">
        <v>85</v>
      </c>
      <c r="B176" s="42" t="n">
        <f aca="false">180-DEGREES(ASIN((P2_a*SIN(RADIANS($A176))-P2_c)/P2_b))</f>
        <v>155.439259125161</v>
      </c>
      <c r="C176" s="42" t="n">
        <f aca="false">P2_a*COS(RADIANS($A176))-P2_b*COS(RADIANS(B176))</f>
        <v>123.107240366664</v>
      </c>
      <c r="D176" s="43" t="n">
        <f aca="false">90-DEGREES(ASIN(ABS((P2_a*SIN(RADIANS($A176))-P2_c)/P2_b)))</f>
        <v>65.4392591251608</v>
      </c>
      <c r="E176" s="44" t="n">
        <f aca="false">P2_a*P2_w2*COS(RADIANS($A176))/(P2_b*COS(RADIANS(B176)))</f>
        <v>-0.0798228445883486</v>
      </c>
      <c r="F176" s="42" t="n">
        <f aca="false">-P2_a*P2_w2*SIN(RADIANS($A176))+P2_b*E176*SIN(RADIANS(B176))</f>
        <v>-113.916953279014</v>
      </c>
      <c r="G176" s="44" t="n">
        <f aca="false">(P2_a*P2_al2*COS(RADIANS($A176))-P2_a*P2_w2^2*SIN(RADIANS($A176))+P2_b*E176^2*SIN(RADIANS(B176)))/(P2_b*COS(RADIANS(B176)))</f>
        <v>2.86341216388258</v>
      </c>
      <c r="H176" s="42" t="n">
        <f aca="false">-P2_a*P2_al2*SIN(RADIANS($A176))-P2_a*P2_w2^2*COS(RADIANS($A176))+P2_b*G176*SIN(RADIANS(B176))+P2_b*E176^2*COS(RADIANS(B176))</f>
        <v>126.23459503821</v>
      </c>
      <c r="I176" s="45" t="n">
        <v>45</v>
      </c>
    </row>
    <row r="177" customFormat="false" ht="15" hidden="false" customHeight="false" outlineLevel="0" collapsed="false">
      <c r="A177" s="41" t="n">
        <v>85.5</v>
      </c>
      <c r="B177" s="42" t="n">
        <f aca="false">180-DEGREES(ASIN((P2_a*SIN(RADIANS($A177))-P2_c)/P2_b))</f>
        <v>155.427188097626</v>
      </c>
      <c r="C177" s="42" t="n">
        <f aca="false">P2_a*COS(RADIANS($A177))-P2_b*COS(RADIANS(B177))</f>
        <v>122.791295761476</v>
      </c>
      <c r="D177" s="43" t="n">
        <f aca="false">90-DEGREES(ASIN(ABS((P2_a*SIN(RADIANS($A177))-P2_c)/P2_b)))</f>
        <v>65.4271880976263</v>
      </c>
      <c r="E177" s="44" t="n">
        <f aca="false">P2_a*P2_w2*COS(RADIANS($A177))/(P2_b*COS(RADIANS(B177)))</f>
        <v>-0.0718648158045451</v>
      </c>
      <c r="F177" s="42" t="n">
        <f aca="false">-P2_a*P2_w2*SIN(RADIANS($A177))+P2_b*E177*SIN(RADIANS(B177))</f>
        <v>-113.56159715196</v>
      </c>
      <c r="G177" s="44" t="n">
        <f aca="false">(P2_a*P2_al2*COS(RADIANS($A177))-P2_a*P2_w2^2*SIN(RADIANS($A177))+P2_b*E177^2*SIN(RADIANS(B177)))/(P2_b*COS(RADIANS(B177)))</f>
        <v>2.86631800325557</v>
      </c>
      <c r="H177" s="42" t="n">
        <f aca="false">-P2_a*P2_al2*SIN(RADIANS($A177))-P2_a*P2_w2^2*COS(RADIANS($A177))+P2_b*G177*SIN(RADIANS(B177))+P2_b*E177^2*COS(RADIANS(B177))</f>
        <v>129.615645548485</v>
      </c>
      <c r="I177" s="45" t="n">
        <v>45</v>
      </c>
    </row>
    <row r="178" customFormat="false" ht="15" hidden="false" customHeight="false" outlineLevel="0" collapsed="false">
      <c r="A178" s="41" t="n">
        <v>86</v>
      </c>
      <c r="B178" s="42" t="n">
        <f aca="false">180-DEGREES(ASIN((P2_a*SIN(RADIANS($A178))-P2_c)/P2_b))</f>
        <v>155.416384249676</v>
      </c>
      <c r="C178" s="42" t="n">
        <f aca="false">P2_a*COS(RADIANS($A178))-P2_b*COS(RADIANS(B178))</f>
        <v>122.476351253083</v>
      </c>
      <c r="D178" s="43" t="n">
        <f aca="false">90-DEGREES(ASIN(ABS((P2_a*SIN(RADIANS($A178))-P2_c)/P2_b)))</f>
        <v>65.416384249676</v>
      </c>
      <c r="E178" s="44" t="n">
        <f aca="false">P2_a*P2_w2*COS(RADIANS($A178))/(P2_b*COS(RADIANS(B178)))</f>
        <v>-0.0638991369123099</v>
      </c>
      <c r="F178" s="42" t="n">
        <f aca="false">-P2_a*P2_w2*SIN(RADIANS($A178))+P2_b*E178*SIN(RADIANS(B178))</f>
        <v>-113.196900814522</v>
      </c>
      <c r="G178" s="44" t="n">
        <f aca="false">(P2_a*P2_al2*COS(RADIANS($A178))-P2_a*P2_w2^2*SIN(RADIANS($A178))+P2_b*E178^2*SIN(RADIANS(B178)))/(P2_b*COS(RADIANS(B178)))</f>
        <v>2.86892011595668</v>
      </c>
      <c r="H178" s="42" t="n">
        <f aca="false">-P2_a*P2_al2*SIN(RADIANS($A178))-P2_a*P2_w2^2*COS(RADIANS($A178))+P2_b*G178*SIN(RADIANS(B178))+P2_b*E178^2*COS(RADIANS(B178))</f>
        <v>132.959484925259</v>
      </c>
      <c r="I178" s="45" t="n">
        <v>45</v>
      </c>
    </row>
    <row r="179" customFormat="false" ht="15" hidden="false" customHeight="false" outlineLevel="0" collapsed="false">
      <c r="A179" s="41" t="n">
        <v>86.5</v>
      </c>
      <c r="B179" s="42" t="n">
        <f aca="false">180-DEGREES(ASIN((P2_a*SIN(RADIANS($A179))-P2_c)/P2_b))</f>
        <v>155.40684873167</v>
      </c>
      <c r="C179" s="42" t="n">
        <f aca="false">P2_a*COS(RADIANS($A179))-P2_b*COS(RADIANS(B179))</f>
        <v>122.162432642481</v>
      </c>
      <c r="D179" s="43" t="n">
        <f aca="false">90-DEGREES(ASIN(ABS((P2_a*SIN(RADIANS($A179))-P2_c)/P2_b)))</f>
        <v>65.4068487316701</v>
      </c>
      <c r="E179" s="44" t="n">
        <f aca="false">P2_a*P2_w2*COS(RADIANS($A179))/(P2_b*COS(RADIANS(B179)))</f>
        <v>-0.0559266526086806</v>
      </c>
      <c r="F179" s="42" t="n">
        <f aca="false">-P2_a*P2_w2*SIN(RADIANS($A179))+P2_b*E179*SIN(RADIANS(B179))</f>
        <v>-112.822968137159</v>
      </c>
      <c r="G179" s="44" t="n">
        <f aca="false">(P2_a*P2_al2*COS(RADIANS($A179))-P2_a*P2_w2^2*SIN(RADIANS($A179))+P2_b*E179^2*SIN(RADIANS(B179)))/(P2_b*COS(RADIANS(B179)))</f>
        <v>2.87121778721011</v>
      </c>
      <c r="H179" s="42" t="n">
        <f aca="false">-P2_a*P2_al2*SIN(RADIANS($A179))-P2_a*P2_w2^2*COS(RADIANS($A179))+P2_b*G179*SIN(RADIANS(B179))+P2_b*E179^2*COS(RADIANS(B179))</f>
        <v>136.265751245368</v>
      </c>
      <c r="I179" s="45" t="n">
        <v>45</v>
      </c>
    </row>
    <row r="180" customFormat="false" ht="15" hidden="false" customHeight="false" outlineLevel="0" collapsed="false">
      <c r="A180" s="41" t="n">
        <v>87</v>
      </c>
      <c r="B180" s="42" t="n">
        <f aca="false">180-DEGREES(ASIN((P2_a*SIN(RADIANS($A180))-P2_c)/P2_b))</f>
        <v>155.398582559379</v>
      </c>
      <c r="C180" s="42" t="n">
        <f aca="false">P2_a*COS(RADIANS($A180))-P2_b*COS(RADIANS(B180))</f>
        <v>121.849565440762</v>
      </c>
      <c r="D180" s="43" t="n">
        <f aca="false">90-DEGREES(ASIN(ABS((P2_a*SIN(RADIANS($A180))-P2_c)/P2_b)))</f>
        <v>65.3985825593789</v>
      </c>
      <c r="E180" s="44" t="n">
        <f aca="false">P2_a*P2_w2*COS(RADIANS($A180))/(P2_b*COS(RADIANS(B180)))</f>
        <v>-0.0479482094613689</v>
      </c>
      <c r="F180" s="42" t="n">
        <f aca="false">-P2_a*P2_w2*SIN(RADIANS($A180))+P2_b*E180*SIN(RADIANS(B180))</f>
        <v>-112.439903974459</v>
      </c>
      <c r="G180" s="44" t="n">
        <f aca="false">(P2_a*P2_al2*COS(RADIANS($A180))-P2_a*P2_w2^2*SIN(RADIANS($A180))+P2_b*E180^2*SIN(RADIANS(B180)))/(P2_b*COS(RADIANS(B180)))</f>
        <v>2.87321038499472</v>
      </c>
      <c r="H180" s="42" t="n">
        <f aca="false">-P2_a*P2_al2*SIN(RADIANS($A180))-P2_a*P2_w2^2*COS(RADIANS($A180))+P2_b*G180*SIN(RADIANS(B180))+P2_b*E180^2*COS(RADIANS(B180))</f>
        <v>139.534097874455</v>
      </c>
      <c r="I180" s="45" t="n">
        <v>45</v>
      </c>
    </row>
    <row r="181" customFormat="false" ht="15" hidden="false" customHeight="false" outlineLevel="0" collapsed="false">
      <c r="A181" s="41" t="n">
        <v>87.5</v>
      </c>
      <c r="B181" s="42" t="n">
        <f aca="false">180-DEGREES(ASIN((P2_a*SIN(RADIANS($A181))-P2_c)/P2_b))</f>
        <v>155.391586613704</v>
      </c>
      <c r="C181" s="42" t="n">
        <f aca="false">P2_a*COS(RADIANS($A181))-P2_b*COS(RADIANS(B181))</f>
        <v>121.537774866437</v>
      </c>
      <c r="D181" s="43" t="n">
        <f aca="false">90-DEGREES(ASIN(ABS((P2_a*SIN(RADIANS($A181))-P2_c)/P2_b)))</f>
        <v>65.3915866137039</v>
      </c>
      <c r="E181" s="44" t="n">
        <f aca="false">P2_a*P2_w2*COS(RADIANS($A181))/(P2_b*COS(RADIANS(B181)))</f>
        <v>-0.0399646556781786</v>
      </c>
      <c r="F181" s="42" t="n">
        <f aca="false">-P2_a*P2_w2*SIN(RADIANS($A181))+P2_b*E181*SIN(RADIANS(B181))</f>
        <v>-112.047814122536</v>
      </c>
      <c r="G181" s="44" t="n">
        <f aca="false">(P2_a*P2_al2*COS(RADIANS($A181))-P2_a*P2_w2^2*SIN(RADIANS($A181))+P2_b*E181^2*SIN(RADIANS(B181)))/(P2_b*COS(RADIANS(B181)))</f>
        <v>2.87489736054306</v>
      </c>
      <c r="H181" s="42" t="n">
        <f aca="false">-P2_a*P2_al2*SIN(RADIANS($A181))-P2_a*P2_w2^2*COS(RADIANS($A181))+P2_b*G181*SIN(RADIANS(B181))+P2_b*E181^2*COS(RADIANS(B181))</f>
        <v>142.764193565563</v>
      </c>
      <c r="I181" s="45" t="n">
        <v>45</v>
      </c>
    </row>
    <row r="182" customFormat="false" ht="15" hidden="false" customHeight="false" outlineLevel="0" collapsed="false">
      <c r="A182" s="41" t="n">
        <v>88</v>
      </c>
      <c r="B182" s="42" t="n">
        <f aca="false">180-DEGREES(ASIN((P2_a*SIN(RADIANS($A182))-P2_c)/P2_b))</f>
        <v>155.385861640435</v>
      </c>
      <c r="C182" s="42" t="n">
        <f aca="false">P2_a*COS(RADIANS($A182))-P2_b*COS(RADIANS(B182))</f>
        <v>121.227085842881</v>
      </c>
      <c r="D182" s="43" t="n">
        <f aca="false">90-DEGREES(ASIN(ABS((P2_a*SIN(RADIANS($A182))-P2_c)/P2_b)))</f>
        <v>65.3858616404348</v>
      </c>
      <c r="E182" s="44" t="n">
        <f aca="false">P2_a*P2_w2*COS(RADIANS($A182))/(P2_b*COS(RADIANS(B182)))</f>
        <v>-0.031976840875128</v>
      </c>
      <c r="F182" s="42" t="n">
        <f aca="false">-P2_a*P2_w2*SIN(RADIANS($A182))+P2_b*E182*SIN(RADIANS(B182))</f>
        <v>-111.646805276158</v>
      </c>
      <c r="G182" s="44" t="n">
        <f aca="false">(P2_a*P2_al2*COS(RADIANS($A182))-P2_a*P2_w2^2*SIN(RADIANS($A182))+P2_b*E182^2*SIN(RADIANS(B182)))/(P2_b*COS(RADIANS(B182)))</f>
        <v>2.87627824877536</v>
      </c>
      <c r="H182" s="42" t="n">
        <f aca="false">-P2_a*P2_al2*SIN(RADIANS($A182))-P2_a*P2_w2^2*COS(RADIANS($A182))+P2_b*G182*SIN(RADIANS(B182))+P2_b*E182^2*COS(RADIANS(B182))</f>
        <v>145.95572254713</v>
      </c>
      <c r="I182" s="45" t="n">
        <v>45</v>
      </c>
    </row>
    <row r="183" customFormat="false" ht="15" hidden="false" customHeight="false" outlineLevel="0" collapsed="false">
      <c r="A183" s="41" t="n">
        <v>88.5</v>
      </c>
      <c r="B183" s="42" t="n">
        <f aca="false">180-DEGREES(ASIN((P2_a*SIN(RADIANS($A183))-P2_c)/P2_b))</f>
        <v>155.381408250044</v>
      </c>
      <c r="C183" s="42" t="n">
        <f aca="false">P2_a*COS(RADIANS($A183))-P2_b*COS(RADIANS(B183))</f>
        <v>120.917522995895</v>
      </c>
      <c r="D183" s="43" t="n">
        <f aca="false">90-DEGREES(ASIN(ABS((P2_a*SIN(RADIANS($A183))-P2_c)/P2_b)))</f>
        <v>65.3814082500443</v>
      </c>
      <c r="E183" s="44" t="n">
        <f aca="false">P2_a*P2_w2*COS(RADIANS($A183))/(P2_b*COS(RADIANS(B183)))</f>
        <v>-0.0239856158434565</v>
      </c>
      <c r="F183" s="42" t="n">
        <f aca="false">-P2_a*P2_w2*SIN(RADIANS($A183))+P2_b*E183*SIN(RADIANS(B183))</f>
        <v>-111.236984985653</v>
      </c>
      <c r="G183" s="44" t="n">
        <f aca="false">(P2_a*P2_al2*COS(RADIANS($A183))-P2_a*P2_w2^2*SIN(RADIANS($A183))+P2_b*E183^2*SIN(RADIANS(B183)))/(P2_b*COS(RADIANS(B183)))</f>
        <v>2.87735266866778</v>
      </c>
      <c r="H183" s="42" t="n">
        <f aca="false">-P2_a*P2_al2*SIN(RADIANS($A183))-P2_a*P2_w2^2*COS(RADIANS($A183))+P2_b*G183*SIN(RADIANS(B183))+P2_b*E183^2*COS(RADIANS(B183))</f>
        <v>149.108384600302</v>
      </c>
      <c r="I183" s="45" t="n">
        <v>45</v>
      </c>
    </row>
    <row r="184" customFormat="false" ht="15" hidden="false" customHeight="false" outlineLevel="0" collapsed="false">
      <c r="A184" s="41" t="n">
        <v>89</v>
      </c>
      <c r="B184" s="42" t="n">
        <f aca="false">180-DEGREES(ASIN((P2_a*SIN(RADIANS($A184))-P2_c)/P2_b))</f>
        <v>155.378226917519</v>
      </c>
      <c r="C184" s="42" t="n">
        <f aca="false">P2_a*COS(RADIANS($A184))-P2_b*COS(RADIANS(B184))</f>
        <v>120.609110651393</v>
      </c>
      <c r="D184" s="43" t="n">
        <f aca="false">90-DEGREES(ASIN(ABS((P2_a*SIN(RADIANS($A184))-P2_c)/P2_b)))</f>
        <v>65.3782269175193</v>
      </c>
      <c r="E184" s="44" t="n">
        <f aca="false">P2_a*P2_w2*COS(RADIANS($A184))/(P2_b*COS(RADIANS(B184)))</f>
        <v>-0.0159918323157012</v>
      </c>
      <c r="F184" s="42" t="n">
        <f aca="false">-P2_a*P2_w2*SIN(RADIANS($A184))+P2_b*E184*SIN(RADIANS(B184))</f>
        <v>-110.818461613611</v>
      </c>
      <c r="G184" s="44" t="n">
        <f aca="false">(P2_a*P2_al2*COS(RADIANS($A184))-P2_a*P2_w2^2*SIN(RADIANS($A184))+P2_b*E184^2*SIN(RADIANS(B184)))/(P2_b*COS(RADIANS(B184)))</f>
        <v>2.8781203235544</v>
      </c>
      <c r="H184" s="42" t="n">
        <f aca="false">-P2_a*P2_al2*SIN(RADIANS($A184))-P2_a*P2_w2^2*COS(RADIANS($A184))+P2_b*G184*SIN(RADIANS(B184))+P2_b*E184^2*COS(RADIANS(B184))</f>
        <v>152.221895125472</v>
      </c>
      <c r="I184" s="45" t="n">
        <v>45</v>
      </c>
    </row>
    <row r="185" customFormat="false" ht="15" hidden="false" customHeight="false" outlineLevel="0" collapsed="false">
      <c r="A185" s="41" t="n">
        <v>89.5</v>
      </c>
      <c r="B185" s="42" t="n">
        <f aca="false">180-DEGREES(ASIN((P2_a*SIN(RADIANS($A185))-P2_c)/P2_b))</f>
        <v>155.37631798223</v>
      </c>
      <c r="C185" s="42" t="n">
        <f aca="false">P2_a*COS(RADIANS($A185))-P2_b*COS(RADIANS(B185))</f>
        <v>120.301872833203</v>
      </c>
      <c r="D185" s="43" t="n">
        <f aca="false">90-DEGREES(ASIN(ABS((P2_a*SIN(RADIANS($A185))-P2_c)/P2_b)))</f>
        <v>65.37631798223</v>
      </c>
      <c r="E185" s="44" t="n">
        <f aca="false">P2_a*P2_w2*COS(RADIANS($A185))/(P2_b*COS(RADIANS(B185)))</f>
        <v>-0.00799634273102811</v>
      </c>
      <c r="F185" s="42" t="n">
        <f aca="false">-P2_a*P2_w2*SIN(RADIANS($A185))+P2_b*E185*SIN(RADIANS(B185))</f>
        <v>-110.391344291416</v>
      </c>
      <c r="G185" s="44" t="n">
        <f aca="false">(P2_a*P2_al2*COS(RADIANS($A185))-P2_a*P2_w2^2*SIN(RADIANS($A185))+P2_b*E185^2*SIN(RADIANS(B185)))/(P2_b*COS(RADIANS(B185)))</f>
        <v>2.87858100136261</v>
      </c>
      <c r="H185" s="42" t="n">
        <f aca="false">-P2_a*P2_al2*SIN(RADIANS($A185))-P2_a*P2_w2^2*COS(RADIANS($A185))+P2_b*G185*SIN(RADIANS(B185))+P2_b*E185^2*COS(RADIANS(B185))</f>
        <v>155.295985197988</v>
      </c>
      <c r="I185" s="45" t="n">
        <v>45</v>
      </c>
    </row>
    <row r="186" customFormat="false" ht="15" hidden="false" customHeight="false" outlineLevel="0" collapsed="false">
      <c r="A186" s="41" t="n">
        <v>90</v>
      </c>
      <c r="B186" s="42" t="n">
        <f aca="false">180-DEGREES(ASIN((P2_a*SIN(RADIANS($A186))-P2_c)/P2_b))</f>
        <v>155.375681647836</v>
      </c>
      <c r="C186" s="42" t="n">
        <f aca="false">P2_a*COS(RADIANS($A186))-P2_b*COS(RADIANS(B186))</f>
        <v>119.995833260993</v>
      </c>
      <c r="D186" s="43" t="n">
        <f aca="false">90-DEGREES(ASIN(ABS((P2_a*SIN(RADIANS($A186))-P2_c)/P2_b)))</f>
        <v>65.3756816478359</v>
      </c>
      <c r="E186" s="44" t="n">
        <f aca="false">P2_a*P2_w2*COS(RADIANS($A186))/(P2_b*COS(RADIANS(B186)))</f>
        <v>-5.6109010163563E-017</v>
      </c>
      <c r="F186" s="42" t="n">
        <f aca="false">-P2_a*P2_w2*SIN(RADIANS($A186))+P2_b*E186*SIN(RADIANS(B186))</f>
        <v>-109.955742875643</v>
      </c>
      <c r="G186" s="44" t="n">
        <f aca="false">(P2_a*P2_al2*COS(RADIANS($A186))-P2_a*P2_w2^2*SIN(RADIANS($A186))+P2_b*E186^2*SIN(RADIANS(B186)))/(P2_b*COS(RADIANS(B186)))</f>
        <v>2.87873457478143</v>
      </c>
      <c r="H186" s="42" t="n">
        <f aca="false">-P2_a*P2_al2*SIN(RADIANS($A186))-P2_a*P2_w2^2*COS(RADIANS($A186))+P2_b*G186*SIN(RADIANS(B186))+P2_b*E186^2*COS(RADIANS(B186))</f>
        <v>158.330401612979</v>
      </c>
      <c r="I186" s="45" t="n">
        <v>45</v>
      </c>
    </row>
    <row r="187" customFormat="false" ht="15" hidden="false" customHeight="false" outlineLevel="0" collapsed="false">
      <c r="A187" s="41" t="n">
        <v>90.5</v>
      </c>
      <c r="B187" s="42" t="n">
        <f aca="false">180-DEGREES(ASIN((P2_a*SIN(RADIANS($A187))-P2_c)/P2_b))</f>
        <v>155.37631798223</v>
      </c>
      <c r="C187" s="42" t="n">
        <f aca="false">P2_a*COS(RADIANS($A187))-P2_b*COS(RADIANS(B187))</f>
        <v>119.691015348317</v>
      </c>
      <c r="D187" s="43" t="n">
        <f aca="false">90-DEGREES(ASIN(ABS((P2_a*SIN(RADIANS($A187))-P2_c)/P2_b)))</f>
        <v>65.37631798223</v>
      </c>
      <c r="E187" s="44" t="n">
        <f aca="false">P2_a*P2_w2*COS(RADIANS($A187))/(P2_b*COS(RADIANS(B187)))</f>
        <v>0.007996342731028</v>
      </c>
      <c r="F187" s="42" t="n">
        <f aca="false">-P2_a*P2_w2*SIN(RADIANS($A187))+P2_b*E187*SIN(RADIANS(B187))</f>
        <v>-109.511767904339</v>
      </c>
      <c r="G187" s="44" t="n">
        <f aca="false">(P2_a*P2_al2*COS(RADIANS($A187))-P2_a*P2_w2^2*SIN(RADIANS($A187))+P2_b*E187^2*SIN(RADIANS(B187)))/(P2_b*COS(RADIANS(B187)))</f>
        <v>2.87858100136261</v>
      </c>
      <c r="H187" s="42" t="n">
        <f aca="false">-P2_a*P2_al2*SIN(RADIANS($A187))-P2_a*P2_w2^2*COS(RADIANS($A187))+P2_b*G187*SIN(RADIANS(B187))+P2_b*E187^2*COS(RADIANS(B187))</f>
        <v>161.324906919259</v>
      </c>
      <c r="I187" s="45" t="n">
        <v>45</v>
      </c>
    </row>
    <row r="188" customFormat="false" ht="15" hidden="false" customHeight="false" outlineLevel="0" collapsed="false">
      <c r="A188" s="41" t="n">
        <v>91</v>
      </c>
      <c r="B188" s="42" t="n">
        <f aca="false">180-DEGREES(ASIN((P2_a*SIN(RADIANS($A188))-P2_c)/P2_b))</f>
        <v>155.378226917519</v>
      </c>
      <c r="C188" s="42" t="n">
        <f aca="false">P2_a*COS(RADIANS($A188))-P2_b*COS(RADIANS(B188))</f>
        <v>119.387442200783</v>
      </c>
      <c r="D188" s="43" t="n">
        <f aca="false">90-DEGREES(ASIN(ABS((P2_a*SIN(RADIANS($A188))-P2_c)/P2_b)))</f>
        <v>65.3782269175193</v>
      </c>
      <c r="E188" s="44" t="n">
        <f aca="false">P2_a*P2_w2*COS(RADIANS($A188))/(P2_b*COS(RADIANS(B188)))</f>
        <v>0.0159918323157011</v>
      </c>
      <c r="F188" s="42" t="n">
        <f aca="false">-P2_a*P2_w2*SIN(RADIANS($A188))+P2_b*E188*SIN(RADIANS(B188))</f>
        <v>-109.05953055323</v>
      </c>
      <c r="G188" s="44" t="n">
        <f aca="false">(P2_a*P2_al2*COS(RADIANS($A188))-P2_a*P2_w2^2*SIN(RADIANS($A188))+P2_b*E188^2*SIN(RADIANS(B188)))/(P2_b*COS(RADIANS(B188)))</f>
        <v>2.8781203235544</v>
      </c>
      <c r="H188" s="42" t="n">
        <f aca="false">-P2_a*P2_al2*SIN(RADIANS($A188))-P2_a*P2_w2^2*COS(RADIANS($A188))+P2_b*G188*SIN(RADIANS(B188))+P2_b*E188^2*COS(RADIANS(B188))</f>
        <v>164.279279442283</v>
      </c>
      <c r="I188" s="45" t="n">
        <v>45</v>
      </c>
    </row>
    <row r="189" customFormat="false" ht="15" hidden="false" customHeight="false" outlineLevel="0" collapsed="false">
      <c r="A189" s="41" t="n">
        <v>91.5</v>
      </c>
      <c r="B189" s="42" t="n">
        <f aca="false">180-DEGREES(ASIN((P2_a*SIN(RADIANS($A189))-P2_c)/P2_b))</f>
        <v>155.381408250044</v>
      </c>
      <c r="C189" s="42" t="n">
        <f aca="false">P2_a*COS(RADIANS($A189))-P2_b*COS(RADIANS(B189))</f>
        <v>119.085136614344</v>
      </c>
      <c r="D189" s="43" t="n">
        <f aca="false">90-DEGREES(ASIN(ABS((P2_a*SIN(RADIANS($A189))-P2_c)/P2_b)))</f>
        <v>65.3814082500443</v>
      </c>
      <c r="E189" s="44" t="n">
        <f aca="false">P2_a*P2_w2*COS(RADIANS($A189))/(P2_b*COS(RADIANS(B189)))</f>
        <v>0.0239856158434561</v>
      </c>
      <c r="F189" s="42" t="n">
        <f aca="false">-P2_a*P2_w2*SIN(RADIANS($A189))+P2_b*E189*SIN(RADIANS(B189))</f>
        <v>-108.599142591877</v>
      </c>
      <c r="G189" s="44" t="n">
        <f aca="false">(P2_a*P2_al2*COS(RADIANS($A189))-P2_a*P2_w2^2*SIN(RADIANS($A189))+P2_b*E189^2*SIN(RADIANS(B189)))/(P2_b*COS(RADIANS(B189)))</f>
        <v>2.87735266866778</v>
      </c>
      <c r="H189" s="42" t="n">
        <f aca="false">-P2_a*P2_al2*SIN(RADIANS($A189))-P2_a*P2_w2^2*COS(RADIANS($A189))+P2_b*G189*SIN(RADIANS(B189))+P2_b*E189^2*COS(RADIANS(B189))</f>
        <v>167.193313296156</v>
      </c>
      <c r="I189" s="45" t="n">
        <v>45</v>
      </c>
    </row>
    <row r="190" customFormat="false" ht="15" hidden="false" customHeight="false" outlineLevel="0" collapsed="false">
      <c r="A190" s="41" t="n">
        <v>92</v>
      </c>
      <c r="B190" s="42" t="n">
        <f aca="false">180-DEGREES(ASIN((P2_a*SIN(RADIANS($A190))-P2_c)/P2_b))</f>
        <v>155.385861640435</v>
      </c>
      <c r="C190" s="42" t="n">
        <f aca="false">P2_a*COS(RADIANS($A190))-P2_b*COS(RADIANS(B190))</f>
        <v>118.784121073706</v>
      </c>
      <c r="D190" s="43" t="n">
        <f aca="false">90-DEGREES(ASIN(ABS((P2_a*SIN(RADIANS($A190))-P2_c)/P2_b)))</f>
        <v>65.3858616404348</v>
      </c>
      <c r="E190" s="44" t="n">
        <f aca="false">P2_a*P2_w2*COS(RADIANS($A190))/(P2_b*COS(RADIANS(B190)))</f>
        <v>0.0319768408751277</v>
      </c>
      <c r="F190" s="42" t="n">
        <f aca="false">-P2_a*P2_w2*SIN(RADIANS($A190))+P2_b*E190*SIN(RADIANS(B190))</f>
        <v>-108.130716339817</v>
      </c>
      <c r="G190" s="44" t="n">
        <f aca="false">(P2_a*P2_al2*COS(RADIANS($A190))-P2_a*P2_w2^2*SIN(RADIANS($A190))+P2_b*E190^2*SIN(RADIANS(B190)))/(P2_b*COS(RADIANS(B190)))</f>
        <v>2.87627824877536</v>
      </c>
      <c r="H190" s="42" t="n">
        <f aca="false">-P2_a*P2_al2*SIN(RADIANS($A190))-P2_a*P2_w2^2*COS(RADIANS($A190))+P2_b*G190*SIN(RADIANS(B190))+P2_b*E190^2*COS(RADIANS(B190))</f>
        <v>170.066818384687</v>
      </c>
      <c r="I190" s="45" t="n">
        <v>45</v>
      </c>
    </row>
    <row r="191" customFormat="false" ht="15" hidden="false" customHeight="false" outlineLevel="0" collapsed="false">
      <c r="A191" s="41" t="n">
        <v>92.5</v>
      </c>
      <c r="B191" s="42" t="n">
        <f aca="false">180-DEGREES(ASIN((P2_a*SIN(RADIANS($A191))-P2_c)/P2_b))</f>
        <v>155.391586613704</v>
      </c>
      <c r="C191" s="42" t="n">
        <f aca="false">P2_a*COS(RADIANS($A191))-P2_b*COS(RADIANS(B191))</f>
        <v>118.484417750864</v>
      </c>
      <c r="D191" s="43" t="n">
        <f aca="false">90-DEGREES(ASIN(ABS((P2_a*SIN(RADIANS($A191))-P2_c)/P2_b)))</f>
        <v>65.3915866137039</v>
      </c>
      <c r="E191" s="44" t="n">
        <f aca="false">P2_a*P2_w2*COS(RADIANS($A191))/(P2_b*COS(RADIANS(B191)))</f>
        <v>0.0399646556781784</v>
      </c>
      <c r="F191" s="42" t="n">
        <f aca="false">-P2_a*P2_w2*SIN(RADIANS($A191))+P2_b*E191*SIN(RADIANS(B191))</f>
        <v>-107.65436462271</v>
      </c>
      <c r="G191" s="44" t="n">
        <f aca="false">(P2_a*P2_al2*COS(RADIANS($A191))-P2_a*P2_w2^2*SIN(RADIANS($A191))+P2_b*E191^2*SIN(RADIANS(B191)))/(P2_b*COS(RADIANS(B191)))</f>
        <v>2.87489736054306</v>
      </c>
      <c r="H191" s="42" t="n">
        <f aca="false">-P2_a*P2_al2*SIN(RADIANS($A191))-P2_a*P2_w2^2*COS(RADIANS($A191))+P2_b*G191*SIN(RADIANS(B191))+P2_b*E191^2*COS(RADIANS(B191))</f>
        <v>172.899620391525</v>
      </c>
      <c r="I191" s="45" t="n">
        <v>45</v>
      </c>
    </row>
    <row r="192" customFormat="false" ht="15" hidden="false" customHeight="false" outlineLevel="0" collapsed="false">
      <c r="A192" s="41" t="n">
        <v>93</v>
      </c>
      <c r="B192" s="42" t="n">
        <f aca="false">180-DEGREES(ASIN((P2_a*SIN(RADIANS($A192))-P2_c)/P2_b))</f>
        <v>155.398582559379</v>
      </c>
      <c r="C192" s="42" t="n">
        <f aca="false">P2_a*COS(RADIANS($A192))-P2_b*COS(RADIANS(B192))</f>
        <v>118.186048503756</v>
      </c>
      <c r="D192" s="43" t="n">
        <f aca="false">90-DEGREES(ASIN(ABS((P2_a*SIN(RADIANS($A192))-P2_c)/P2_b)))</f>
        <v>65.3985825593789</v>
      </c>
      <c r="E192" s="44" t="n">
        <f aca="false">P2_a*P2_w2*COS(RADIANS($A192))/(P2_b*COS(RADIANS(B192)))</f>
        <v>0.0479482094613688</v>
      </c>
      <c r="F192" s="42" t="n">
        <f aca="false">-P2_a*P2_w2*SIN(RADIANS($A192))+P2_b*E192*SIN(RADIANS(B192))</f>
        <v>-107.170200728534</v>
      </c>
      <c r="G192" s="44" t="n">
        <f aca="false">(P2_a*P2_al2*COS(RADIANS($A192))-P2_a*P2_w2^2*SIN(RADIANS($A192))+P2_b*E192^2*SIN(RADIANS(B192)))/(P2_b*COS(RADIANS(B192)))</f>
        <v>2.87321038499472</v>
      </c>
      <c r="H192" s="42" t="n">
        <f aca="false">-P2_a*P2_al2*SIN(RADIANS($A192))-P2_a*P2_w2^2*COS(RADIANS($A192))+P2_b*G192*SIN(RADIANS(B192))+P2_b*E192^2*COS(RADIANS(B192))</f>
        <v>175.691560759396</v>
      </c>
      <c r="I192" s="45" t="n">
        <v>45</v>
      </c>
    </row>
    <row r="193" customFormat="false" ht="15" hidden="false" customHeight="false" outlineLevel="0" collapsed="false">
      <c r="A193" s="41" t="n">
        <v>93.5</v>
      </c>
      <c r="B193" s="42" t="n">
        <f aca="false">180-DEGREES(ASIN((P2_a*SIN(RADIANS($A193))-P2_c)/P2_b))</f>
        <v>155.40684873167</v>
      </c>
      <c r="C193" s="42" t="n">
        <f aca="false">P2_a*COS(RADIANS($A193))-P2_b*COS(RADIANS(B193))</f>
        <v>117.889034875041</v>
      </c>
      <c r="D193" s="43" t="n">
        <f aca="false">90-DEGREES(ASIN(ABS((P2_a*SIN(RADIANS($A193))-P2_c)/P2_b)))</f>
        <v>65.4068487316701</v>
      </c>
      <c r="E193" s="44" t="n">
        <f aca="false">P2_a*P2_w2*COS(RADIANS($A193))/(P2_b*COS(RADIANS(B193)))</f>
        <v>0.0559266526086807</v>
      </c>
      <c r="F193" s="42" t="n">
        <f aca="false">-P2_a*P2_w2*SIN(RADIANS($A193))+P2_b*E193*SIN(RADIANS(B193))</f>
        <v>-106.678338363854</v>
      </c>
      <c r="G193" s="44" t="n">
        <f aca="false">(P2_a*P2_al2*COS(RADIANS($A193))-P2_a*P2_w2^2*SIN(RADIANS($A193))+P2_b*E193^2*SIN(RADIANS(B193)))/(P2_b*COS(RADIANS(B193)))</f>
        <v>2.87121778721011</v>
      </c>
      <c r="H193" s="42" t="n">
        <f aca="false">-P2_a*P2_al2*SIN(RADIANS($A193))-P2_a*P2_w2^2*COS(RADIANS($A193))+P2_b*G193*SIN(RADIANS(B193))+P2_b*E193^2*COS(RADIANS(B193))</f>
        <v>178.4424966585</v>
      </c>
      <c r="I193" s="45" t="n">
        <v>45</v>
      </c>
    </row>
    <row r="194" customFormat="false" ht="15" hidden="false" customHeight="false" outlineLevel="0" collapsed="false">
      <c r="A194" s="41" t="n">
        <v>94</v>
      </c>
      <c r="B194" s="42" t="n">
        <f aca="false">180-DEGREES(ASIN((P2_a*SIN(RADIANS($A194))-P2_c)/P2_b))</f>
        <v>155.416384249676</v>
      </c>
      <c r="C194" s="42" t="n">
        <f aca="false">P2_a*COS(RADIANS($A194))-P2_b*COS(RADIANS(B194))</f>
        <v>117.593398090994</v>
      </c>
      <c r="D194" s="43" t="n">
        <f aca="false">90-DEGREES(ASIN(ABS((P2_a*SIN(RADIANS($A194))-P2_c)/P2_b)))</f>
        <v>65.416384249676</v>
      </c>
      <c r="E194" s="44" t="n">
        <f aca="false">P2_a*P2_w2*COS(RADIANS($A194))/(P2_b*COS(RADIANS(B194)))</f>
        <v>0.06389913691231</v>
      </c>
      <c r="F194" s="42" t="n">
        <f aca="false">-P2_a*P2_w2*SIN(RADIANS($A194))+P2_b*E194*SIN(RADIANS(B194))</f>
        <v>-106.178891610185</v>
      </c>
      <c r="G194" s="44" t="n">
        <f aca="false">(P2_a*P2_al2*COS(RADIANS($A194))-P2_a*P2_w2^2*SIN(RADIANS($A194))+P2_b*E194^2*SIN(RADIANS(B194)))/(P2_b*COS(RADIANS(B194)))</f>
        <v>2.86892011595668</v>
      </c>
      <c r="H194" s="42" t="n">
        <f aca="false">-P2_a*P2_al2*SIN(RADIANS($A194))-P2_a*P2_w2^2*COS(RADIANS($A194))+P2_b*G194*SIN(RADIANS(B194))+P2_b*E194^2*COS(RADIANS(B194))</f>
        <v>181.152300944124</v>
      </c>
      <c r="I194" s="45" t="n">
        <v>45</v>
      </c>
    </row>
    <row r="195" customFormat="false" ht="15" hidden="false" customHeight="false" outlineLevel="0" collapsed="false">
      <c r="A195" s="41" t="n">
        <v>94.5</v>
      </c>
      <c r="B195" s="42" t="n">
        <f aca="false">180-DEGREES(ASIN((P2_a*SIN(RADIANS($A195))-P2_c)/P2_b))</f>
        <v>155.427188097626</v>
      </c>
      <c r="C195" s="42" t="n">
        <f aca="false">P2_a*COS(RADIANS($A195))-P2_b*COS(RADIANS(B195))</f>
        <v>117.299159060527</v>
      </c>
      <c r="D195" s="43" t="n">
        <f aca="false">90-DEGREES(ASIN(ABS((P2_a*SIN(RADIANS($A195))-P2_c)/P2_b)))</f>
        <v>65.4271880976263</v>
      </c>
      <c r="E195" s="44" t="n">
        <f aca="false">P2_a*P2_w2*COS(RADIANS($A195))/(P2_b*COS(RADIANS(B195)))</f>
        <v>0.071864815804545</v>
      </c>
      <c r="F195" s="42" t="n">
        <f aca="false">-P2_a*P2_w2*SIN(RADIANS($A195))+P2_b*E195*SIN(RADIANS(B195))</f>
        <v>-105.671974880502</v>
      </c>
      <c r="G195" s="44" t="n">
        <f aca="false">(P2_a*P2_al2*COS(RADIANS($A195))-P2_a*P2_w2^2*SIN(RADIANS($A195))+P2_b*E195^2*SIN(RADIANS(B195)))/(P2_b*COS(RADIANS(B195)))</f>
        <v>2.86631800325557</v>
      </c>
      <c r="H195" s="42" t="n">
        <f aca="false">-P2_a*P2_al2*SIN(RADIANS($A195))-P2_a*P2_w2^2*COS(RADIANS($A195))+P2_b*G195*SIN(RADIANS(B195))+P2_b*E195^2*COS(RADIANS(B195))</f>
        <v>183.820862103557</v>
      </c>
      <c r="I195" s="45" t="n">
        <v>45</v>
      </c>
    </row>
    <row r="196" customFormat="false" ht="15" hidden="false" customHeight="false" outlineLevel="0" collapsed="false">
      <c r="A196" s="41" t="n">
        <v>95</v>
      </c>
      <c r="B196" s="42" t="n">
        <f aca="false">180-DEGREES(ASIN((P2_a*SIN(RADIANS($A196))-P2_c)/P2_b))</f>
        <v>155.439259125161</v>
      </c>
      <c r="C196" s="42" t="n">
        <f aca="false">P2_a*COS(RADIANS($A196))-P2_b*COS(RADIANS(B196))</f>
        <v>117.006338374328</v>
      </c>
      <c r="D196" s="43" t="n">
        <f aca="false">90-DEGREES(ASIN(ABS((P2_a*SIN(RADIANS($A196))-P2_c)/P2_b)))</f>
        <v>65.4392591251608</v>
      </c>
      <c r="E196" s="44" t="n">
        <f aca="false">P2_a*P2_w2*COS(RADIANS($A196))/(P2_b*COS(RADIANS(B196)))</f>
        <v>0.0798228445883485</v>
      </c>
      <c r="F196" s="42" t="n">
        <f aca="false">-P2_a*P2_w2*SIN(RADIANS($A196))+P2_b*E196*SIN(RADIANS(B196))</f>
        <v>-105.157702875895</v>
      </c>
      <c r="G196" s="44" t="n">
        <f aca="false">(P2_a*P2_al2*COS(RADIANS($A196))-P2_a*P2_w2^2*SIN(RADIANS($A196))+P2_b*E196^2*SIN(RADIANS(B196)))/(P2_b*COS(RADIANS(B196)))</f>
        <v>2.86341216388258</v>
      </c>
      <c r="H196" s="42" t="n">
        <f aca="false">-P2_a*P2_al2*SIN(RADIANS($A196))-P2_a*P2_w2^2*COS(RADIANS($A196))+P2_b*G196*SIN(RADIANS(B196))+P2_b*E196^2*COS(RADIANS(B196))</f>
        <v>186.448084192385</v>
      </c>
      <c r="I196" s="45" t="n">
        <v>45</v>
      </c>
    </row>
    <row r="197" customFormat="false" ht="15" hidden="false" customHeight="false" outlineLevel="0" collapsed="false">
      <c r="A197" s="41" t="n">
        <v>95.5</v>
      </c>
      <c r="B197" s="42" t="n">
        <f aca="false">180-DEGREES(ASIN((P2_a*SIN(RADIANS($A197))-P2_c)/P2_b))</f>
        <v>155.452596047646</v>
      </c>
      <c r="C197" s="42" t="n">
        <f aca="false">P2_a*COS(RADIANS($A197))-P2_b*COS(RADIANS(B197))</f>
        <v>116.71495630412</v>
      </c>
      <c r="D197" s="43" t="n">
        <f aca="false">90-DEGREES(ASIN(ABS((P2_a*SIN(RADIANS($A197))-P2_c)/P2_b)))</f>
        <v>65.4525960476459</v>
      </c>
      <c r="E197" s="44" t="n">
        <f aca="false">P2_a*P2_w2*COS(RADIANS($A197))/(P2_b*COS(RADIANS(B197)))</f>
        <v>0.0877723806664632</v>
      </c>
      <c r="F197" s="42" t="n">
        <f aca="false">-P2_a*P2_w2*SIN(RADIANS($A197))+P2_b*E197*SIN(RADIANS(B197))</f>
        <v>-104.636190542428</v>
      </c>
      <c r="G197" s="44" t="n">
        <f aca="false">(P2_a*P2_al2*COS(RADIANS($A197))-P2_a*P2_w2^2*SIN(RADIANS($A197))+P2_b*E197^2*SIN(RADIANS(B197)))/(P2_b*COS(RADIANS(B197)))</f>
        <v>2.86020339480475</v>
      </c>
      <c r="H197" s="42" t="n">
        <f aca="false">-P2_a*P2_al2*SIN(RADIANS($A197))-P2_a*P2_w2^2*COS(RADIANS($A197))+P2_b*G197*SIN(RADIANS(B197))+P2_b*E197^2*COS(RADIANS(B197))</f>
        <v>189.033886760285</v>
      </c>
      <c r="I197" s="45" t="n">
        <v>45</v>
      </c>
    </row>
    <row r="198" customFormat="false" ht="15" hidden="false" customHeight="false" outlineLevel="0" collapsed="false">
      <c r="A198" s="41" t="n">
        <v>96</v>
      </c>
      <c r="B198" s="42" t="n">
        <f aca="false">180-DEGREES(ASIN((P2_a*SIN(RADIANS($A198))-P2_c)/P2_b))</f>
        <v>155.467197446527</v>
      </c>
      <c r="C198" s="42" t="n">
        <f aca="false">P2_a*COS(RADIANS($A198))-P2_b*COS(RADIANS(B198))</f>
        <v>116.425032802042</v>
      </c>
      <c r="D198" s="43" t="n">
        <f aca="false">90-DEGREES(ASIN(ABS((P2_a*SIN(RADIANS($A198))-P2_c)/P2_b)))</f>
        <v>65.4671974465266</v>
      </c>
      <c r="E198" s="44" t="n">
        <f aca="false">P2_a*P2_w2*COS(RADIANS($A198))/(P2_b*COS(RADIANS(B198)))</f>
        <v>0.0957125837688658</v>
      </c>
      <c r="F198" s="42" t="n">
        <f aca="false">-P2_a*P2_w2*SIN(RADIANS($A198))+P2_b*E198*SIN(RADIANS(B198))</f>
        <v>-104.107553028219</v>
      </c>
      <c r="G198" s="44" t="n">
        <f aca="false">(P2_a*P2_al2*COS(RADIANS($A198))-P2_a*P2_w2^2*SIN(RADIANS($A198))+P2_b*E198^2*SIN(RADIANS(B198)))/(P2_b*COS(RADIANS(B198)))</f>
        <v>2.85669257455331</v>
      </c>
      <c r="H198" s="42" t="n">
        <f aca="false">-P2_a*P2_al2*SIN(RADIANS($A198))-P2_a*P2_w2^2*COS(RADIANS($A198))+P2_b*G198*SIN(RADIANS(B198))+P2_b*E198^2*COS(RADIANS(B198))</f>
        <v>191.578204766421</v>
      </c>
      <c r="I198" s="45" t="n">
        <v>45</v>
      </c>
    </row>
    <row r="199" customFormat="false" ht="15" hidden="false" customHeight="false" outlineLevel="0" collapsed="false">
      <c r="A199" s="41" t="n">
        <v>96.5</v>
      </c>
      <c r="B199" s="42" t="n">
        <f aca="false">180-DEGREES(ASIN((P2_a*SIN(RADIANS($A199))-P2_c)/P2_b))</f>
        <v>155.483061769715</v>
      </c>
      <c r="C199" s="42" t="n">
        <f aca="false">P2_a*COS(RADIANS($A199))-P2_b*COS(RADIANS(B199))</f>
        <v>116.136587500146</v>
      </c>
      <c r="D199" s="43" t="n">
        <f aca="false">90-DEGREES(ASIN(ABS((P2_a*SIN(RADIANS($A199))-P2_c)/P2_b)))</f>
        <v>65.4830617697148</v>
      </c>
      <c r="E199" s="44" t="n">
        <f aca="false">P2_a*P2_w2*COS(RADIANS($A199))/(P2_b*COS(RADIANS(B199)))</f>
        <v>0.10364261617839</v>
      </c>
      <c r="F199" s="42" t="n">
        <f aca="false">-P2_a*P2_w2*SIN(RADIANS($A199))+P2_b*E199*SIN(RADIANS(B199))</f>
        <v>-103.571905640758</v>
      </c>
      <c r="G199" s="44" t="n">
        <f aca="false">(P2_a*P2_al2*COS(RADIANS($A199))-P2_a*P2_w2^2*SIN(RADIANS($A199))+P2_b*E199^2*SIN(RADIANS(B199)))/(P2_b*COS(RADIANS(B199)))</f>
        <v>2.85288066253404</v>
      </c>
      <c r="H199" s="42" t="n">
        <f aca="false">-P2_a*P2_al2*SIN(RADIANS($A199))-P2_a*P2_w2^2*COS(RADIANS($A199))+P2_b*G199*SIN(RADIANS(B199))+P2_b*E199^2*COS(RADIANS(B199))</f>
        <v>194.080988484583</v>
      </c>
      <c r="I199" s="45" t="n">
        <v>45</v>
      </c>
    </row>
    <row r="200" customFormat="false" ht="15" hidden="false" customHeight="false" outlineLevel="0" collapsed="false">
      <c r="A200" s="41" t="n">
        <v>97</v>
      </c>
      <c r="B200" s="42" t="n">
        <f aca="false">180-DEGREES(ASIN((P2_a*SIN(RADIANS($A200))-P2_c)/P2_b))</f>
        <v>155.500187332014</v>
      </c>
      <c r="C200" s="42" t="n">
        <f aca="false">P2_a*COS(RADIANS($A200))-P2_b*COS(RADIANS(B200))</f>
        <v>115.849639710011</v>
      </c>
      <c r="D200" s="43" t="n">
        <f aca="false">90-DEGREES(ASIN(ABS((P2_a*SIN(RADIANS($A200))-P2_c)/P2_b)))</f>
        <v>65.5001873320138</v>
      </c>
      <c r="E200" s="44" t="n">
        <f aca="false">P2_a*P2_w2*COS(RADIANS($A200))/(P2_b*COS(RADIANS(B200)))</f>
        <v>0.111561642954348</v>
      </c>
      <c r="F200" s="42" t="n">
        <f aca="false">-P2_a*P2_w2*SIN(RADIANS($A200))+P2_b*E200*SIN(RADIANS(B200))</f>
        <v>-103.029363804516</v>
      </c>
      <c r="G200" s="44" t="n">
        <f aca="false">(P2_a*P2_al2*COS(RADIANS($A200))-P2_a*P2_w2^2*SIN(RADIANS($A200))+P2_b*E200^2*SIN(RADIANS(B200)))/(P2_b*COS(RADIANS(B200)))</f>
        <v>2.84876869827577</v>
      </c>
      <c r="H200" s="42" t="n">
        <f aca="false">-P2_a*P2_al2*SIN(RADIANS($A200))-P2_a*P2_w2^2*COS(RADIANS($A200))+P2_b*G200*SIN(RADIANS(B200))+P2_b*E200^2*COS(RADIANS(B200))</f>
        <v>196.542203398214</v>
      </c>
      <c r="I200" s="45" t="n">
        <v>45</v>
      </c>
    </row>
    <row r="201" customFormat="false" ht="15" hidden="false" customHeight="false" outlineLevel="0" collapsed="false">
      <c r="A201" s="41" t="n">
        <v>97.5</v>
      </c>
      <c r="B201" s="42" t="n">
        <f aca="false">180-DEGREES(ASIN((P2_a*SIN(RADIANS($A201))-P2_c)/P2_b))</f>
        <v>155.518572315577</v>
      </c>
      <c r="C201" s="42" t="n">
        <f aca="false">P2_a*COS(RADIANS($A201))-P2_b*COS(RADIANS(B201))</f>
        <v>115.564208422482</v>
      </c>
      <c r="D201" s="43" t="n">
        <f aca="false">90-DEGREES(ASIN(ABS((P2_a*SIN(RADIANS($A201))-P2_c)/P2_b)))</f>
        <v>65.5185723155775</v>
      </c>
      <c r="E201" s="44" t="n">
        <f aca="false">P2_a*P2_w2*COS(RADIANS($A201))/(P2_b*COS(RADIANS(B201)))</f>
        <v>0.119468832153983</v>
      </c>
      <c r="F201" s="42" t="n">
        <f aca="false">-P2_a*P2_w2*SIN(RADIANS($A201))+P2_b*E201*SIN(RADIANS(B201))</f>
        <v>-102.480043018847</v>
      </c>
      <c r="G201" s="44" t="n">
        <f aca="false">(P2_a*P2_al2*COS(RADIANS($A201))-P2_a*P2_w2^2*SIN(RADIANS($A201))+P2_b*E201^2*SIN(RADIANS(B201)))/(P2_b*COS(RADIANS(B201)))</f>
        <v>2.84435780061836</v>
      </c>
      <c r="H201" s="42" t="n">
        <f aca="false">-P2_a*P2_al2*SIN(RADIANS($A201))-P2_a*P2_w2^2*COS(RADIANS($A201))+P2_b*G201*SIN(RADIANS(B201))+P2_b*E201^2*COS(RADIANS(B201))</f>
        <v>198.961830085471</v>
      </c>
      <c r="I201" s="45" t="n">
        <v>45</v>
      </c>
    </row>
    <row r="202" customFormat="false" ht="15" hidden="false" customHeight="false" outlineLevel="0" collapsed="false">
      <c r="A202" s="41" t="n">
        <v>98</v>
      </c>
      <c r="B202" s="42" t="n">
        <f aca="false">180-DEGREES(ASIN((P2_a*SIN(RADIANS($A202))-P2_c)/P2_b))</f>
        <v>155.538214770405</v>
      </c>
      <c r="C202" s="42" t="n">
        <f aca="false">P2_a*COS(RADIANS($A202))-P2_b*COS(RADIANS(B202))</f>
        <v>115.280312307515</v>
      </c>
      <c r="D202" s="43" t="n">
        <f aca="false">90-DEGREES(ASIN(ABS((P2_a*SIN(RADIANS($A202))-P2_c)/P2_b)))</f>
        <v>65.538214770405</v>
      </c>
      <c r="E202" s="44" t="n">
        <f aca="false">P2_a*P2_w2*COS(RADIANS($A202))/(P2_b*COS(RADIANS(B202)))</f>
        <v>0.127363355051576</v>
      </c>
      <c r="F202" s="42" t="n">
        <f aca="false">-P2_a*P2_w2*SIN(RADIANS($A202))+P2_b*E202*SIN(RADIANS(B202))</f>
        <v>-101.924058816238</v>
      </c>
      <c r="G202" s="44" t="n">
        <f aca="false">(P2_a*P2_al2*COS(RADIANS($A202))-P2_a*P2_w2^2*SIN(RADIANS($A202))+P2_b*E202^2*SIN(RADIANS(B202)))/(P2_b*COS(RADIANS(B202)))</f>
        <v>2.83964916684106</v>
      </c>
      <c r="H202" s="42" t="n">
        <f aca="false">-P2_a*P2_al2*SIN(RADIANS($A202))-P2_a*P2_w2^2*COS(RADIANS($A202))+P2_b*G202*SIN(RADIANS(B202))+P2_b*E202^2*COS(RADIANS(B202))</f>
        <v>201.339864094496</v>
      </c>
      <c r="I202" s="45" t="n">
        <v>45</v>
      </c>
    </row>
    <row r="203" customFormat="false" ht="15" hidden="false" customHeight="false" outlineLevel="0" collapsed="false">
      <c r="A203" s="41" t="n">
        <v>98.5</v>
      </c>
      <c r="B203" s="42" t="n">
        <f aca="false">180-DEGREES(ASIN((P2_a*SIN(RADIANS($A203))-P2_c)/P2_b))</f>
        <v>155.55911261487</v>
      </c>
      <c r="C203" s="42" t="n">
        <f aca="false">P2_a*COS(RADIANS($A203))-P2_b*COS(RADIANS(B203))</f>
        <v>114.997969714143</v>
      </c>
      <c r="D203" s="43" t="n">
        <f aca="false">90-DEGREES(ASIN(ABS((P2_a*SIN(RADIANS($A203))-P2_c)/P2_b)))</f>
        <v>65.5591126148702</v>
      </c>
      <c r="E203" s="44" t="n">
        <f aca="false">P2_a*P2_w2*COS(RADIANS($A203))/(P2_b*COS(RADIANS(B203)))</f>
        <v>0.135244386355061</v>
      </c>
      <c r="F203" s="42" t="n">
        <f aca="false">-P2_a*P2_w2*SIN(RADIANS($A203))+P2_b*E203*SIN(RADIANS(B203))</f>
        <v>-101.3615267209</v>
      </c>
      <c r="G203" s="44" t="n">
        <f aca="false">(P2_a*P2_al2*COS(RADIANS($A203))-P2_a*P2_w2^2*SIN(RADIANS($A203))+P2_b*E203^2*SIN(RADIANS(B203)))/(P2_b*COS(RADIANS(B203)))</f>
        <v>2.83464407173263</v>
      </c>
      <c r="H203" s="42" t="n">
        <f aca="false">-P2_a*P2_al2*SIN(RADIANS($A203))-P2_a*P2_w2^2*COS(RADIANS($A203))+P2_b*G203*SIN(RADIANS(B203))+P2_b*E203^2*COS(RADIANS(B203))</f>
        <v>203.676315809083</v>
      </c>
      <c r="I203" s="45" t="n">
        <v>45</v>
      </c>
    </row>
    <row r="204" customFormat="false" ht="15" hidden="false" customHeight="false" outlineLevel="0" collapsed="false">
      <c r="A204" s="41" t="n">
        <v>99</v>
      </c>
      <c r="B204" s="42" t="n">
        <f aca="false">180-DEGREES(ASIN((P2_a*SIN(RADIANS($A204))-P2_c)/P2_b))</f>
        <v>155.581263636285</v>
      </c>
      <c r="C204" s="42" t="n">
        <f aca="false">P2_a*COS(RADIANS($A204))-P2_b*COS(RADIANS(B204))</f>
        <v>114.71719867056</v>
      </c>
      <c r="D204" s="43" t="n">
        <f aca="false">90-DEGREES(ASIN(ABS((P2_a*SIN(RADIANS($A204))-P2_c)/P2_b)))</f>
        <v>65.5812636362849</v>
      </c>
      <c r="E204" s="44" t="n">
        <f aca="false">P2_a*P2_w2*COS(RADIANS($A204))/(P2_b*COS(RADIANS(B204)))</f>
        <v>0.143111104419966</v>
      </c>
      <c r="F204" s="42" t="n">
        <f aca="false">-P2_a*P2_w2*SIN(RADIANS($A204))+P2_b*E204*SIN(RADIANS(B204))</f>
        <v>-100.792562207765</v>
      </c>
      <c r="G204" s="44" t="n">
        <f aca="false">(P2_a*P2_al2*COS(RADIANS($A204))-P2_a*P2_w2^2*SIN(RADIANS($A204))+P2_b*E204^2*SIN(RADIANS(B204)))/(P2_b*COS(RADIANS(B204)))</f>
        <v>2.82934386660438</v>
      </c>
      <c r="H204" s="42" t="n">
        <f aca="false">-P2_a*P2_al2*SIN(RADIANS($A204))-P2_a*P2_w2^2*COS(RADIANS($A204))+P2_b*G204*SIN(RADIANS(B204))+P2_b*E204^2*COS(RADIANS(B204))</f>
        <v>205.971210304914</v>
      </c>
      <c r="I204" s="45" t="n">
        <v>45</v>
      </c>
    </row>
    <row r="205" customFormat="false" ht="15" hidden="false" customHeight="false" outlineLevel="0" collapsed="false">
      <c r="A205" s="41" t="n">
        <v>99.5</v>
      </c>
      <c r="B205" s="42" t="n">
        <f aca="false">180-DEGREES(ASIN((P2_a*SIN(RADIANS($A205))-P2_c)/P2_b))</f>
        <v>155.604665491497</v>
      </c>
      <c r="C205" s="42" t="n">
        <f aca="false">P2_a*COS(RADIANS($A205))-P2_b*COS(RADIANS(B205))</f>
        <v>114.438016884311</v>
      </c>
      <c r="D205" s="43" t="n">
        <f aca="false">90-DEGREES(ASIN(ABS((P2_a*SIN(RADIANS($A205))-P2_c)/P2_b)))</f>
        <v>65.6046654914968</v>
      </c>
      <c r="E205" s="44" t="n">
        <f aca="false">P2_a*P2_w2*COS(RADIANS($A205))/(P2_b*COS(RADIANS(B205)))</f>
        <v>0.150962691460541</v>
      </c>
      <c r="F205" s="42" t="n">
        <f aca="false">-P2_a*P2_w2*SIN(RADIANS($A205))+P2_b*E205*SIN(RADIANS(B205))</f>
        <v>-100.217280661876</v>
      </c>
      <c r="G205" s="44" t="n">
        <f aca="false">(P2_a*P2_al2*COS(RADIANS($A205))-P2_a*P2_w2^2*SIN(RADIANS($A205))+P2_b*E205^2*SIN(RADIANS(B205)))/(P2_b*COS(RADIANS(B205)))</f>
        <v>2.82374997824766</v>
      </c>
      <c r="H205" s="42" t="n">
        <f aca="false">-P2_a*P2_al2*SIN(RADIANS($A205))-P2_a*P2_w2^2*COS(RADIANS($A205))+P2_b*G205*SIN(RADIANS(B205))+P2_b*E205^2*COS(RADIANS(B205))</f>
        <v>208.224587196593</v>
      </c>
      <c r="I205" s="45" t="n">
        <v>45</v>
      </c>
    </row>
    <row r="206" customFormat="false" ht="15" hidden="false" customHeight="false" outlineLevel="0" collapsed="false">
      <c r="A206" s="41" t="n">
        <v>100</v>
      </c>
      <c r="B206" s="42" t="n">
        <f aca="false">180-DEGREES(ASIN((P2_a*SIN(RADIANS($A206))-P2_c)/P2_b))</f>
        <v>155.629315707519</v>
      </c>
      <c r="C206" s="42" t="n">
        <f aca="false">P2_a*COS(RADIANS($A206))-P2_b*COS(RADIANS(B206))</f>
        <v>114.160441742598</v>
      </c>
      <c r="D206" s="43" t="n">
        <f aca="false">90-DEGREES(ASIN(ABS((P2_a*SIN(RADIANS($A206))-P2_c)/P2_b)))</f>
        <v>65.6293157075193</v>
      </c>
      <c r="E206" s="44" t="n">
        <f aca="false">P2_a*P2_w2*COS(RADIANS($A206))/(P2_b*COS(RADIANS(B206)))</f>
        <v>0.15879833375792</v>
      </c>
      <c r="F206" s="42" t="n">
        <f aca="false">-P2_a*P2_w2*SIN(RADIANS($A206))+P2_b*E206*SIN(RADIANS(B206))</f>
        <v>-99.6357973382338</v>
      </c>
      <c r="G206" s="44" t="n">
        <f aca="false">(P2_a*P2_al2*COS(RADIANS($A206))-P2_a*P2_w2^2*SIN(RADIANS($A206))+P2_b*E206^2*SIN(RADIANS(B206)))/(P2_b*COS(RADIANS(B206)))</f>
        <v>2.8178639078371</v>
      </c>
      <c r="H206" s="42" t="n">
        <f aca="false">-P2_a*P2_al2*SIN(RADIANS($A206))-P2_a*P2_w2^2*COS(RADIANS($A206))+P2_b*G206*SIN(RADIANS(B206))+P2_b*E206^2*COS(RADIANS(B206))</f>
        <v>210.436500475663</v>
      </c>
      <c r="I206" s="45" t="n">
        <v>45</v>
      </c>
    </row>
    <row r="207" customFormat="false" ht="15" hidden="false" customHeight="false" outlineLevel="0" collapsed="false">
      <c r="A207" s="41" t="n">
        <v>100.5</v>
      </c>
      <c r="B207" s="42" t="n">
        <f aca="false">180-DEGREES(ASIN((P2_a*SIN(RADIANS($A207))-P2_c)/P2_b))</f>
        <v>155.655211682196</v>
      </c>
      <c r="C207" s="42" t="n">
        <f aca="false">P2_a*COS(RADIANS($A207))-P2_b*COS(RADIANS(B207))</f>
        <v>113.884490312697</v>
      </c>
      <c r="D207" s="43" t="n">
        <f aca="false">90-DEGREES(ASIN(ABS((P2_a*SIN(RADIANS($A207))-P2_c)/P2_b)))</f>
        <v>65.6552116821961</v>
      </c>
      <c r="E207" s="44" t="n">
        <f aca="false">P2_a*P2_w2*COS(RADIANS($A207))/(P2_b*COS(RADIANS(B207)))</f>
        <v>0.166617221865148</v>
      </c>
      <c r="F207" s="42" t="n">
        <f aca="false">-P2_a*P2_w2*SIN(RADIANS($A207))+P2_b*E207*SIN(RADIANS(B207))</f>
        <v>-99.0482273220878</v>
      </c>
      <c r="G207" s="44" t="n">
        <f aca="false">(P2_a*P2_al2*COS(RADIANS($A207))-P2_a*P2_w2^2*SIN(RADIANS($A207))+P2_b*E207^2*SIN(RADIANS(B207)))/(P2_b*COS(RADIANS(B207)))</f>
        <v>2.81168722978114</v>
      </c>
      <c r="H207" s="42" t="n">
        <f aca="false">-P2_a*P2_al2*SIN(RADIANS($A207))-P2_a*P2_w2^2*COS(RADIANS($A207))+P2_b*G207*SIN(RADIANS(B207))+P2_b*E207^2*COS(RADIANS(B207))</f>
        <v>212.607018339862</v>
      </c>
      <c r="I207" s="45" t="n">
        <v>45</v>
      </c>
    </row>
    <row r="208" customFormat="false" ht="15" hidden="false" customHeight="false" outlineLevel="0" collapsed="false">
      <c r="A208" s="41" t="n">
        <v>101</v>
      </c>
      <c r="B208" s="42" t="n">
        <f aca="false">180-DEGREES(ASIN((P2_a*SIN(RADIANS($A208))-P2_c)/P2_b))</f>
        <v>155.682350684897</v>
      </c>
      <c r="C208" s="42" t="n">
        <f aca="false">P2_a*COS(RADIANS($A208))-P2_b*COS(RADIANS(B208))</f>
        <v>113.610179342483</v>
      </c>
      <c r="D208" s="43" t="n">
        <f aca="false">90-DEGREES(ASIN(ABS((P2_a*SIN(RADIANS($A208))-P2_c)/P2_b)))</f>
        <v>65.6823506848966</v>
      </c>
      <c r="E208" s="44" t="n">
        <f aca="false">P2_a*P2_w2*COS(RADIANS($A208))/(P2_b*COS(RADIANS(B208)))</f>
        <v>0.17441855080896</v>
      </c>
      <c r="F208" s="42" t="n">
        <f aca="false">-P2_a*P2_w2*SIN(RADIANS($A208))+P2_b*E208*SIN(RADIANS(B208))</f>
        <v>-98.4546854897267</v>
      </c>
      <c r="G208" s="44" t="n">
        <f aca="false">(P2_a*P2_al2*COS(RADIANS($A208))-P2_a*P2_w2^2*SIN(RADIANS($A208))+P2_b*E208^2*SIN(RADIANS(B208)))/(P2_b*COS(RADIANS(B208)))</f>
        <v>2.80522159052151</v>
      </c>
      <c r="H208" s="42" t="n">
        <f aca="false">-P2_a*P2_al2*SIN(RADIANS($A208))-P2_a*P2_w2^2*COS(RADIANS($A208))+P2_b*G208*SIN(RADIANS(B208))+P2_b*E208^2*COS(RADIANS(B208))</f>
        <v>214.736223013814</v>
      </c>
      <c r="I208" s="45" t="n">
        <v>45</v>
      </c>
    </row>
    <row r="209" customFormat="false" ht="15" hidden="false" customHeight="false" outlineLevel="0" collapsed="false">
      <c r="A209" s="41" t="n">
        <v>101.5</v>
      </c>
      <c r="B209" s="42" t="n">
        <f aca="false">180-DEGREES(ASIN((P2_a*SIN(RADIANS($A209))-P2_c)/P2_b))</f>
        <v>155.710729857244</v>
      </c>
      <c r="C209" s="42" t="n">
        <f aca="false">P2_a*COS(RADIANS($A209))-P2_b*COS(RADIANS(B209))</f>
        <v>113.337525261067</v>
      </c>
      <c r="D209" s="43" t="n">
        <f aca="false">90-DEGREES(ASIN(ABS((P2_a*SIN(RADIANS($A209))-P2_c)/P2_b)))</f>
        <v>65.710729857244</v>
      </c>
      <c r="E209" s="44" t="n">
        <f aca="false">P2_a*P2_w2*COS(RADIANS($A209))/(P2_b*COS(RADIANS(B209)))</f>
        <v>0.182201520288143</v>
      </c>
      <c r="F209" s="42" t="n">
        <f aca="false">-P2_a*P2_w2*SIN(RADIANS($A209))+P2_b*E209*SIN(RADIANS(B209))</f>
        <v>-97.8552864697714</v>
      </c>
      <c r="G209" s="44" t="n">
        <f aca="false">(P2_a*P2_al2*COS(RADIANS($A209))-P2_a*P2_w2^2*SIN(RADIANS($A209))+P2_b*E209^2*SIN(RADIANS(B209)))/(P2_b*COS(RADIANS(B209)))</f>
        <v>2.79846870728314</v>
      </c>
      <c r="H209" s="42" t="n">
        <f aca="false">-P2_a*P2_al2*SIN(RADIANS($A209))-P2_a*P2_w2^2*COS(RADIANS($A209))+P2_b*G209*SIN(RADIANS(B209))+P2_b*E209^2*COS(RADIANS(B209))</f>
        <v>216.824210561437</v>
      </c>
      <c r="I209" s="45" t="n">
        <v>45</v>
      </c>
    </row>
    <row r="210" customFormat="false" ht="15" hidden="false" customHeight="false" outlineLevel="0" collapsed="false">
      <c r="A210" s="41" t="n">
        <v>102</v>
      </c>
      <c r="B210" s="42" t="n">
        <f aca="false">180-DEGREES(ASIN((P2_a*SIN(RADIANS($A210))-P2_c)/P2_b))</f>
        <v>155.740346213874</v>
      </c>
      <c r="C210" s="42" t="n">
        <f aca="false">P2_a*COS(RADIANS($A210))-P2_b*COS(RADIANS(B210))</f>
        <v>113.066544179534</v>
      </c>
      <c r="D210" s="43" t="n">
        <f aca="false">90-DEGREES(ASIN(ABS((P2_a*SIN(RADIANS($A210))-P2_c)/P2_b)))</f>
        <v>65.7403462138742</v>
      </c>
      <c r="E210" s="44" t="n">
        <f aca="false">P2_a*P2_w2*COS(RADIANS($A210))/(P2_b*COS(RADIANS(B210)))</f>
        <v>0.189965334868366</v>
      </c>
      <c r="F210" s="42" t="n">
        <f aca="false">-P2_a*P2_w2*SIN(RADIANS($A210))+P2_b*E210*SIN(RADIANS(B210))</f>
        <v>-97.2501446050028</v>
      </c>
      <c r="G210" s="44" t="n">
        <f aca="false">(P2_a*P2_al2*COS(RADIANS($A210))-P2_a*P2_w2^2*SIN(RADIANS($A210))+P2_b*E210^2*SIN(RADIANS(B210)))/(P2_b*COS(RADIANS(B210)))</f>
        <v>2.79143036677638</v>
      </c>
      <c r="H210" s="42" t="n">
        <f aca="false">-P2_a*P2_al2*SIN(RADIANS($A210))-P2_a*P2_w2^2*COS(RADIANS($A210))+P2_b*G210*SIN(RADIANS(B210))+P2_b*E210^2*COS(RADIANS(B210))</f>
        <v>218.871090690287</v>
      </c>
      <c r="I210" s="45" t="n">
        <v>45</v>
      </c>
    </row>
    <row r="211" customFormat="false" ht="15" hidden="false" customHeight="false" outlineLevel="0" collapsed="false">
      <c r="A211" s="41" t="n">
        <v>102.5</v>
      </c>
      <c r="B211" s="42" t="n">
        <f aca="false">180-DEGREES(ASIN((P2_a*SIN(RADIANS($A211))-P2_c)/P2_b))</f>
        <v>155.771196643226</v>
      </c>
      <c r="C211" s="42" t="n">
        <f aca="false">P2_a*COS(RADIANS($A211))-P2_b*COS(RADIANS(B211))</f>
        <v>112.797251891792</v>
      </c>
      <c r="D211" s="43" t="n">
        <f aca="false">90-DEGREES(ASIN(ABS((P2_a*SIN(RADIANS($A211))-P2_c)/P2_b)))</f>
        <v>65.7711966432258</v>
      </c>
      <c r="E211" s="44" t="n">
        <f aca="false">P2_a*P2_w2*COS(RADIANS($A211))/(P2_b*COS(RADIANS(B211)))</f>
        <v>0.197709204173343</v>
      </c>
      <c r="F211" s="42" t="n">
        <f aca="false">-P2_a*P2_w2*SIN(RADIANS($A211))+P2_b*E211*SIN(RADIANS(B211))</f>
        <v>-96.6393739147439</v>
      </c>
      <c r="G211" s="44" t="n">
        <f aca="false">(P2_a*P2_al2*COS(RADIANS($A211))-P2_a*P2_w2^2*SIN(RADIANS($A211))+P2_b*E211^2*SIN(RADIANS(B211)))/(P2_b*COS(RADIANS(B211)))</f>
        <v>2.78410842385304</v>
      </c>
      <c r="H211" s="42" t="n">
        <f aca="false">-P2_a*P2_al2*SIN(RADIANS($A211))-P2_a*P2_w2^2*COS(RADIANS($A211))+P2_b*G211*SIN(RADIANS(B211))+P2_b*E211^2*COS(RADIANS(B211))</f>
        <v>220.876986548119</v>
      </c>
      <c r="I211" s="45" t="n">
        <v>45</v>
      </c>
    </row>
    <row r="212" customFormat="false" ht="15" hidden="false" customHeight="false" outlineLevel="0" collapsed="false">
      <c r="A212" s="41" t="n">
        <v>103</v>
      </c>
      <c r="B212" s="42" t="n">
        <f aca="false">180-DEGREES(ASIN((P2_a*SIN(RADIANS($A212))-P2_c)/P2_b))</f>
        <v>155.80327790836</v>
      </c>
      <c r="C212" s="42" t="n">
        <f aca="false">P2_a*COS(RADIANS($A212))-P2_b*COS(RADIANS(B212))</f>
        <v>112.52966387552</v>
      </c>
      <c r="D212" s="43" t="n">
        <f aca="false">90-DEGREES(ASIN(ABS((P2_a*SIN(RADIANS($A212))-P2_c)/P2_b)))</f>
        <v>65.8032779083603</v>
      </c>
      <c r="E212" s="44" t="n">
        <f aca="false">P2_a*P2_w2*COS(RADIANS($A212))/(P2_b*COS(RADIANS(B212)))</f>
        <v>0.20543234307219</v>
      </c>
      <c r="F212" s="42" t="n">
        <f aca="false">-P2_a*P2_w2*SIN(RADIANS($A212))+P2_b*E212*SIN(RADIANS(B212))</f>
        <v>-96.0230880578168</v>
      </c>
      <c r="G212" s="44" t="n">
        <f aca="false">(P2_a*P2_al2*COS(RADIANS($A212))-P2_a*P2_w2^2*SIN(RADIANS($A212))+P2_b*E212^2*SIN(RADIANS(B212)))/(P2_b*COS(RADIANS(B212)))</f>
        <v>2.77650480011833</v>
      </c>
      <c r="H212" s="42" t="n">
        <f aca="false">-P2_a*P2_al2*SIN(RADIANS($A212))-P2_a*P2_w2^2*COS(RADIANS($A212))+P2_b*G212*SIN(RADIANS(B212))+P2_b*E212^2*COS(RADIANS(B212))</f>
        <v>222.842034511924</v>
      </c>
      <c r="I212" s="45" t="n">
        <v>45</v>
      </c>
    </row>
    <row r="213" customFormat="false" ht="15" hidden="false" customHeight="false" outlineLevel="0" collapsed="false">
      <c r="A213" s="41" t="n">
        <v>103.5</v>
      </c>
      <c r="B213" s="42" t="n">
        <f aca="false">180-DEGREES(ASIN((P2_a*SIN(RADIANS($A213))-P2_c)/P2_b))</f>
        <v>155.836586647811</v>
      </c>
      <c r="C213" s="42" t="n">
        <f aca="false">P2_a*COS(RADIANS($A213))-P2_b*COS(RADIANS(B213))</f>
        <v>112.263795293221</v>
      </c>
      <c r="D213" s="43" t="n">
        <f aca="false">90-DEGREES(ASIN(ABS((P2_a*SIN(RADIANS($A213))-P2_c)/P2_b)))</f>
        <v>65.836586647811</v>
      </c>
      <c r="E213" s="44" t="n">
        <f aca="false">P2_a*P2_w2*COS(RADIANS($A213))/(P2_b*COS(RADIANS(B213)))</f>
        <v>0.213133971862878</v>
      </c>
      <c r="F213" s="42" t="n">
        <f aca="false">-P2_a*P2_w2*SIN(RADIANS($A213))+P2_b*E213*SIN(RADIANS(B213))</f>
        <v>-95.4014002960964</v>
      </c>
      <c r="G213" s="44" t="n">
        <f aca="false">(P2_a*P2_al2*COS(RADIANS($A213))-P2_a*P2_w2^2*SIN(RADIANS($A213))+P2_b*E213^2*SIN(RADIANS(B213)))/(P2_b*COS(RADIANS(B213)))</f>
        <v>2.76862148250027</v>
      </c>
      <c r="H213" s="42" t="n">
        <f aca="false">-P2_a*P2_al2*SIN(RADIANS($A213))-P2_a*P2_w2^2*COS(RADIANS($A213))+P2_b*G213*SIN(RADIANS(B213))+P2_b*E213^2*COS(RADIANS(B213))</f>
        <v>224.766383969712</v>
      </c>
      <c r="I213" s="45" t="n">
        <v>45</v>
      </c>
    </row>
    <row r="214" customFormat="false" ht="15" hidden="false" customHeight="false" outlineLevel="0" collapsed="false">
      <c r="A214" s="41" t="n">
        <v>104</v>
      </c>
      <c r="B214" s="42" t="n">
        <f aca="false">180-DEGREES(ASIN((P2_a*SIN(RADIANS($A214))-P2_c)/P2_b))</f>
        <v>155.871119376462</v>
      </c>
      <c r="C214" s="42" t="n">
        <f aca="false">P2_a*COS(RADIANS($A214))-P2_b*COS(RADIANS(B214))</f>
        <v>111.999660993375</v>
      </c>
      <c r="D214" s="43" t="n">
        <f aca="false">90-DEGREES(ASIN(ABS((P2_a*SIN(RADIANS($A214))-P2_c)/P2_b)))</f>
        <v>65.871119376462</v>
      </c>
      <c r="E214" s="44" t="n">
        <f aca="false">P2_a*P2_w2*COS(RADIANS($A214))/(P2_b*COS(RADIANS(B214)))</f>
        <v>0.220813316451653</v>
      </c>
      <c r="F214" s="42" t="n">
        <f aca="false">-P2_a*P2_w2*SIN(RADIANS($A214))+P2_b*E214*SIN(RADIANS(B214))</f>
        <v>-94.7744234586801</v>
      </c>
      <c r="G214" s="44" t="n">
        <f aca="false">(P2_a*P2_al2*COS(RADIANS($A214))-P2_a*P2_w2^2*SIN(RADIANS($A214))+P2_b*E214^2*SIN(RADIANS(B214)))/(P2_b*COS(RADIANS(B214)))</f>
        <v>2.76046052177863</v>
      </c>
      <c r="H214" s="42" t="n">
        <f aca="false">-P2_a*P2_al2*SIN(RADIANS($A214))-P2_a*P2_w2^2*COS(RADIANS($A214))+P2_b*G214*SIN(RADIANS(B214))+P2_b*E214^2*COS(RADIANS(B214))</f>
        <v>226.650197095337</v>
      </c>
      <c r="I214" s="45" t="n">
        <v>45</v>
      </c>
    </row>
    <row r="215" customFormat="false" ht="15" hidden="false" customHeight="false" outlineLevel="0" collapsed="false">
      <c r="A215" s="41" t="n">
        <v>104.5</v>
      </c>
      <c r="B215" s="42" t="n">
        <f aca="false">180-DEGREES(ASIN((P2_a*SIN(RADIANS($A215))-P2_c)/P2_b))</f>
        <v>155.906872486454</v>
      </c>
      <c r="C215" s="42" t="n">
        <f aca="false">P2_a*COS(RADIANS($A215))-P2_b*COS(RADIANS(B215))</f>
        <v>111.73727551169</v>
      </c>
      <c r="D215" s="43" t="n">
        <f aca="false">90-DEGREES(ASIN(ABS((P2_a*SIN(RADIANS($A215))-P2_c)/P2_b)))</f>
        <v>65.9068724864543</v>
      </c>
      <c r="E215" s="44" t="n">
        <f aca="false">P2_a*P2_w2*COS(RADIANS($A215))/(P2_b*COS(RADIANS(B215)))</f>
        <v>0.228469608528308</v>
      </c>
      <c r="F215" s="42" t="n">
        <f aca="false">-P2_a*P2_w2*SIN(RADIANS($A215))+P2_b*E215*SIN(RADIANS(B215))</f>
        <v>-94.1422699066916</v>
      </c>
      <c r="G215" s="44" t="n">
        <f aca="false">(P2_a*P2_al2*COS(RADIANS($A215))-P2_a*P2_w2^2*SIN(RADIANS($A215))+P2_b*E215^2*SIN(RADIANS(B215)))/(P2_b*COS(RADIANS(B215)))</f>
        <v>2.75202403107529</v>
      </c>
      <c r="H215" s="42" t="n">
        <f aca="false">-P2_a*P2_al2*SIN(RADIANS($A215))-P2_a*P2_w2^2*COS(RADIANS($A215))+P2_b*G215*SIN(RADIANS(B215))+P2_b*E215^2*COS(RADIANS(B215))</f>
        <v>228.493648616637</v>
      </c>
      <c r="I215" s="45" t="n">
        <v>45</v>
      </c>
    </row>
    <row r="216" customFormat="false" ht="15" hidden="false" customHeight="false" outlineLevel="0" collapsed="false">
      <c r="A216" s="41" t="n">
        <v>105</v>
      </c>
      <c r="B216" s="42" t="n">
        <f aca="false">180-DEGREES(ASIN((P2_a*SIN(RADIANS($A216))-P2_c)/P2_b))</f>
        <v>155.94384224812</v>
      </c>
      <c r="C216" s="42" t="n">
        <f aca="false">P2_a*COS(RADIANS($A216))-P2_b*COS(RADIANS(B216))</f>
        <v>111.476653072447</v>
      </c>
      <c r="D216" s="43" t="n">
        <f aca="false">90-DEGREES(ASIN(ABS((P2_a*SIN(RADIANS($A216))-P2_c)/P2_b)))</f>
        <v>65.9438422481203</v>
      </c>
      <c r="E216" s="44" t="n">
        <f aca="false">P2_a*P2_w2*COS(RADIANS($A216))/(P2_b*COS(RADIANS(B216)))</f>
        <v>0.236102085737221</v>
      </c>
      <c r="F216" s="42" t="n">
        <f aca="false">-P2_a*P2_w2*SIN(RADIANS($A216))+P2_b*E216*SIN(RADIANS(B216))</f>
        <v>-93.5050514987387</v>
      </c>
      <c r="G216" s="44" t="n">
        <f aca="false">(P2_a*P2_al2*COS(RADIANS($A216))-P2_a*P2_w2^2*SIN(RADIANS($A216))+P2_b*E216^2*SIN(RADIANS(B216)))/(P2_b*COS(RADIANS(B216)))</f>
        <v>2.74331418430793</v>
      </c>
      <c r="H216" s="42" t="n">
        <f aca="false">-P2_a*P2_al2*SIN(RADIANS($A216))-P2_a*P2_w2^2*COS(RADIANS($A216))+P2_b*G216*SIN(RADIANS(B216))+P2_b*E216^2*COS(RADIANS(B216))</f>
        <v>230.296925577188</v>
      </c>
      <c r="I216" s="45" t="n">
        <v>45</v>
      </c>
    </row>
    <row r="217" customFormat="false" ht="15" hidden="false" customHeight="false" outlineLevel="0" collapsed="false">
      <c r="A217" s="41" t="n">
        <v>105.5</v>
      </c>
      <c r="B217" s="42" t="n">
        <f aca="false">180-DEGREES(ASIN((P2_a*SIN(RADIANS($A217))-P2_c)/P2_b))</f>
        <v>155.982024810945</v>
      </c>
      <c r="C217" s="42" t="n">
        <f aca="false">P2_a*COS(RADIANS($A217))-P2_b*COS(RADIANS(B217))</f>
        <v>111.217807589951</v>
      </c>
      <c r="D217" s="43" t="n">
        <f aca="false">90-DEGREES(ASIN(ABS((P2_a*SIN(RADIANS($A217))-P2_c)/P2_b)))</f>
        <v>65.9820248109445</v>
      </c>
      <c r="E217" s="44" t="n">
        <f aca="false">P2_a*P2_w2*COS(RADIANS($A217))/(P2_b*COS(RADIANS(B217)))</f>
        <v>0.243709991844044</v>
      </c>
      <c r="F217" s="42" t="n">
        <f aca="false">-P2_a*P2_w2*SIN(RADIANS($A217))+P2_b*E217*SIN(RADIANS(B217))</f>
        <v>-92.8628795570404</v>
      </c>
      <c r="G217" s="44" t="n">
        <f aca="false">(P2_a*P2_al2*COS(RADIANS($A217))-P2_a*P2_w2^2*SIN(RADIANS($A217))+P2_b*E217^2*SIN(RADIANS(B217)))/(P2_b*COS(RADIANS(B217)))</f>
        <v>2.73433321460914</v>
      </c>
      <c r="H217" s="42" t="n">
        <f aca="false">-P2_a*P2_al2*SIN(RADIANS($A217))-P2_a*P2_w2^2*COS(RADIANS($A217))+P2_b*G217*SIN(RADIANS(B217))+P2_b*E217^2*COS(RADIANS(B217))</f>
        <v>232.060227091977</v>
      </c>
      <c r="I217" s="45" t="n">
        <v>45</v>
      </c>
    </row>
    <row r="218" customFormat="false" ht="15" hidden="false" customHeight="false" outlineLevel="0" collapsed="false">
      <c r="A218" s="41" t="n">
        <v>106</v>
      </c>
      <c r="B218" s="42" t="n">
        <f aca="false">180-DEGREES(ASIN((P2_a*SIN(RADIANS($A218))-P2_c)/P2_b))</f>
        <v>156.021416204551</v>
      </c>
      <c r="C218" s="42" t="n">
        <f aca="false">P2_a*COS(RADIANS($A218))-P2_b*COS(RADIANS(B218))</f>
        <v>110.960752670057</v>
      </c>
      <c r="D218" s="43" t="n">
        <f aca="false">90-DEGREES(ASIN(ABS((P2_a*SIN(RADIANS($A218))-P2_c)/P2_b)))</f>
        <v>66.021416204551</v>
      </c>
      <c r="E218" s="44" t="n">
        <f aca="false">P2_a*P2_w2*COS(RADIANS($A218))/(P2_b*COS(RADIANS(B218)))</f>
        <v>0.251292576897954</v>
      </c>
      <c r="F218" s="42" t="n">
        <f aca="false">-P2_a*P2_w2*SIN(RADIANS($A218))+P2_b*E218*SIN(RADIANS(B218))</f>
        <v>-92.2158648342416</v>
      </c>
      <c r="G218" s="44" t="n">
        <f aca="false">(P2_a*P2_al2*COS(RADIANS($A218))-P2_a*P2_w2^2*SIN(RADIANS($A218))+P2_b*E218^2*SIN(RADIANS(B218)))/(P2_b*COS(RADIANS(B218)))</f>
        <v>2.72508341271284</v>
      </c>
      <c r="H218" s="42" t="n">
        <f aca="false">-P2_a*P2_al2*SIN(RADIANS($A218))-P2_a*P2_w2^2*COS(RADIANS($A218))+P2_b*G218*SIN(RADIANS(B218))+P2_b*E218^2*COS(RADIANS(B218))</f>
        <v>233.783764097277</v>
      </c>
      <c r="I218" s="45" t="n">
        <v>45</v>
      </c>
    </row>
    <row r="219" customFormat="false" ht="15" hidden="false" customHeight="false" outlineLevel="0" collapsed="false">
      <c r="A219" s="41" t="n">
        <v>106.5</v>
      </c>
      <c r="B219" s="42" t="n">
        <f aca="false">180-DEGREES(ASIN((P2_a*SIN(RADIANS($A219))-P2_c)/P2_b))</f>
        <v>156.062012339716</v>
      </c>
      <c r="C219" s="42" t="n">
        <f aca="false">P2_a*COS(RADIANS($A219))-P2_b*COS(RADIANS(B219))</f>
        <v>110.705501611806</v>
      </c>
      <c r="D219" s="43" t="n">
        <f aca="false">90-DEGREES(ASIN(ABS((P2_a*SIN(RADIANS($A219))-P2_c)/P2_b)))</f>
        <v>66.0620123397161</v>
      </c>
      <c r="E219" s="44" t="n">
        <f aca="false">P2_a*P2_w2*COS(RADIANS($A219))/(P2_b*COS(RADIANS(B219)))</f>
        <v>0.258849097389379</v>
      </c>
      <c r="F219" s="42" t="n">
        <f aca="false">-P2_a*P2_w2*SIN(RADIANS($A219))+P2_b*E219*SIN(RADIANS(B219))</f>
        <v>-91.56411748093</v>
      </c>
      <c r="G219" s="44" t="n">
        <f aca="false">(P2_a*P2_al2*COS(RADIANS($A219))-P2_a*P2_w2^2*SIN(RADIANS($A219))+P2_b*E219^2*SIN(RADIANS(B219)))/(P2_b*COS(RADIANS(B219)))</f>
        <v>2.71556712531019</v>
      </c>
      <c r="H219" s="42" t="n">
        <f aca="false">-P2_a*P2_al2*SIN(RADIANS($A219))-P2_a*P2_w2^2*COS(RADIANS($A219))+P2_b*G219*SIN(RADIANS(B219))+P2_b*E219^2*COS(RADIANS(B219))</f>
        <v>235.467759095055</v>
      </c>
      <c r="I219" s="45" t="n">
        <v>45</v>
      </c>
    </row>
    <row r="220" customFormat="false" ht="15" hidden="false" customHeight="false" outlineLevel="0" collapsed="false">
      <c r="A220" s="41" t="n">
        <v>107</v>
      </c>
      <c r="B220" s="42" t="n">
        <f aca="false">180-DEGREES(ASIN((P2_a*SIN(RADIANS($A220))-P2_c)/P2_b))</f>
        <v>156.103809009405</v>
      </c>
      <c r="C220" s="42" t="n">
        <f aca="false">P2_a*COS(RADIANS($A220))-P2_b*COS(RADIANS(B220))</f>
        <v>110.452067409137</v>
      </c>
      <c r="D220" s="43" t="n">
        <f aca="false">90-DEGREES(ASIN(ABS((P2_a*SIN(RADIANS($A220))-P2_c)/P2_b)))</f>
        <v>66.1038090094054</v>
      </c>
      <c r="E220" s="44" t="n">
        <f aca="false">P2_a*P2_w2*COS(RADIANS($A220))/(P2_b*COS(RADIANS(B220)))</f>
        <v>0.266378816403119</v>
      </c>
      <c r="F220" s="42" t="n">
        <f aca="false">-P2_a*P2_w2*SIN(RADIANS($A220))+P2_b*E220*SIN(RADIANS(B220))</f>
        <v>-90.9077470138697</v>
      </c>
      <c r="G220" s="44" t="n">
        <f aca="false">(P2_a*P2_al2*COS(RADIANS($A220))-P2_a*P2_w2^2*SIN(RADIANS($A220))+P2_b*E220^2*SIN(RADIANS(B220)))/(P2_b*COS(RADIANS(B220)))</f>
        <v>2.70578675337699</v>
      </c>
      <c r="H220" s="42" t="n">
        <f aca="false">-P2_a*P2_al2*SIN(RADIANS($A220))-P2_a*P2_w2^2*COS(RADIANS($A220))+P2_b*G220*SIN(RADIANS(B220))+P2_b*E220^2*COS(RADIANS(B220))</f>
        <v>237.112445892206</v>
      </c>
      <c r="I220" s="45" t="n">
        <v>45</v>
      </c>
    </row>
    <row r="221" customFormat="false" ht="15" hidden="false" customHeight="false" outlineLevel="0" collapsed="false">
      <c r="A221" s="41" t="n">
        <v>107.5</v>
      </c>
      <c r="B221" s="42" t="n">
        <f aca="false">180-DEGREES(ASIN((P2_a*SIN(RADIANS($A221))-P2_c)/P2_b))</f>
        <v>156.146801889836</v>
      </c>
      <c r="C221" s="42" t="n">
        <f aca="false">P2_a*COS(RADIANS($A221))-P2_b*COS(RADIANS(B221))</f>
        <v>110.200462752691</v>
      </c>
      <c r="D221" s="43" t="n">
        <f aca="false">90-DEGREES(ASIN(ABS((P2_a*SIN(RADIANS($A221))-P2_c)/P2_b)))</f>
        <v>66.1468018898356</v>
      </c>
      <c r="E221" s="44" t="n">
        <f aca="false">P2_a*P2_w2*COS(RADIANS($A221))/(P2_b*COS(RADIANS(B221)))</f>
        <v>0.273881003766784</v>
      </c>
      <c r="F221" s="42" t="n">
        <f aca="false">-P2_a*P2_w2*SIN(RADIANS($A221))+P2_b*E221*SIN(RADIANS(B221))</f>
        <v>-90.2468622849672</v>
      </c>
      <c r="G221" s="44" t="n">
        <f aca="false">(P2_a*P2_al2*COS(RADIANS($A221))-P2_a*P2_w2^2*SIN(RADIANS($A221))+P2_b*E221^2*SIN(RADIANS(B221)))/(P2_b*COS(RADIANS(B221)))</f>
        <v>2.69574475047462</v>
      </c>
      <c r="H221" s="42" t="n">
        <f aca="false">-P2_a*P2_al2*SIN(RADIANS($A221))-P2_a*P2_w2^2*COS(RADIANS($A221))+P2_b*G221*SIN(RADIANS(B221))+P2_b*E221^2*COS(RADIANS(B221))</f>
        <v>238.718069334926</v>
      </c>
      <c r="I221" s="45" t="n">
        <v>45</v>
      </c>
    </row>
    <row r="222" customFormat="false" ht="15" hidden="false" customHeight="false" outlineLevel="0" collapsed="false">
      <c r="A222" s="41" t="n">
        <v>108</v>
      </c>
      <c r="B222" s="42" t="n">
        <f aca="false">180-DEGREES(ASIN((P2_a*SIN(RADIANS($A222))-P2_c)/P2_b))</f>
        <v>156.190986541559</v>
      </c>
      <c r="C222" s="42" t="n">
        <f aca="false">P2_a*COS(RADIANS($A222))-P2_b*COS(RADIANS(B222))</f>
        <v>109.950700031703</v>
      </c>
      <c r="D222" s="43" t="n">
        <f aca="false">90-DEGREES(ASIN(ABS((P2_a*SIN(RADIANS($A222))-P2_c)/P2_b)))</f>
        <v>66.1909865415589</v>
      </c>
      <c r="E222" s="44" t="n">
        <f aca="false">P2_a*P2_w2*COS(RADIANS($A222))/(P2_b*COS(RADIANS(B222)))</f>
        <v>0.281354936194475</v>
      </c>
      <c r="F222" s="42" t="n">
        <f aca="false">-P2_a*P2_w2*SIN(RADIANS($A222))+P2_b*E222*SIN(RADIANS(B222))</f>
        <v>-89.5815714509803</v>
      </c>
      <c r="G222" s="44" t="n">
        <f aca="false">(P2_a*P2_al2*COS(RADIANS($A222))-P2_a*P2_w2^2*SIN(RADIANS($A222))+P2_b*E222^2*SIN(RADIANS(B222)))/(P2_b*COS(RADIANS(B222)))</f>
        <v>2.68544362102672</v>
      </c>
      <c r="H222" s="42" t="n">
        <f aca="false">-P2_a*P2_al2*SIN(RADIANS($A222))-P2_a*P2_w2^2*COS(RADIANS($A222))+P2_b*G222*SIN(RADIANS(B222))+P2_b*E222^2*COS(RADIANS(B222))</f>
        <v>240.284885038549</v>
      </c>
      <c r="I222" s="45" t="n">
        <v>45</v>
      </c>
    </row>
    <row r="223" customFormat="false" ht="15" hidden="false" customHeight="false" outlineLevel="0" collapsed="false">
      <c r="A223" s="41" t="n">
        <v>108.5</v>
      </c>
      <c r="B223" s="42" t="n">
        <f aca="false">180-DEGREES(ASIN((P2_a*SIN(RADIANS($A223))-P2_c)/P2_b))</f>
        <v>156.236358410571</v>
      </c>
      <c r="C223" s="42" t="n">
        <f aca="false">P2_a*COS(RADIANS($A223))-P2_b*COS(RADIANS(B223))</f>
        <v>109.702791335971</v>
      </c>
      <c r="D223" s="43" t="n">
        <f aca="false">90-DEGREES(ASIN(ABS((P2_a*SIN(RADIANS($A223))-P2_c)/P2_b)))</f>
        <v>66.2363584105705</v>
      </c>
      <c r="E223" s="44" t="n">
        <f aca="false">P2_a*P2_w2*COS(RADIANS($A223))/(P2_b*COS(RADIANS(B223)))</f>
        <v>0.288799897425651</v>
      </c>
      <c r="F223" s="42" t="n">
        <f aca="false">-P2_a*P2_w2*SIN(RADIANS($A223))+P2_b*E223*SIN(RADIANS(B223))</f>
        <v>-88.9119819439841</v>
      </c>
      <c r="G223" s="44" t="n">
        <f aca="false">(P2_a*P2_al2*COS(RADIANS($A223))-P2_a*P2_w2^2*SIN(RADIANS($A223))+P2_b*E223^2*SIN(RADIANS(B223)))/(P2_b*COS(RADIANS(B223)))</f>
        <v>2.67488591857361</v>
      </c>
      <c r="H223" s="42" t="n">
        <f aca="false">-P2_a*P2_al2*SIN(RADIANS($A223))-P2_a*P2_w2^2*COS(RADIANS($A223))+P2_b*G223*SIN(RADIANS(B223))+P2_b*E223^2*COS(RADIANS(B223))</f>
        <v>241.813159113155</v>
      </c>
      <c r="I223" s="45" t="n">
        <v>45</v>
      </c>
    </row>
    <row r="224" customFormat="false" ht="15" hidden="false" customHeight="false" outlineLevel="0" collapsed="false">
      <c r="A224" s="41" t="n">
        <v>109</v>
      </c>
      <c r="B224" s="42" t="n">
        <f aca="false">180-DEGREES(ASIN((P2_a*SIN(RADIANS($A224))-P2_c)/P2_b))</f>
        <v>156.282912829437</v>
      </c>
      <c r="C224" s="42" t="n">
        <f aca="false">P2_a*COS(RADIANS($A224))-P2_b*COS(RADIANS(B224))</f>
        <v>109.456748457911</v>
      </c>
      <c r="D224" s="43" t="n">
        <f aca="false">90-DEGREES(ASIN(ABS((P2_a*SIN(RADIANS($A224))-P2_c)/P2_b)))</f>
        <v>66.2829128294368</v>
      </c>
      <c r="E224" s="44" t="n">
        <f aca="false">P2_a*P2_w2*COS(RADIANS($A224))/(P2_b*COS(RADIANS(B224)))</f>
        <v>0.296215178359113</v>
      </c>
      <c r="F224" s="42" t="n">
        <f aca="false">-P2_a*P2_w2*SIN(RADIANS($A224))+P2_b*E224*SIN(RADIANS(B224))</f>
        <v>-88.238200442605</v>
      </c>
      <c r="G224" s="44" t="n">
        <f aca="false">(P2_a*P2_al2*COS(RADIANS($A224))-P2_a*P2_w2^2*SIN(RADIANS($A224))+P2_b*E224^2*SIN(RADIANS(B224)))/(P2_b*COS(RADIANS(B224)))</f>
        <v>2.66407424400659</v>
      </c>
      <c r="H224" s="42" t="n">
        <f aca="false">-P2_a*P2_al2*SIN(RADIANS($A224))-P2_a*P2_w2^2*COS(RADIANS($A224))+P2_b*G224*SIN(RADIANS(B224))+P2_b*E224^2*COS(RADIANS(B224))</f>
        <v>243.303167885269</v>
      </c>
      <c r="I224" s="45" t="n">
        <v>45</v>
      </c>
    </row>
    <row r="225" customFormat="false" ht="15" hidden="false" customHeight="false" outlineLevel="0" collapsed="false">
      <c r="A225" s="41" t="n">
        <v>109.5</v>
      </c>
      <c r="B225" s="42" t="n">
        <f aca="false">180-DEGREES(ASIN((P2_a*SIN(RADIANS($A225))-P2_c)/P2_b))</f>
        <v>156.330645018446</v>
      </c>
      <c r="C225" s="42" t="n">
        <f aca="false">P2_a*COS(RADIANS($A225))-P2_b*COS(RADIANS(B225))</f>
        <v>109.212582894688</v>
      </c>
      <c r="D225" s="43" t="n">
        <f aca="false">90-DEGREES(ASIN(ABS((P2_a*SIN(RADIANS($A225))-P2_c)/P2_b)))</f>
        <v>66.3306450184458</v>
      </c>
      <c r="E225" s="44" t="n">
        <f aca="false">P2_a*P2_w2*COS(RADIANS($A225))/(P2_b*COS(RADIANS(B225)))</f>
        <v>0.303600077182063</v>
      </c>
      <c r="F225" s="42" t="n">
        <f aca="false">-P2_a*P2_w2*SIN(RADIANS($A225))+P2_b*E225*SIN(RADIANS(B225))</f>
        <v>-87.5603328440318</v>
      </c>
      <c r="G225" s="44" t="n">
        <f aca="false">(P2_a*P2_al2*COS(RADIANS($A225))-P2_a*P2_w2^2*SIN(RADIANS($A225))+P2_b*E225^2*SIN(RADIANS(B225)))/(P2_b*COS(RADIANS(B225)))</f>
        <v>2.65301124378427</v>
      </c>
      <c r="H225" s="42" t="n">
        <f aca="false">-P2_a*P2_al2*SIN(RADIANS($A225))-P2_a*P2_w2^2*COS(RADIANS($A225))+P2_b*G225*SIN(RADIANS(B225))+P2_b*E225^2*COS(RADIANS(B225))</f>
        <v>244.755197615963</v>
      </c>
      <c r="I225" s="45" t="n">
        <v>45</v>
      </c>
    </row>
    <row r="226" customFormat="false" ht="15" hidden="false" customHeight="false" outlineLevel="0" collapsed="false">
      <c r="A226" s="41" t="n">
        <v>110</v>
      </c>
      <c r="B226" s="42" t="n">
        <f aca="false">180-DEGREES(ASIN((P2_a*SIN(RADIANS($A226))-P2_c)/P2_b))</f>
        <v>156.379550086777</v>
      </c>
      <c r="C226" s="42" t="n">
        <f aca="false">P2_a*COS(RADIANS($A226))-P2_b*COS(RADIANS(B226))</f>
        <v>108.970305850426</v>
      </c>
      <c r="D226" s="43" t="n">
        <f aca="false">90-DEGREES(ASIN(ABS((P2_a*SIN(RADIANS($A226))-P2_c)/P2_b)))</f>
        <v>66.3795500867766</v>
      </c>
      <c r="E226" s="44" t="n">
        <f aca="false">P2_a*P2_w2*COS(RADIANS($A226))/(P2_b*COS(RADIANS(B226)))</f>
        <v>0.310953899494185</v>
      </c>
      <c r="F226" s="42" t="n">
        <f aca="false">-P2_a*P2_w2*SIN(RADIANS($A226))+P2_b*E226*SIN(RADIANS(B226))</f>
        <v>-86.8784842368154</v>
      </c>
      <c r="G226" s="44" t="n">
        <f aca="false">(P2_a*P2_al2*COS(RADIANS($A226))-P2_a*P2_w2^2*SIN(RADIANS($A226))+P2_b*E226^2*SIN(RADIANS(B226)))/(P2_b*COS(RADIANS(B226)))</f>
        <v>2.64169960813299</v>
      </c>
      <c r="H226" s="42" t="n">
        <f aca="false">-P2_a*P2_al2*SIN(RADIANS($A226))-P2_a*P2_w2^2*COS(RADIANS($A226))+P2_b*G226*SIN(RADIANS(B226))+P2_b*E226^2*COS(RADIANS(B226))</f>
        <v>246.169544215697</v>
      </c>
      <c r="I226" s="45" t="n">
        <v>45</v>
      </c>
    </row>
    <row r="227" customFormat="false" ht="15" hidden="false" customHeight="false" outlineLevel="0" collapsed="false">
      <c r="A227" s="41" t="n">
        <v>110.5</v>
      </c>
      <c r="B227" s="42" t="n">
        <f aca="false">180-DEGREES(ASIN((P2_a*SIN(RADIANS($A227))-P2_c)/P2_b))</f>
        <v>156.429623033689</v>
      </c>
      <c r="C227" s="42" t="n">
        <f aca="false">P2_a*COS(RADIANS($A227))-P2_b*COS(RADIANS(B227))</f>
        <v>108.729928238489</v>
      </c>
      <c r="D227" s="43" t="n">
        <f aca="false">90-DEGREES(ASIN(ABS((P2_a*SIN(RADIANS($A227))-P2_c)/P2_b)))</f>
        <v>66.429623033689</v>
      </c>
      <c r="E227" s="44" t="n">
        <f aca="false">P2_a*P2_w2*COS(RADIANS($A227))/(P2_b*COS(RADIANS(B227)))</f>
        <v>0.318275958426704</v>
      </c>
      <c r="F227" s="42" t="n">
        <f aca="false">-P2_a*P2_w2*SIN(RADIANS($A227))+P2_b*E227*SIN(RADIANS(B227))</f>
        <v>-86.1927588744645</v>
      </c>
      <c r="G227" s="44" t="n">
        <f aca="false">(P2_a*P2_al2*COS(RADIANS($A227))-P2_a*P2_w2^2*SIN(RADIANS($A227))+P2_b*E227^2*SIN(RADIANS(B227)))/(P2_b*COS(RADIANS(B227)))</f>
        <v>2.63014206923346</v>
      </c>
      <c r="H227" s="42" t="n">
        <f aca="false">-P2_a*P2_al2*SIN(RADIANS($A227))-P2_a*P2_w2^2*COS(RADIANS($A227))+P2_b*G227*SIN(RADIANS(B227))+P2_b*E227^2*COS(RADIANS(B227))</f>
        <v>247.546512956189</v>
      </c>
      <c r="I227" s="45" t="n">
        <v>45</v>
      </c>
    </row>
    <row r="228" customFormat="false" ht="15" hidden="false" customHeight="false" outlineLevel="0" collapsed="false">
      <c r="A228" s="41" t="n">
        <v>111</v>
      </c>
      <c r="B228" s="42" t="n">
        <f aca="false">180-DEGREES(ASIN((P2_a*SIN(RADIANS($A228))-P2_c)/P2_b))</f>
        <v>156.480858749731</v>
      </c>
      <c r="C228" s="42" t="n">
        <f aca="false">P2_a*COS(RADIANS($A228))-P2_b*COS(RADIANS(B228))</f>
        <v>108.491460683839</v>
      </c>
      <c r="D228" s="43" t="n">
        <f aca="false">90-DEGREES(ASIN(ABS((P2_a*SIN(RADIANS($A228))-P2_c)/P2_b)))</f>
        <v>66.4808587497312</v>
      </c>
      <c r="E228" s="44" t="n">
        <f aca="false">P2_a*P2_w2*COS(RADIANS($A228))/(P2_b*COS(RADIANS(B228)))</f>
        <v>0.325565574756395</v>
      </c>
      <c r="F228" s="42" t="n">
        <f aca="false">-P2_a*P2_w2*SIN(RADIANS($A228))+P2_b*E228*SIN(RADIANS(B228))</f>
        <v>-85.5032601498455</v>
      </c>
      <c r="G228" s="44" t="n">
        <f aca="false">(P2_a*P2_al2*COS(RADIANS($A228))-P2_a*P2_w2^2*SIN(RADIANS($A228))+P2_b*E228^2*SIN(RADIANS(B228)))/(P2_b*COS(RADIANS(B228)))</f>
        <v>2.61834139939568</v>
      </c>
      <c r="H228" s="42" t="n">
        <f aca="false">-P2_a*P2_al2*SIN(RADIANS($A228))-P2_a*P2_w2^2*COS(RADIANS($A228))+P2_b*G228*SIN(RADIANS(B228))+P2_b*E228^2*COS(RADIANS(B228))</f>
        <v>248.886418179652</v>
      </c>
      <c r="I228" s="45" t="n">
        <v>45</v>
      </c>
    </row>
    <row r="229" customFormat="false" ht="15" hidden="false" customHeight="false" outlineLevel="0" collapsed="false">
      <c r="A229" s="41" t="n">
        <v>111.5</v>
      </c>
      <c r="B229" s="42" t="n">
        <f aca="false">180-DEGREES(ASIN((P2_a*SIN(RADIANS($A229))-P2_c)/P2_b))</f>
        <v>156.533252017965</v>
      </c>
      <c r="C229" s="42" t="n">
        <f aca="false">P2_a*COS(RADIANS($A229))-P2_b*COS(RADIANS(B229))</f>
        <v>108.254913525457</v>
      </c>
      <c r="D229" s="43" t="n">
        <f aca="false">90-DEGREES(ASIN(ABS((P2_a*SIN(RADIANS($A229))-P2_c)/P2_b)))</f>
        <v>66.5332520179651</v>
      </c>
      <c r="E229" s="44" t="n">
        <f aca="false">P2_a*P2_w2*COS(RADIANS($A229))/(P2_b*COS(RADIANS(B229)))</f>
        <v>0.332822077014505</v>
      </c>
      <c r="F229" s="42" t="n">
        <f aca="false">-P2_a*P2_w2*SIN(RADIANS($A229))+P2_b*E229*SIN(RADIANS(B229))</f>
        <v>-84.8100905703926</v>
      </c>
      <c r="G229" s="44" t="n">
        <f aca="false">(P2_a*P2_al2*COS(RADIANS($A229))-P2_a*P2_w2^2*SIN(RADIANS($A229))+P2_b*E229^2*SIN(RADIANS(B229)))/(P2_b*COS(RADIANS(B229)))</f>
        <v>2.60630040922426</v>
      </c>
      <c r="H229" s="42" t="n">
        <f aca="false">-P2_a*P2_al2*SIN(RADIANS($A229))-P2_a*P2_w2^2*COS(RADIANS($A229))+P2_b*G229*SIN(RADIANS(B229))+P2_b*E229^2*COS(RADIANS(B229))</f>
        <v>250.189583005705</v>
      </c>
      <c r="I229" s="45" t="n">
        <v>45</v>
      </c>
    </row>
    <row r="230" customFormat="false" ht="15" hidden="false" customHeight="false" outlineLevel="0" collapsed="false">
      <c r="A230" s="41" t="n">
        <v>112</v>
      </c>
      <c r="B230" s="42" t="n">
        <f aca="false">180-DEGREES(ASIN((P2_a*SIN(RADIANS($A230))-P2_c)/P2_b))</f>
        <v>156.586797515209</v>
      </c>
      <c r="C230" s="42" t="n">
        <f aca="false">P2_a*COS(RADIANS($A230))-P2_b*COS(RADIANS(B230))</f>
        <v>108.020296818842</v>
      </c>
      <c r="D230" s="43" t="n">
        <f aca="false">90-DEGREES(ASIN(ABS((P2_a*SIN(RADIANS($A230))-P2_c)/P2_b)))</f>
        <v>66.5867975152094</v>
      </c>
      <c r="E230" s="44" t="n">
        <f aca="false">P2_a*P2_w2*COS(RADIANS($A230))/(P2_b*COS(RADIANS(B230)))</f>
        <v>0.340044801590576</v>
      </c>
      <c r="F230" s="42" t="n">
        <f aca="false">-P2_a*P2_w2*SIN(RADIANS($A230))+P2_b*E230*SIN(RADIANS(B230))</f>
        <v>-84.1133517341363</v>
      </c>
      <c r="G230" s="44" t="n">
        <f aca="false">(P2_a*P2_al2*COS(RADIANS($A230))-P2_a*P2_w2^2*SIN(RADIANS($A230))+P2_b*E230^2*SIN(RADIANS(B230)))/(P2_b*COS(RADIANS(B230)))</f>
        <v>2.59402194577615</v>
      </c>
      <c r="H230" s="42" t="n">
        <f aca="false">-P2_a*P2_al2*SIN(RADIANS($A230))-P2_a*P2_w2^2*COS(RADIANS($A230))+P2_b*G230*SIN(RADIANS(B230))+P2_b*E230^2*COS(RADIANS(B230))</f>
        <v>251.456339036262</v>
      </c>
      <c r="I230" s="45" t="n">
        <v>45</v>
      </c>
    </row>
    <row r="231" customFormat="false" ht="15" hidden="false" customHeight="false" outlineLevel="0" collapsed="false">
      <c r="A231" s="41" t="n">
        <v>112.5</v>
      </c>
      <c r="B231" s="42" t="n">
        <f aca="false">180-DEGREES(ASIN((P2_a*SIN(RADIANS($A231))-P2_c)/P2_b))</f>
        <v>156.641489813297</v>
      </c>
      <c r="C231" s="42" t="n">
        <f aca="false">P2_a*COS(RADIANS($A231))-P2_b*COS(RADIANS(B231))</f>
        <v>107.787620338564</v>
      </c>
      <c r="D231" s="43" t="n">
        <f aca="false">90-DEGREES(ASIN(ABS((P2_a*SIN(RADIANS($A231))-P2_c)/P2_b)))</f>
        <v>66.6414898132974</v>
      </c>
      <c r="E231" s="44" t="n">
        <f aca="false">P2_a*P2_w2*COS(RADIANS($A231))/(P2_b*COS(RADIANS(B231)))</f>
        <v>0.347233092831126</v>
      </c>
      <c r="F231" s="42" t="n">
        <f aca="false">-P2_a*P2_w2*SIN(RADIANS($A231))+P2_b*E231*SIN(RADIANS(B231))</f>
        <v>-83.4131443065531</v>
      </c>
      <c r="G231" s="44" t="n">
        <f aca="false">(P2_a*P2_al2*COS(RADIANS($A231))-P2_a*P2_w2^2*SIN(RADIANS($A231))+P2_b*E231^2*SIN(RADIANS(B231)))/(P2_b*COS(RADIANS(B231)))</f>
        <v>2.58150889071292</v>
      </c>
      <c r="H231" s="42" t="n">
        <f aca="false">-P2_a*P2_al2*SIN(RADIANS($A231))-P2_a*P2_w2^2*COS(RADIANS($A231))+P2_b*G231*SIN(RADIANS(B231))+P2_b*E231^2*COS(RADIANS(B231))</f>
        <v>252.687026058725</v>
      </c>
      <c r="I231" s="45" t="n">
        <v>45</v>
      </c>
    </row>
    <row r="232" customFormat="false" ht="15" hidden="false" customHeight="false" outlineLevel="0" collapsed="false">
      <c r="A232" s="41" t="n">
        <v>113</v>
      </c>
      <c r="B232" s="42" t="n">
        <f aca="false">180-DEGREES(ASIN((P2_a*SIN(RADIANS($A232))-P2_c)/P2_b))</f>
        <v>156.697323380352</v>
      </c>
      <c r="C232" s="42" t="n">
        <f aca="false">P2_a*COS(RADIANS($A232))-P2_b*COS(RADIANS(B232))</f>
        <v>107.556893580887</v>
      </c>
      <c r="D232" s="43" t="n">
        <f aca="false">90-DEGREES(ASIN(ABS((P2_a*SIN(RADIANS($A232))-P2_c)/P2_b)))</f>
        <v>66.6973233803517</v>
      </c>
      <c r="E232" s="44" t="n">
        <f aca="false">P2_a*P2_w2*COS(RADIANS($A232))/(P2_b*COS(RADIANS(B232)))</f>
        <v>0.354386303133212</v>
      </c>
      <c r="F232" s="42" t="n">
        <f aca="false">-P2_a*P2_w2*SIN(RADIANS($A232))+P2_b*E232*SIN(RADIANS(B232))</f>
        <v>-82.7095679982419</v>
      </c>
      <c r="G232" s="44" t="n">
        <f aca="false">(P2_a*P2_al2*COS(RADIANS($A232))-P2_a*P2_w2^2*SIN(RADIANS($A232))+P2_b*E232^2*SIN(RADIANS(B232)))/(P2_b*COS(RADIANS(B232)))</f>
        <v>2.56876415844945</v>
      </c>
      <c r="H232" s="42" t="n">
        <f aca="false">-P2_a*P2_al2*SIN(RADIANS($A232))-P2_a*P2_w2^2*COS(RADIANS($A232))+P2_b*G232*SIN(RADIANS(B232))+P2_b*E232^2*COS(RADIANS(B232))</f>
        <v>253.881991747773</v>
      </c>
      <c r="I232" s="45" t="n">
        <v>45</v>
      </c>
    </row>
    <row r="233" customFormat="false" ht="15" hidden="false" customHeight="false" outlineLevel="0" collapsed="false">
      <c r="A233" s="41" t="n">
        <v>113.5</v>
      </c>
      <c r="B233" s="42" t="n">
        <f aca="false">180-DEGREES(ASIN((P2_a*SIN(RADIANS($A233))-P2_c)/P2_b))</f>
        <v>156.754292582072</v>
      </c>
      <c r="C233" s="42" t="n">
        <f aca="false">P2_a*COS(RADIANS($A233))-P2_b*COS(RADIANS(B233))</f>
        <v>107.328125766456</v>
      </c>
      <c r="D233" s="43" t="n">
        <f aca="false">90-DEGREES(ASIN(ABS((P2_a*SIN(RADIANS($A233))-P2_c)/P2_b)))</f>
        <v>66.7542925820721</v>
      </c>
      <c r="E233" s="44" t="n">
        <f aca="false">P2_a*P2_w2*COS(RADIANS($A233))/(P2_b*COS(RADIANS(B233)))</f>
        <v>0.361503793032833</v>
      </c>
      <c r="F233" s="42" t="n">
        <f aca="false">-P2_a*P2_w2*SIN(RADIANS($A233))+P2_b*E233*SIN(RADIANS(B233))</f>
        <v>-82.0027215434301</v>
      </c>
      <c r="G233" s="44" t="n">
        <f aca="false">(P2_a*P2_al2*COS(RADIANS($A233))-P2_a*P2_w2^2*SIN(RADIANS($A233))+P2_b*E233^2*SIN(RADIANS(B233)))/(P2_b*COS(RADIANS(B233)))</f>
        <v>2.55579069430119</v>
      </c>
      <c r="H233" s="42" t="n">
        <f aca="false">-P2_a*P2_al2*SIN(RADIANS($A233))-P2_a*P2_w2^2*COS(RADIANS($A233))+P2_b*G233*SIN(RADIANS(B233))+P2_b*E233^2*COS(RADIANS(B233))</f>
        <v>255.041591366057</v>
      </c>
      <c r="I233" s="45" t="n">
        <v>45</v>
      </c>
    </row>
    <row r="234" customFormat="false" ht="15" hidden="false" customHeight="false" outlineLevel="0" collapsed="false">
      <c r="A234" s="41" t="n">
        <v>114</v>
      </c>
      <c r="B234" s="42" t="n">
        <f aca="false">180-DEGREES(ASIN((P2_a*SIN(RADIANS($A234))-P2_c)/P2_b))</f>
        <v>156.812391683038</v>
      </c>
      <c r="C234" s="42" t="n">
        <f aca="false">P2_a*COS(RADIANS($A234))-P2_b*COS(RADIANS(B234))</f>
        <v>107.101325843031</v>
      </c>
      <c r="D234" s="43" t="n">
        <f aca="false">90-DEGREES(ASIN(ABS((P2_a*SIN(RADIANS($A234))-P2_c)/P2_b)))</f>
        <v>66.8123916830377</v>
      </c>
      <c r="E234" s="44" t="n">
        <f aca="false">P2_a*P2_w2*COS(RADIANS($A234))/(P2_b*COS(RADIANS(B234)))</f>
        <v>0.368584931288193</v>
      </c>
      <c r="F234" s="42" t="n">
        <f aca="false">-P2_a*P2_w2*SIN(RADIANS($A234))+P2_b*E234*SIN(RADIANS(B234))</f>
        <v>-81.292702679313</v>
      </c>
      <c r="G234" s="44" t="n">
        <f aca="false">(P2_a*P2_al2*COS(RADIANS($A234))-P2_a*P2_w2^2*SIN(RADIANS($A234))+P2_b*E234^2*SIN(RADIANS(B234)))/(P2_b*COS(RADIANS(B234)))</f>
        <v>2.54259147263183</v>
      </c>
      <c r="H234" s="42" t="n">
        <f aca="false">-P2_a*P2_al2*SIN(RADIANS($A234))-P2_a*P2_w2^2*COS(RADIANS($A234))+P2_b*G234*SIN(RADIANS(B234))+P2_b*E234^2*COS(RADIANS(B234))</f>
        <v>256.166187464101</v>
      </c>
      <c r="I234" s="45" t="n">
        <v>45</v>
      </c>
    </row>
    <row r="235" customFormat="false" ht="15" hidden="false" customHeight="false" outlineLevel="0" collapsed="false">
      <c r="A235" s="41" t="n">
        <v>114.5</v>
      </c>
      <c r="B235" s="42" t="n">
        <f aca="false">180-DEGREES(ASIN((P2_a*SIN(RADIANS($A235))-P2_c)/P2_b))</f>
        <v>156.871614848022</v>
      </c>
      <c r="C235" s="42" t="n">
        <f aca="false">P2_a*COS(RADIANS($A235))-P2_b*COS(RADIANS(B235))</f>
        <v>106.876502488288</v>
      </c>
      <c r="D235" s="43" t="n">
        <f aca="false">90-DEGREES(ASIN(ABS((P2_a*SIN(RADIANS($A235))-P2_c)/P2_b)))</f>
        <v>66.871614848022</v>
      </c>
      <c r="E235" s="44" t="n">
        <f aca="false">P2_a*P2_w2*COS(RADIANS($A235))/(P2_b*COS(RADIANS(B235)))</f>
        <v>0.375629094957821</v>
      </c>
      <c r="F235" s="42" t="n">
        <f aca="false">-P2_a*P2_w2*SIN(RADIANS($A235))+P2_b*E235*SIN(RADIANS(B235))</f>
        <v>-80.579608126227</v>
      </c>
      <c r="G235" s="44" t="n">
        <f aca="false">(P2_a*P2_al2*COS(RADIANS($A235))-P2_a*P2_w2^2*SIN(RADIANS($A235))+P2_b*E235^2*SIN(RADIANS(B235)))/(P2_b*COS(RADIANS(B235)))</f>
        <v>2.52916949500341</v>
      </c>
      <c r="H235" s="42" t="n">
        <f aca="false">-P2_a*P2_al2*SIN(RADIANS($A235))-P2_a*P2_w2^2*COS(RADIANS($A235))+P2_b*G235*SIN(RADIANS(B235))+P2_b*E235^2*COS(RADIANS(B235))</f>
        <v>257.256149579697</v>
      </c>
      <c r="I235" s="45" t="n">
        <v>45</v>
      </c>
    </row>
    <row r="236" customFormat="false" ht="15" hidden="false" customHeight="false" outlineLevel="0" collapsed="false">
      <c r="A236" s="41" t="n">
        <v>115</v>
      </c>
      <c r="B236" s="42" t="n">
        <f aca="false">180-DEGREES(ASIN((P2_a*SIN(RADIANS($A236))-P2_c)/P2_b))</f>
        <v>156.93195614332</v>
      </c>
      <c r="C236" s="42" t="n">
        <f aca="false">P2_a*COS(RADIANS($A236))-P2_b*COS(RADIANS(B236))</f>
        <v>106.653664112671</v>
      </c>
      <c r="D236" s="43" t="n">
        <f aca="false">90-DEGREES(ASIN(ABS((P2_a*SIN(RADIANS($A236))-P2_c)/P2_b)))</f>
        <v>66.9319561433196</v>
      </c>
      <c r="E236" s="44" t="n">
        <f aca="false">P2_a*P2_w2*COS(RADIANS($A236))/(P2_b*COS(RADIANS(B236)))</f>
        <v>0.382635669473556</v>
      </c>
      <c r="F236" s="42" t="n">
        <f aca="false">-P2_a*P2_w2*SIN(RADIANS($A236))+P2_b*E236*SIN(RADIANS(B236))</f>
        <v>-79.8635335686582</v>
      </c>
      <c r="G236" s="44" t="n">
        <f aca="false">(P2_a*P2_al2*COS(RADIANS($A236))-P2_a*P2_w2^2*SIN(RADIANS($A236))+P2_b*E236^2*SIN(RADIANS(B236)))/(P2_b*COS(RADIANS(B236)))</f>
        <v>2.51552778833067</v>
      </c>
      <c r="H236" s="42" t="n">
        <f aca="false">-P2_a*P2_al2*SIN(RADIANS($A236))-P2_a*P2_w2^2*COS(RADIANS($A236))+P2_b*G236*SIN(RADIANS(B236))+P2_b*E236^2*COS(RADIANS(B236))</f>
        <v>258.311853937095</v>
      </c>
      <c r="I236" s="45" t="n">
        <v>45</v>
      </c>
    </row>
    <row r="237" customFormat="false" ht="15" hidden="false" customHeight="false" outlineLevel="0" collapsed="false">
      <c r="A237" s="41" t="n">
        <v>115.5</v>
      </c>
      <c r="B237" s="42" t="n">
        <f aca="false">180-DEGREES(ASIN((P2_a*SIN(RADIANS($A237))-P2_c)/P2_b))</f>
        <v>156.993409538084</v>
      </c>
      <c r="C237" s="42" t="n">
        <f aca="false">P2_a*COS(RADIANS($A237))-P2_b*COS(RADIANS(B237))</f>
        <v>106.432818862294</v>
      </c>
      <c r="D237" s="43" t="n">
        <f aca="false">90-DEGREES(ASIN(ABS((P2_a*SIN(RADIANS($A237))-P2_c)/P2_b)))</f>
        <v>66.9934095380843</v>
      </c>
      <c r="E237" s="44" t="n">
        <f aca="false">P2_a*P2_w2*COS(RADIANS($A237))/(P2_b*COS(RADIANS(B237)))</f>
        <v>0.389604048708418</v>
      </c>
      <c r="F237" s="42" t="n">
        <f aca="false">-P2_a*P2_w2*SIN(RADIANS($A237))+P2_b*E237*SIN(RADIANS(B237))</f>
        <v>-79.1445736370867</v>
      </c>
      <c r="G237" s="44" t="n">
        <f aca="false">(P2_a*P2_al2*COS(RADIANS($A237))-P2_a*P2_w2^2*SIN(RADIANS($A237))+P2_b*E237^2*SIN(RADIANS(B237)))/(P2_b*COS(RADIANS(B237)))</f>
        <v>2.50166940304161</v>
      </c>
      <c r="H237" s="42" t="n">
        <f aca="false">-P2_a*P2_al2*SIN(RADIANS($A237))-P2_a*P2_w2^2*COS(RADIANS($A237))+P2_b*G237*SIN(RADIANS(B237))+P2_b*E237^2*COS(RADIANS(B237))</f>
        <v>259.333683146254</v>
      </c>
      <c r="I237" s="45" t="n">
        <v>45</v>
      </c>
    </row>
    <row r="238" customFormat="false" ht="15" hidden="false" customHeight="false" outlineLevel="0" collapsed="false">
      <c r="A238" s="41" t="n">
        <v>116</v>
      </c>
      <c r="B238" s="42" t="n">
        <f aca="false">180-DEGREES(ASIN((P2_a*SIN(RADIANS($A238))-P2_c)/P2_b))</f>
        <v>157.055968905678</v>
      </c>
      <c r="C238" s="42" t="n">
        <f aca="false">P2_a*COS(RADIANS($A238))-P2_b*COS(RADIANS(B238))</f>
        <v>106.21397462189</v>
      </c>
      <c r="D238" s="43" t="n">
        <f aca="false">90-DEGREES(ASIN(ABS((P2_a*SIN(RADIANS($A238))-P2_c)/P2_b)))</f>
        <v>67.0559689056781</v>
      </c>
      <c r="E238" s="44" t="n">
        <f aca="false">P2_a*P2_w2*COS(RADIANS($A238))/(P2_b*COS(RADIANS(B238)))</f>
        <v>0.396533635039372</v>
      </c>
      <c r="F238" s="42" t="n">
        <f aca="false">-P2_a*P2_w2*SIN(RADIANS($A238))+P2_b*E238*SIN(RADIANS(B238))</f>
        <v>-78.4228218906659</v>
      </c>
      <c r="G238" s="44" t="n">
        <f aca="false">(P2_a*P2_al2*COS(RADIANS($A238))-P2_a*P2_w2^2*SIN(RADIANS($A238))+P2_b*E238^2*SIN(RADIANS(B238)))/(P2_b*COS(RADIANS(B238)))</f>
        <v>2.48759741124595</v>
      </c>
      <c r="H238" s="42" t="n">
        <f aca="false">-P2_a*P2_al2*SIN(RADIANS($A238))-P2_a*P2_w2^2*COS(RADIANS($A238))+P2_b*G238*SIN(RADIANS(B238))+P2_b*E238^2*COS(RADIANS(B238))</f>
        <v>260.322025902464</v>
      </c>
      <c r="I238" s="45" t="n">
        <v>45</v>
      </c>
    </row>
    <row r="239" customFormat="false" ht="15" hidden="false" customHeight="false" outlineLevel="0" collapsed="false">
      <c r="A239" s="41" t="n">
        <v>116.5</v>
      </c>
      <c r="B239" s="42" t="n">
        <f aca="false">180-DEGREES(ASIN((P2_a*SIN(RADIANS($A239))-P2_c)/P2_b))</f>
        <v>157.119628025028</v>
      </c>
      <c r="C239" s="42" t="n">
        <f aca="false">P2_a*COS(RADIANS($A239))-P2_b*COS(RADIANS(B239))</f>
        <v>105.997139017815</v>
      </c>
      <c r="D239" s="43" t="n">
        <f aca="false">90-DEGREES(ASIN(ABS((P2_a*SIN(RADIANS($A239))-P2_c)/P2_b)))</f>
        <v>67.1196280250284</v>
      </c>
      <c r="E239" s="44" t="n">
        <f aca="false">P2_a*P2_w2*COS(RADIANS($A239))/(P2_b*COS(RADIANS(B239)))</f>
        <v>0.403423839405027</v>
      </c>
      <c r="F239" s="42" t="n">
        <f aca="false">-P2_a*P2_w2*SIN(RADIANS($A239))+P2_b*E239*SIN(RADIANS(B239))</f>
        <v>-77.6983708007351</v>
      </c>
      <c r="G239" s="44" t="n">
        <f aca="false">(P2_a*P2_al2*COS(RADIANS($A239))-P2_a*P2_w2^2*SIN(RADIANS($A239))+P2_b*E239^2*SIN(RADIANS(B239)))/(P2_b*COS(RADIANS(B239)))</f>
        <v>2.47331490491341</v>
      </c>
      <c r="H239" s="42" t="n">
        <f aca="false">-P2_a*P2_al2*SIN(RADIANS($A239))-P2_a*P2_w2^2*COS(RADIANS($A239))+P2_b*G239*SIN(RADIANS(B239))+P2_b*E239^2*COS(RADIANS(B239))</f>
        <v>261.277276686575</v>
      </c>
      <c r="I239" s="45" t="n">
        <v>45</v>
      </c>
    </row>
    <row r="240" customFormat="false" ht="15" hidden="false" customHeight="false" outlineLevel="0" collapsed="false">
      <c r="A240" s="41" t="n">
        <v>117</v>
      </c>
      <c r="B240" s="42" t="n">
        <f aca="false">180-DEGREES(ASIN((P2_a*SIN(RADIANS($A240))-P2_c)/P2_b))</f>
        <v>157.184380581996</v>
      </c>
      <c r="C240" s="42" t="n">
        <f aca="false">P2_a*COS(RADIANS($A240))-P2_b*COS(RADIANS(B240))</f>
        <v>105.782319421088</v>
      </c>
      <c r="D240" s="43" t="n">
        <f aca="false">90-DEGREES(ASIN(ABS((P2_a*SIN(RADIANS($A240))-P2_c)/P2_b)))</f>
        <v>67.1843805819958</v>
      </c>
      <c r="E240" s="44" t="n">
        <f aca="false">P2_a*P2_w2*COS(RADIANS($A240))/(P2_b*COS(RADIANS(B240)))</f>
        <v>0.410274081358281</v>
      </c>
      <c r="F240" s="42" t="n">
        <f aca="false">-P2_a*P2_w2*SIN(RADIANS($A240))+P2_b*E240*SIN(RADIANS(B240))</f>
        <v>-76.9713117351641</v>
      </c>
      <c r="G240" s="44" t="n">
        <f aca="false">(P2_a*P2_al2*COS(RADIANS($A240))-P2_a*P2_w2^2*SIN(RADIANS($A240))+P2_b*E240^2*SIN(RADIANS(B240)))/(P2_b*COS(RADIANS(B240)))</f>
        <v>2.45882499406344</v>
      </c>
      <c r="H240" s="42" t="n">
        <f aca="false">-P2_a*P2_al2*SIN(RADIANS($A240))-P2_a*P2_w2^2*COS(RADIANS($A240))+P2_b*G240*SIN(RADIANS(B240))+P2_b*E240^2*COS(RADIANS(B240))</f>
        <v>262.199835466131</v>
      </c>
      <c r="I240" s="45" t="n">
        <v>45</v>
      </c>
    </row>
    <row r="241" customFormat="false" ht="15" hidden="false" customHeight="false" outlineLevel="0" collapsed="false">
      <c r="A241" s="41" t="n">
        <v>117.5</v>
      </c>
      <c r="B241" s="42" t="n">
        <f aca="false">180-DEGREES(ASIN((P2_a*SIN(RADIANS($A241))-P2_c)/P2_b))</f>
        <v>157.250220170748</v>
      </c>
      <c r="C241" s="42" t="n">
        <f aca="false">P2_a*COS(RADIANS($A241))-P2_b*COS(RADIANS(B241))</f>
        <v>105.569522950479</v>
      </c>
      <c r="D241" s="43" t="n">
        <f aca="false">90-DEGREES(ASIN(ABS((P2_a*SIN(RADIANS($A241))-P2_c)/P2_b)))</f>
        <v>67.2502201707483</v>
      </c>
      <c r="E241" s="44" t="n">
        <f aca="false">P2_a*P2_w2*COS(RADIANS($A241))/(P2_b*COS(RADIANS(B241)))</f>
        <v>0.417083789113964</v>
      </c>
      <c r="F241" s="42" t="n">
        <f aca="false">-P2_a*P2_w2*SIN(RADIANS($A241))+P2_b*E241*SIN(RADIANS(B241))</f>
        <v>-76.2417349435261</v>
      </c>
      <c r="G241" s="44" t="n">
        <f aca="false">(P2_a*P2_al2*COS(RADIANS($A241))-P2_a*P2_w2^2*SIN(RADIANS($A241))+P2_b*E241^2*SIN(RADIANS(B241)))/(P2_b*COS(RADIANS(B241)))</f>
        <v>2.44413080496816</v>
      </c>
      <c r="H241" s="42" t="n">
        <f aca="false">-P2_a*P2_al2*SIN(RADIANS($A241))-P2_a*P2_w2^2*COS(RADIANS($A241))+P2_b*G241*SIN(RADIANS(B241))+P2_b*E241^2*COS(RADIANS(B241))</f>
        <v>263.090107397653</v>
      </c>
      <c r="I241" s="45" t="n">
        <v>45</v>
      </c>
    </row>
    <row r="242" customFormat="false" ht="15" hidden="false" customHeight="false" outlineLevel="0" collapsed="false">
      <c r="A242" s="41" t="n">
        <v>118</v>
      </c>
      <c r="B242" s="42" t="n">
        <f aca="false">180-DEGREES(ASIN((P2_a*SIN(RADIANS($A242))-P2_c)/P2_b))</f>
        <v>157.317140295144</v>
      </c>
      <c r="C242" s="42" t="n">
        <f aca="false">P2_a*COS(RADIANS($A242))-P2_b*COS(RADIANS(B242))</f>
        <v>105.358756475634</v>
      </c>
      <c r="D242" s="43" t="n">
        <f aca="false">90-DEGREES(ASIN(ABS((P2_a*SIN(RADIANS($A242))-P2_c)/P2_b)))</f>
        <v>67.3171402951439</v>
      </c>
      <c r="E242" s="44" t="n">
        <f aca="false">P2_a*P2_w2*COS(RADIANS($A242))/(P2_b*COS(RADIANS(B242)))</f>
        <v>0.423852399591505</v>
      </c>
      <c r="F242" s="42" t="n">
        <f aca="false">-P2_a*P2_w2*SIN(RADIANS($A242))+P2_b*E242*SIN(RADIANS(B242))</f>
        <v>-75.5097295430958</v>
      </c>
      <c r="G242" s="44" t="n">
        <f aca="false">(P2_a*P2_al2*COS(RADIANS($A242))-P2_a*P2_w2^2*SIN(RADIANS($A242))+P2_b*E242^2*SIN(RADIANS(B242)))/(P2_b*COS(RADIANS(B242)))</f>
        <v>2.42923547837008</v>
      </c>
      <c r="H242" s="42" t="n">
        <f aca="false">-P2_a*P2_al2*SIN(RADIANS($A242))-P2_a*P2_w2^2*COS(RADIANS($A242))+P2_b*G242*SIN(RADIANS(B242))+P2_b*E242^2*COS(RADIANS(B242))</f>
        <v>263.948502530332</v>
      </c>
      <c r="I242" s="45" t="n">
        <v>45</v>
      </c>
    </row>
    <row r="243" customFormat="false" ht="15" hidden="false" customHeight="false" outlineLevel="0" collapsed="false">
      <c r="A243" s="41" t="n">
        <v>118.5</v>
      </c>
      <c r="B243" s="42" t="n">
        <f aca="false">180-DEGREES(ASIN((P2_a*SIN(RADIANS($A243))-P2_c)/P2_b))</f>
        <v>157.385134370119</v>
      </c>
      <c r="C243" s="42" t="n">
        <f aca="false">P2_a*COS(RADIANS($A243))-P2_b*COS(RADIANS(B243))</f>
        <v>105.150026620238</v>
      </c>
      <c r="D243" s="43" t="n">
        <f aca="false">90-DEGREES(ASIN(ABS((P2_a*SIN(RADIANS($A243))-P2_c)/P2_b)))</f>
        <v>67.3851343701186</v>
      </c>
      <c r="E243" s="44" t="n">
        <f aca="false">P2_a*P2_w2*COS(RADIANS($A243))/(P2_b*COS(RADIANS(B243)))</f>
        <v>0.430579358452668</v>
      </c>
      <c r="F243" s="42" t="n">
        <f aca="false">-P2_a*P2_w2*SIN(RADIANS($A243))+P2_b*E243*SIN(RADIANS(B243))</f>
        <v>-74.775383505668</v>
      </c>
      <c r="G243" s="44" t="n">
        <f aca="false">(P2_a*P2_al2*COS(RADIANS($A243))-P2_a*P2_w2^2*SIN(RADIANS($A243))+P2_b*E243^2*SIN(RADIANS(B243)))/(P2_b*COS(RADIANS(B243)))</f>
        <v>2.41414216771628</v>
      </c>
      <c r="H243" s="42" t="n">
        <f aca="false">-P2_a*P2_al2*SIN(RADIANS($A243))-P2_a*P2_w2^2*COS(RADIANS($A243))+P2_b*G243*SIN(RADIANS(B243))+P2_b*E243^2*COS(RADIANS(B243))</f>
        <v>264.775435511368</v>
      </c>
      <c r="I243" s="45" t="n">
        <v>45</v>
      </c>
    </row>
    <row r="244" customFormat="false" ht="15" hidden="false" customHeight="false" outlineLevel="0" collapsed="false">
      <c r="A244" s="41" t="n">
        <v>119</v>
      </c>
      <c r="B244" s="42" t="n">
        <f aca="false">180-DEGREES(ASIN((P2_a*SIN(RADIANS($A244))-P2_c)/P2_b))</f>
        <v>157.454195723081</v>
      </c>
      <c r="C244" s="42" t="n">
        <f aca="false">P2_a*COS(RADIANS($A244))-P2_b*COS(RADIANS(B244))</f>
        <v>104.943339765217</v>
      </c>
      <c r="D244" s="43" t="n">
        <f aca="false">90-DEGREES(ASIN(ABS((P2_a*SIN(RADIANS($A244))-P2_c)/P2_b)))</f>
        <v>67.4541957230806</v>
      </c>
      <c r="E244" s="44" t="n">
        <f aca="false">P2_a*P2_w2*COS(RADIANS($A244))/(P2_b*COS(RADIANS(B244)))</f>
        <v>0.437264120134411</v>
      </c>
      <c r="F244" s="42" t="n">
        <f aca="false">-P2_a*P2_w2*SIN(RADIANS($A244))+P2_b*E244*SIN(RADIANS(B244))</f>
        <v>-74.0387836451928</v>
      </c>
      <c r="G244" s="44" t="n">
        <f aca="false">(P2_a*P2_al2*COS(RADIANS($A244))-P2_a*P2_w2^2*SIN(RADIANS($A244))+P2_b*E244^2*SIN(RADIANS(B244)))/(P2_b*COS(RADIANS(B244)))</f>
        <v>2.39885403741051</v>
      </c>
      <c r="H244" s="42" t="n">
        <f aca="false">-P2_a*P2_al2*SIN(RADIANS($A244))-P2_a*P2_w2^2*COS(RADIANS($A244))+P2_b*G244*SIN(RADIANS(B244))+P2_b*E244^2*COS(RADIANS(B244))</f>
        <v>265.57132529322</v>
      </c>
      <c r="I244" s="45" t="n">
        <v>45</v>
      </c>
    </row>
    <row r="245" customFormat="false" ht="15" hidden="false" customHeight="false" outlineLevel="0" collapsed="false">
      <c r="A245" s="41" t="n">
        <v>119.5</v>
      </c>
      <c r="B245" s="42" t="n">
        <f aca="false">180-DEGREES(ASIN((P2_a*SIN(RADIANS($A245))-P2_c)/P2_b))</f>
        <v>157.524317595309</v>
      </c>
      <c r="C245" s="42" t="n">
        <f aca="false">P2_a*COS(RADIANS($A245))-P2_b*COS(RADIANS(B245))</f>
        <v>104.738702051968</v>
      </c>
      <c r="D245" s="43" t="n">
        <f aca="false">90-DEGREES(ASIN(ABS((P2_a*SIN(RADIANS($A245))-P2_c)/P2_b)))</f>
        <v>67.5243175953094</v>
      </c>
      <c r="E245" s="44" t="n">
        <f aca="false">P2_a*P2_w2*COS(RADIANS($A245))/(P2_b*COS(RADIANS(B245)))</f>
        <v>0.44390614787692</v>
      </c>
      <c r="F245" s="42" t="n">
        <f aca="false">-P2_a*P2_w2*SIN(RADIANS($A245))+P2_b*E245*SIN(RADIANS(B245))</f>
        <v>-73.3000156062207</v>
      </c>
      <c r="G245" s="44" t="n">
        <f aca="false">(P2_a*P2_al2*COS(RADIANS($A245))-P2_a*P2_w2^2*SIN(RADIANS($A245))+P2_b*E245^2*SIN(RADIANS(B245)))/(P2_b*COS(RADIANS(B245)))</f>
        <v>2.38337426108474</v>
      </c>
      <c r="H245" s="42" t="n">
        <f aca="false">-P2_a*P2_al2*SIN(RADIANS($A245))-P2_a*P2_w2^2*COS(RADIANS($A245))+P2_b*G245*SIN(RADIANS(B245))+P2_b*E245^2*COS(RADIANS(B245))</f>
        <v>266.336594842961</v>
      </c>
      <c r="I245" s="45" t="n">
        <v>45</v>
      </c>
    </row>
    <row r="246" customFormat="false" ht="15" hidden="false" customHeight="false" outlineLevel="0" collapsed="false">
      <c r="A246" s="41" t="n">
        <v>120</v>
      </c>
      <c r="B246" s="42" t="n">
        <f aca="false">180-DEGREES(ASIN((P2_a*SIN(RADIANS($A246))-P2_c)/P2_b))</f>
        <v>157.595493143358</v>
      </c>
      <c r="C246" s="42" t="n">
        <f aca="false">P2_a*COS(RADIANS($A246))-P2_b*COS(RADIANS(B246))</f>
        <v>104.536119385622</v>
      </c>
      <c r="D246" s="43" t="n">
        <f aca="false">90-DEGREES(ASIN(ABS((P2_a*SIN(RADIANS($A246))-P2_c)/P2_b)))</f>
        <v>67.5954931433584</v>
      </c>
      <c r="E246" s="44" t="n">
        <f aca="false">P2_a*P2_w2*COS(RADIANS($A246))/(P2_b*COS(RADIANS(B246)))</f>
        <v>0.450504913746862</v>
      </c>
      <c r="F246" s="42" t="n">
        <f aca="false">-P2_a*P2_w2*SIN(RADIANS($A246))+P2_b*E246*SIN(RADIANS(B246))</f>
        <v>-72.5591638531517</v>
      </c>
      <c r="G246" s="44" t="n">
        <f aca="false">(P2_a*P2_al2*COS(RADIANS($A246))-P2_a*P2_w2^2*SIN(RADIANS($A246))+P2_b*E246^2*SIN(RADIANS(B246)))/(P2_b*COS(RADIANS(B246)))</f>
        <v>2.36770601989165</v>
      </c>
      <c r="H246" s="42" t="n">
        <f aca="false">-P2_a*P2_al2*SIN(RADIANS($A246))-P2_a*P2_w2^2*COS(RADIANS($A246))+P2_b*G246*SIN(RADIANS(B246))+P2_b*E246^2*COS(RADIANS(B246))</f>
        <v>267.071670853998</v>
      </c>
      <c r="I246" s="45" t="n">
        <v>45</v>
      </c>
    </row>
    <row r="247" customFormat="false" ht="15" hidden="false" customHeight="false" outlineLevel="0" collapsed="false">
      <c r="A247" s="41" t="n">
        <v>120.5</v>
      </c>
      <c r="B247" s="42" t="n">
        <f aca="false">180-DEGREES(ASIN((P2_a*SIN(RADIANS($A247))-P2_c)/P2_b))</f>
        <v>157.667715440462</v>
      </c>
      <c r="C247" s="42" t="n">
        <f aca="false">P2_a*COS(RADIANS($A247))-P2_b*COS(RADIANS(B247))</f>
        <v>104.335597438339</v>
      </c>
      <c r="D247" s="43" t="n">
        <f aca="false">90-DEGREES(ASIN(ABS((P2_a*SIN(RADIANS($A247))-P2_c)/P2_b)))</f>
        <v>67.6677154404616</v>
      </c>
      <c r="E247" s="44" t="n">
        <f aca="false">P2_a*P2_w2*COS(RADIANS($A247))/(P2_b*COS(RADIANS(B247)))</f>
        <v>0.457059898655931</v>
      </c>
      <c r="F247" s="42" t="n">
        <f aca="false">-P2_a*P2_w2*SIN(RADIANS($A247))+P2_b*E247*SIN(RADIANS(B247))</f>
        <v>-71.8163116602818</v>
      </c>
      <c r="G247" s="44" t="n">
        <f aca="false">(P2_a*P2_al2*COS(RADIANS($A247))-P2_a*P2_w2^2*SIN(RADIANS($A247))+P2_b*E247^2*SIN(RADIANS(B247)))/(P2_b*COS(RADIANS(B247)))</f>
        <v>2.35185250081924</v>
      </c>
      <c r="H247" s="42" t="n">
        <f aca="false">-P2_a*P2_al2*SIN(RADIANS($A247))-P2_a*P2_w2^2*COS(RADIANS($A247))+P2_b*G247*SIN(RADIANS(B247))+P2_b*E247^2*COS(RADIANS(B247))</f>
        <v>267.776983460354</v>
      </c>
      <c r="I247" s="45" t="n">
        <v>45</v>
      </c>
    </row>
    <row r="248" customFormat="false" ht="15" hidden="false" customHeight="false" outlineLevel="0" collapsed="false">
      <c r="A248" s="41" t="n">
        <v>121</v>
      </c>
      <c r="B248" s="42" t="n">
        <f aca="false">180-DEGREES(ASIN((P2_a*SIN(RADIANS($A248))-P2_c)/P2_b))</f>
        <v>157.740977477942</v>
      </c>
      <c r="C248" s="42" t="n">
        <f aca="false">P2_a*COS(RADIANS($A248))-P2_b*COS(RADIANS(B248))</f>
        <v>104.137141652625</v>
      </c>
      <c r="D248" s="43" t="n">
        <f aca="false">90-DEGREES(ASIN(ABS((P2_a*SIN(RADIANS($A248))-P2_c)/P2_b)))</f>
        <v>67.7409774779424</v>
      </c>
      <c r="E248" s="44" t="n">
        <f aca="false">P2_a*P2_w2*COS(RADIANS($A248))/(P2_b*COS(RADIANS(B248)))</f>
        <v>0.463570592374745</v>
      </c>
      <c r="F248" s="42" t="n">
        <f aca="false">-P2_a*P2_w2*SIN(RADIANS($A248))+P2_b*E248*SIN(RADIANS(B248))</f>
        <v>-71.0715411026394</v>
      </c>
      <c r="G248" s="44" t="n">
        <f aca="false">(P2_a*P2_al2*COS(RADIANS($A248))-P2_a*P2_w2^2*SIN(RADIANS($A248))+P2_b*E248^2*SIN(RADIANS(B248)))/(P2_b*COS(RADIANS(B248)))</f>
        <v>2.33581689502921</v>
      </c>
      <c r="H248" s="42" t="n">
        <f aca="false">-P2_a*P2_al2*SIN(RADIANS($A248))-P2_a*P2_w2^2*COS(RADIANS($A248))+P2_b*G248*SIN(RADIANS(B248))+P2_b*E248^2*COS(RADIANS(B248))</f>
        <v>268.452965953723</v>
      </c>
      <c r="I248" s="45" t="n">
        <v>45</v>
      </c>
    </row>
    <row r="249" customFormat="false" ht="15" hidden="false" customHeight="false" outlineLevel="0" collapsed="false">
      <c r="A249" s="41" t="n">
        <v>121.5</v>
      </c>
      <c r="B249" s="42" t="n">
        <f aca="false">180-DEGREES(ASIN((P2_a*SIN(RADIANS($A249))-P2_c)/P2_b))</f>
        <v>157.815272166624</v>
      </c>
      <c r="C249" s="42" t="n">
        <f aca="false">P2_a*COS(RADIANS($A249))-P2_b*COS(RADIANS(B249))</f>
        <v>103.940757244673</v>
      </c>
      <c r="D249" s="43" t="n">
        <f aca="false">90-DEGREES(ASIN(ABS((P2_a*SIN(RADIANS($A249))-P2_c)/P2_b)))</f>
        <v>67.8152721666242</v>
      </c>
      <c r="E249" s="44" t="n">
        <f aca="false">P2_a*P2_w2*COS(RADIANS($A249))/(P2_b*COS(RADIANS(B249)))</f>
        <v>0.470036493542158</v>
      </c>
      <c r="F249" s="42" t="n">
        <f aca="false">-P2_a*P2_w2*SIN(RADIANS($A249))+P2_b*E249*SIN(RADIANS(B249))</f>
        <v>-70.324933047604</v>
      </c>
      <c r="G249" s="44" t="n">
        <f aca="false">(P2_a*P2_al2*COS(RADIANS($A249))-P2_a*P2_w2^2*SIN(RADIANS($A249))+P2_b*E249^2*SIN(RADIANS(B249)))/(P2_b*COS(RADIANS(B249)))</f>
        <v>2.31960239622004</v>
      </c>
      <c r="H249" s="42" t="n">
        <f aca="false">-P2_a*P2_al2*SIN(RADIANS($A249))-P2_a*P2_w2^2*COS(RADIANS($A249))+P2_b*G249*SIN(RADIANS(B249))+P2_b*E249^2*COS(RADIANS(B249))</f>
        <v>269.100054503499</v>
      </c>
      <c r="I249" s="45" t="n">
        <v>45</v>
      </c>
    </row>
    <row r="250" customFormat="false" ht="15" hidden="false" customHeight="false" outlineLevel="0" collapsed="false">
      <c r="A250" s="41" t="n">
        <v>122</v>
      </c>
      <c r="B250" s="42" t="n">
        <f aca="false">180-DEGREES(ASIN((P2_a*SIN(RADIANS($A250))-P2_c)/P2_b))</f>
        <v>157.890592338242</v>
      </c>
      <c r="C250" s="42" t="n">
        <f aca="false">P2_a*COS(RADIANS($A250))-P2_b*COS(RADIANS(B250))</f>
        <v>103.746449207735</v>
      </c>
      <c r="D250" s="43" t="n">
        <f aca="false">90-DEGREES(ASIN(ABS((P2_a*SIN(RADIANS($A250))-P2_c)/P2_b)))</f>
        <v>67.8905923382424</v>
      </c>
      <c r="E250" s="44" t="n">
        <f aca="false">P2_a*P2_w2*COS(RADIANS($A250))/(P2_b*COS(RADIANS(B250)))</f>
        <v>0.476457109670066</v>
      </c>
      <c r="F250" s="42" t="n">
        <f aca="false">-P2_a*P2_w2*SIN(RADIANS($A250))+P2_b*E250*SIN(RADIANS(B250))</f>
        <v>-69.5765671472968</v>
      </c>
      <c r="G250" s="44" t="n">
        <f aca="false">(P2_a*P2_al2*COS(RADIANS($A250))-P2_a*P2_w2^2*SIN(RADIANS($A250))+P2_b*E250^2*SIN(RADIANS(B250)))/(P2_b*COS(RADIANS(B250)))</f>
        <v>2.30321219901618</v>
      </c>
      <c r="H250" s="42" t="n">
        <f aca="false">-P2_a*P2_al2*SIN(RADIANS($A250))-P2_a*P2_w2^2*COS(RADIANS($A250))+P2_b*G250*SIN(RADIANS(B250))+P2_b*E250^2*COS(RADIANS(B250))</f>
        <v>269.718687879978</v>
      </c>
      <c r="I250" s="45" t="n">
        <v>45</v>
      </c>
    </row>
    <row r="251" customFormat="false" ht="15" hidden="false" customHeight="false" outlineLevel="0" collapsed="false">
      <c r="A251" s="41" t="n">
        <v>122.5</v>
      </c>
      <c r="B251" s="42" t="n">
        <f aca="false">180-DEGREES(ASIN((P2_a*SIN(RADIANS($A251))-P2_c)/P2_b))</f>
        <v>157.966930746857</v>
      </c>
      <c r="C251" s="42" t="n">
        <f aca="false">P2_a*COS(RADIANS($A251))-P2_b*COS(RADIANS(B251))</f>
        <v>103.554222315498</v>
      </c>
      <c r="D251" s="43" t="n">
        <f aca="false">90-DEGREES(ASIN(ABS((P2_a*SIN(RADIANS($A251))-P2_c)/P2_b)))</f>
        <v>67.9669307468565</v>
      </c>
      <c r="E251" s="44" t="n">
        <f aca="false">P2_a*P2_w2*COS(RADIANS($A251))/(P2_b*COS(RADIANS(B251)))</f>
        <v>0.482831957143772</v>
      </c>
      <c r="F251" s="42" t="n">
        <f aca="false">-P2_a*P2_w2*SIN(RADIANS($A251))+P2_b*E251*SIN(RADIANS(B251))</f>
        <v>-68.8265218317375</v>
      </c>
      <c r="G251" s="44" t="n">
        <f aca="false">(P2_a*P2_al2*COS(RADIANS($A251))-P2_a*P2_w2^2*SIN(RADIANS($A251))+P2_b*E251^2*SIN(RADIANS(B251)))/(P2_b*COS(RADIANS(B251)))</f>
        <v>2.28664949738449</v>
      </c>
      <c r="H251" s="42" t="n">
        <f aca="false">-P2_a*P2_al2*SIN(RADIANS($A251))-P2_a*P2_w2^2*COS(RADIANS($A251))+P2_b*G251*SIN(RADIANS(B251))+P2_b*E251^2*COS(RADIANS(B251))</f>
        <v>270.309307180898</v>
      </c>
      <c r="I251" s="45" t="n">
        <v>45</v>
      </c>
    </row>
    <row r="252" customFormat="false" ht="15" hidden="false" customHeight="false" outlineLevel="0" collapsed="false">
      <c r="A252" s="41" t="n">
        <v>123</v>
      </c>
      <c r="B252" s="42" t="n">
        <f aca="false">180-DEGREES(ASIN((P2_a*SIN(RADIANS($A252))-P2_c)/P2_b))</f>
        <v>158.044280070263</v>
      </c>
      <c r="C252" s="42" t="n">
        <f aca="false">P2_a*COS(RADIANS($A252))-P2_b*COS(RADIANS(B252))</f>
        <v>103.364081125496</v>
      </c>
      <c r="D252" s="43" t="n">
        <f aca="false">90-DEGREES(ASIN(ABS((P2_a*SIN(RADIANS($A252))-P2_c)/P2_b)))</f>
        <v>68.0442800702625</v>
      </c>
      <c r="E252" s="44" t="n">
        <f aca="false">P2_a*P2_w2*COS(RADIANS($A252))/(P2_b*COS(RADIANS(B252)))</f>
        <v>0.48916056121799</v>
      </c>
      <c r="F252" s="42" t="n">
        <f aca="false">-P2_a*P2_w2*SIN(RADIANS($A252))+P2_b*E252*SIN(RADIANS(B252))</f>
        <v>-68.0748743027547</v>
      </c>
      <c r="G252" s="44" t="n">
        <f aca="false">(P2_a*P2_al2*COS(RADIANS($A252))-P2_a*P2_w2^2*SIN(RADIANS($A252))+P2_b*E252^2*SIN(RADIANS(B252)))/(P2_b*COS(RADIANS(B252)))</f>
        <v>2.26991748307895</v>
      </c>
      <c r="H252" s="42" t="n">
        <f aca="false">-P2_a*P2_al2*SIN(RADIANS($A252))-P2_a*P2_w2^2*COS(RADIANS($A252))+P2_b*G252*SIN(RADIANS(B252))+P2_b*E252^2*COS(RADIANS(B252))</f>
        <v>270.872355561517</v>
      </c>
      <c r="I252" s="45" t="n">
        <v>45</v>
      </c>
    </row>
    <row r="253" customFormat="false" ht="15" hidden="false" customHeight="false" outlineLevel="0" collapsed="false">
      <c r="A253" s="41" t="n">
        <v>123.5</v>
      </c>
      <c r="B253" s="42" t="n">
        <f aca="false">180-DEGREES(ASIN((P2_a*SIN(RADIANS($A253))-P2_c)/P2_b))</f>
        <v>158.122632911403</v>
      </c>
      <c r="C253" s="42" t="n">
        <f aca="false">P2_a*COS(RADIANS($A253))-P2_b*COS(RADIANS(B253))</f>
        <v>103.176029982523</v>
      </c>
      <c r="D253" s="43" t="n">
        <f aca="false">90-DEGREES(ASIN(ABS((P2_a*SIN(RADIANS($A253))-P2_c)/P2_b)))</f>
        <v>68.1226329114033</v>
      </c>
      <c r="E253" s="44" t="n">
        <f aca="false">P2_a*P2_w2*COS(RADIANS($A253))/(P2_b*COS(RADIANS(B253)))</f>
        <v>0.495442456008577</v>
      </c>
      <c r="F253" s="42" t="n">
        <f aca="false">-P2_a*P2_w2*SIN(RADIANS($A253))+P2_b*E253*SIN(RADIANS(B253))</f>
        <v>-67.3217005286409</v>
      </c>
      <c r="G253" s="44" t="n">
        <f aca="false">(P2_a*P2_al2*COS(RADIANS($A253))-P2_a*P2_w2^2*SIN(RADIANS($A253))+P2_b*E253^2*SIN(RADIANS(B253)))/(P2_b*COS(RADIANS(B253)))</f>
        <v>2.25301934411467</v>
      </c>
      <c r="H253" s="42" t="n">
        <f aca="false">-P2_a*P2_al2*SIN(RADIANS($A253))-P2_a*P2_w2^2*COS(RADIANS($A253))+P2_b*G253*SIN(RADIANS(B253))+P2_b*E253^2*COS(RADIANS(B253))</f>
        <v>271.408277968368</v>
      </c>
      <c r="I253" s="45" t="n">
        <v>45</v>
      </c>
    </row>
    <row r="254" customFormat="false" ht="15" hidden="false" customHeight="false" outlineLevel="0" collapsed="false">
      <c r="A254" s="41" t="n">
        <v>124</v>
      </c>
      <c r="B254" s="42" t="n">
        <f aca="false">180-DEGREES(ASIN((P2_a*SIN(RADIANS($A254))-P2_c)/P2_b))</f>
        <v>158.201981799779</v>
      </c>
      <c r="C254" s="42" t="n">
        <f aca="false">P2_a*COS(RADIANS($A254))-P2_b*COS(RADIANS(B254))</f>
        <v>102.990073022071</v>
      </c>
      <c r="D254" s="43" t="n">
        <f aca="false">90-DEGREES(ASIN(ABS((P2_a*SIN(RADIANS($A254))-P2_c)/P2_b)))</f>
        <v>68.2019817997787</v>
      </c>
      <c r="E254" s="44" t="n">
        <f aca="false">P2_a*P2_w2*COS(RADIANS($A254))/(P2_b*COS(RADIANS(B254)))</f>
        <v>0.501677184480058</v>
      </c>
      <c r="F254" s="42" t="n">
        <f aca="false">-P2_a*P2_w2*SIN(RADIANS($A254))+P2_b*E254*SIN(RADIANS(B254))</f>
        <v>-66.5670752395422</v>
      </c>
      <c r="G254" s="44" t="n">
        <f aca="false">(P2_a*P2_al2*COS(RADIANS($A254))-P2_a*P2_w2^2*SIN(RADIANS($A254))+P2_b*E254^2*SIN(RADIANS(B254)))/(P2_b*COS(RADIANS(B254)))</f>
        <v>2.23595826327232</v>
      </c>
      <c r="H254" s="42" t="n">
        <f aca="false">-P2_a*P2_al2*SIN(RADIANS($A254))-P2_a*P2_w2^2*COS(RADIANS($A254))+P2_b*G254*SIN(RADIANS(B254))+P2_b*E254^2*COS(RADIANS(B254))</f>
        <v>271.917520876875</v>
      </c>
      <c r="I254" s="45" t="n">
        <v>45</v>
      </c>
    </row>
    <row r="255" customFormat="false" ht="15" hidden="false" customHeight="false" outlineLevel="0" collapsed="false">
      <c r="A255" s="41" t="n">
        <v>124.5</v>
      </c>
      <c r="B255" s="42" t="n">
        <f aca="false">180-DEGREES(ASIN((P2_a*SIN(RADIANS($A255))-P2_c)/P2_b))</f>
        <v>158.282319192852</v>
      </c>
      <c r="C255" s="42" t="n">
        <f aca="false">P2_a*COS(RADIANS($A255))-P2_b*COS(RADIANS(B255))</f>
        <v>102.806214173772</v>
      </c>
      <c r="D255" s="43" t="n">
        <f aca="false">90-DEGREES(ASIN(ABS((P2_a*SIN(RADIANS($A255))-P2_c)/P2_b)))</f>
        <v>68.2823191928517</v>
      </c>
      <c r="E255" s="44" t="n">
        <f aca="false">P2_a*P2_w2*COS(RADIANS($A255))/(P2_b*COS(RADIANS(B255)))</f>
        <v>0.507864298429048</v>
      </c>
      <c r="F255" s="42" t="n">
        <f aca="false">-P2_a*P2_w2*SIN(RADIANS($A255))+P2_b*E255*SIN(RADIANS(B255))</f>
        <v>-65.8110719235715</v>
      </c>
      <c r="G255" s="44" t="n">
        <f aca="false">(P2_a*P2_al2*COS(RADIANS($A255))-P2_a*P2_w2^2*SIN(RADIANS($A255))+P2_b*E255^2*SIN(RADIANS(B255)))/(P2_b*COS(RADIANS(B255)))</f>
        <v>2.21873741663367</v>
      </c>
      <c r="H255" s="42" t="n">
        <f aca="false">-P2_a*P2_al2*SIN(RADIANS($A255))-P2_a*P2_w2^2*COS(RADIANS($A255))+P2_b*G255*SIN(RADIANS(B255))+P2_b*E255^2*COS(RADIANS(B255))</f>
        <v>272.400532032952</v>
      </c>
      <c r="I255" s="45" t="n">
        <v>45</v>
      </c>
    </row>
    <row r="256" customFormat="false" ht="15" hidden="false" customHeight="false" outlineLevel="0" collapsed="false">
      <c r="A256" s="41" t="n">
        <v>125</v>
      </c>
      <c r="B256" s="42" t="n">
        <f aca="false">180-DEGREES(ASIN((P2_a*SIN(RADIANS($A256))-P2_c)/P2_b))</f>
        <v>158.363637477454</v>
      </c>
      <c r="C256" s="42" t="n">
        <f aca="false">P2_a*COS(RADIANS($A256))-P2_b*COS(RADIANS(B256))</f>
        <v>102.62445716485</v>
      </c>
      <c r="D256" s="43" t="n">
        <f aca="false">90-DEGREES(ASIN(ABS((P2_a*SIN(RADIANS($A256))-P2_c)/P2_b)))</f>
        <v>68.3636374774535</v>
      </c>
      <c r="E256" s="44" t="n">
        <f aca="false">P2_a*P2_w2*COS(RADIANS($A256))/(P2_b*COS(RADIANS(B256)))</f>
        <v>0.514003358463645</v>
      </c>
      <c r="F256" s="42" t="n">
        <f aca="false">-P2_a*P2_w2*SIN(RADIANS($A256))+P2_b*E256*SIN(RADIANS(B256))</f>
        <v>-65.053762823633</v>
      </c>
      <c r="G256" s="44" t="n">
        <f aca="false">(P2_a*P2_al2*COS(RADIANS($A256))-P2_a*P2_w2^2*SIN(RADIANS($A256))+P2_b*E256^2*SIN(RADIANS(B256)))/(P2_b*COS(RADIANS(B256)))</f>
        <v>2.20135997214927</v>
      </c>
      <c r="H256" s="42" t="n">
        <f aca="false">-P2_a*P2_al2*SIN(RADIANS($A256))-P2_a*P2_w2^2*COS(RADIANS($A256))+P2_b*G256*SIN(RADIANS(B256))+P2_b*E256^2*COS(RADIANS(B256))</f>
        <v>272.857760198753</v>
      </c>
      <c r="I256" s="45" t="n">
        <v>45</v>
      </c>
    </row>
    <row r="257" customFormat="false" ht="15" hidden="false" customHeight="false" outlineLevel="0" collapsed="false">
      <c r="A257" s="41" t="n">
        <v>125.5</v>
      </c>
      <c r="B257" s="42" t="n">
        <f aca="false">180-DEGREES(ASIN((P2_a*SIN(RADIANS($A257))-P2_c)/P2_b))</f>
        <v>158.445928971183</v>
      </c>
      <c r="C257" s="42" t="n">
        <f aca="false">P2_a*COS(RADIANS($A257))-P2_b*COS(RADIANS(B257))</f>
        <v>102.444805523591</v>
      </c>
      <c r="D257" s="43" t="n">
        <f aca="false">90-DEGREES(ASIN(ABS((P2_a*SIN(RADIANS($A257))-P2_c)/P2_b)))</f>
        <v>68.4459289711832</v>
      </c>
      <c r="E257" s="44" t="n">
        <f aca="false">P2_a*P2_w2*COS(RADIANS($A257))/(P2_b*COS(RADIANS(B257)))</f>
        <v>0.520093933978894</v>
      </c>
      <c r="F257" s="42" t="n">
        <f aca="false">-P2_a*P2_w2*SIN(RADIANS($A257))+P2_b*E257*SIN(RADIANS(B257))</f>
        <v>-64.295218934948</v>
      </c>
      <c r="G257" s="44" t="n">
        <f aca="false">(P2_a*P2_al2*COS(RADIANS($A257))-P2_a*P2_w2^2*SIN(RADIANS($A257))+P2_b*E257^2*SIN(RADIANS(B257)))/(P2_b*COS(RADIANS(B257)))</f>
        <v>2.18382908823902</v>
      </c>
      <c r="H257" s="42" t="n">
        <f aca="false">-P2_a*P2_al2*SIN(RADIANS($A257))-P2_a*P2_w2^2*COS(RADIANS($A257))+P2_b*G257*SIN(RADIANS(B257))+P2_b*E257^2*COS(RADIANS(B257))</f>
        <v>273.289654902678</v>
      </c>
      <c r="I257" s="45" t="n">
        <v>45</v>
      </c>
    </row>
    <row r="258" customFormat="false" ht="15" hidden="false" customHeight="false" outlineLevel="0" collapsed="false">
      <c r="A258" s="41" t="n">
        <v>126</v>
      </c>
      <c r="B258" s="42" t="n">
        <f aca="false">180-DEGREES(ASIN((P2_a*SIN(RADIANS($A258))-P2_c)/P2_b))</f>
        <v>158.529185923805</v>
      </c>
      <c r="C258" s="42" t="n">
        <f aca="false">P2_a*COS(RADIANS($A258))-P2_b*COS(RADIANS(B258))</f>
        <v>102.267262582805</v>
      </c>
      <c r="D258" s="43" t="n">
        <f aca="false">90-DEGREES(ASIN(ABS((P2_a*SIN(RADIANS($A258))-P2_c)/P2_b)))</f>
        <v>68.5291859238045</v>
      </c>
      <c r="E258" s="44" t="n">
        <f aca="false">P2_a*P2_w2*COS(RADIANS($A258))/(P2_b*COS(RADIANS(B258)))</f>
        <v>0.526135603128404</v>
      </c>
      <c r="F258" s="42" t="n">
        <f aca="false">-P2_a*P2_w2*SIN(RADIANS($A258))+P2_b*E258*SIN(RADIANS(B258))</f>
        <v>-63.5355100032682</v>
      </c>
      <c r="G258" s="44" t="n">
        <f aca="false">(P2_a*P2_al2*COS(RADIANS($A258))-P2_a*P2_w2^2*SIN(RADIANS($A258))+P2_b*E258^2*SIN(RADIANS(B258)))/(P2_b*COS(RADIANS(B258)))</f>
        <v>2.16614791242635</v>
      </c>
      <c r="H258" s="42" t="n">
        <f aca="false">-P2_a*P2_al2*SIN(RADIANS($A258))-P2_a*P2_w2^2*COS(RADIANS($A258))+P2_b*G258*SIN(RADIANS(B258))+P2_b*E258^2*COS(RADIANS(B258))</f>
        <v>273.696666193779</v>
      </c>
      <c r="I258" s="45" t="n">
        <v>45</v>
      </c>
    </row>
    <row r="259" customFormat="false" ht="15" hidden="false" customHeight="false" outlineLevel="0" collapsed="false">
      <c r="A259" s="41" t="n">
        <v>126.5</v>
      </c>
      <c r="B259" s="42" t="n">
        <f aca="false">180-DEGREES(ASIN((P2_a*SIN(RADIANS($A259))-P2_c)/P2_b))</f>
        <v>158.613400518637</v>
      </c>
      <c r="C259" s="42" t="n">
        <f aca="false">P2_a*COS(RADIANS($A259))-P2_b*COS(RADIANS(B259))</f>
        <v>102.091831483301</v>
      </c>
      <c r="D259" s="43" t="n">
        <f aca="false">90-DEGREES(ASIN(ABS((P2_a*SIN(RADIANS($A259))-P2_c)/P2_b)))</f>
        <v>68.6134005186369</v>
      </c>
      <c r="E259" s="44" t="n">
        <f aca="false">P2_a*P2_w2*COS(RADIANS($A259))/(P2_b*COS(RADIANS(B259)))</f>
        <v>0.532127952792229</v>
      </c>
      <c r="F259" s="42" t="n">
        <f aca="false">-P2_a*P2_w2*SIN(RADIANS($A259))+P2_b*E259*SIN(RADIANS(B259))</f>
        <v>-62.7747045237656</v>
      </c>
      <c r="G259" s="44" t="n">
        <f aca="false">(P2_a*P2_al2*COS(RADIANS($A259))-P2_a*P2_w2^2*SIN(RADIANS($A259))+P2_b*E259^2*SIN(RADIANS(B259)))/(P2_b*COS(RADIANS(B259)))</f>
        <v>2.14831958000666</v>
      </c>
      <c r="H259" s="42" t="n">
        <f aca="false">-P2_a*P2_al2*SIN(RADIANS($A259))-P2_a*P2_w2^2*COS(RADIANS($A259))+P2_b*G259*SIN(RADIANS(B259))+P2_b*E259^2*COS(RADIANS(B259))</f>
        <v>274.079244400664</v>
      </c>
      <c r="I259" s="45" t="n">
        <v>45</v>
      </c>
    </row>
    <row r="260" customFormat="false" ht="15" hidden="false" customHeight="false" outlineLevel="0" collapsed="false">
      <c r="A260" s="41" t="n">
        <v>127</v>
      </c>
      <c r="B260" s="42" t="n">
        <f aca="false">180-DEGREES(ASIN((P2_a*SIN(RADIANS($A260))-P2_c)/P2_b))</f>
        <v>158.698564873942</v>
      </c>
      <c r="C260" s="42" t="n">
        <f aca="false">P2_a*COS(RADIANS($A260))-P2_b*COS(RADIANS(B260))</f>
        <v>101.91851517736</v>
      </c>
      <c r="D260" s="43" t="n">
        <f aca="false">90-DEGREES(ASIN(ABS((P2_a*SIN(RADIANS($A260))-P2_c)/P2_b)))</f>
        <v>68.6985648739421</v>
      </c>
      <c r="E260" s="44" t="n">
        <f aca="false">P2_a*P2_w2*COS(RADIANS($A260))/(P2_b*COS(RADIANS(B260)))</f>
        <v>0.538070578541086</v>
      </c>
      <c r="F260" s="42" t="n">
        <f aca="false">-P2_a*P2_w2*SIN(RADIANS($A260))+P2_b*E260*SIN(RADIANS(B260))</f>
        <v>-62.0128697405851</v>
      </c>
      <c r="G260" s="44" t="n">
        <f aca="false">(P2_a*P2_al2*COS(RADIANS($A260))-P2_a*P2_w2^2*SIN(RADIANS($A260))+P2_b*E260^2*SIN(RADIANS(B260)))/(P2_b*COS(RADIANS(B260)))</f>
        <v>2.13034721275071</v>
      </c>
      <c r="H260" s="42" t="n">
        <f aca="false">-P2_a*P2_al2*SIN(RADIANS($A260))-P2_a*P2_w2^2*COS(RADIANS($A260))+P2_b*G260*SIN(RADIANS(B260))+P2_b*E260^2*COS(RADIANS(B260))</f>
        <v>274.437839895023</v>
      </c>
      <c r="I260" s="45" t="n">
        <v>45</v>
      </c>
    </row>
    <row r="261" customFormat="false" ht="15" hidden="false" customHeight="false" outlineLevel="0" collapsed="false">
      <c r="A261" s="41" t="n">
        <v>127.5</v>
      </c>
      <c r="B261" s="42" t="n">
        <f aca="false">180-DEGREES(ASIN((P2_a*SIN(RADIANS($A261))-P2_c)/P2_b))</f>
        <v>158.784671044304</v>
      </c>
      <c r="C261" s="42" t="n">
        <f aca="false">P2_a*COS(RADIANS($A261))-P2_b*COS(RADIANS(B261))</f>
        <v>101.747316432213</v>
      </c>
      <c r="D261" s="43" t="n">
        <f aca="false">90-DEGREES(ASIN(ABS((P2_a*SIN(RADIANS($A261))-P2_c)/P2_b)))</f>
        <v>68.7846710443037</v>
      </c>
      <c r="E261" s="44" t="n">
        <f aca="false">P2_a*P2_w2*COS(RADIANS($A261))/(P2_b*COS(RADIANS(B261)))</f>
        <v>0.543963084597032</v>
      </c>
      <c r="F261" s="42" t="n">
        <f aca="false">-P2_a*P2_w2*SIN(RADIANS($A261))+P2_b*E261*SIN(RADIANS(B261))</f>
        <v>-61.2500716470485</v>
      </c>
      <c r="G261" s="44" t="n">
        <f aca="false">(P2_a*P2_al2*COS(RADIANS($A261))-P2_a*P2_w2^2*SIN(RADIANS($A261))+P2_b*E261^2*SIN(RADIANS(B261)))/(P2_b*COS(RADIANS(B261)))</f>
        <v>2.11223391764351</v>
      </c>
      <c r="H261" s="42" t="n">
        <f aca="false">-P2_a*P2_al2*SIN(RADIANS($A261))-P2_a*P2_w2^2*COS(RADIANS($A261))+P2_b*G261*SIN(RADIANS(B261))+P2_b*E261^2*COS(RADIANS(B261))</f>
        <v>274.772902859848</v>
      </c>
      <c r="I261" s="45" t="n">
        <v>45</v>
      </c>
    </row>
    <row r="262" customFormat="false" ht="15" hidden="false" customHeight="false" outlineLevel="0" collapsed="false">
      <c r="A262" s="41" t="n">
        <v>128</v>
      </c>
      <c r="B262" s="42" t="n">
        <f aca="false">180-DEGREES(ASIN((P2_a*SIN(RADIANS($A262))-P2_c)/P2_b))</f>
        <v>158.871711022001</v>
      </c>
      <c r="C262" s="42" t="n">
        <f aca="false">P2_a*COS(RADIANS($A262))-P2_b*COS(RADIANS(B262))</f>
        <v>101.578237833511</v>
      </c>
      <c r="D262" s="43" t="n">
        <f aca="false">90-DEGREES(ASIN(ABS((P2_a*SIN(RADIANS($A262))-P2_c)/P2_b)))</f>
        <v>68.871711022001</v>
      </c>
      <c r="E262" s="44" t="n">
        <f aca="false">P2_a*P2_w2*COS(RADIANS($A262))/(P2_b*COS(RADIANS(B262)))</f>
        <v>0.549805083790677</v>
      </c>
      <c r="F262" s="42" t="n">
        <f aca="false">-P2_a*P2_w2*SIN(RADIANS($A262))+P2_b*E262*SIN(RADIANS(B262))</f>
        <v>-60.4863749864942</v>
      </c>
      <c r="G262" s="44" t="n">
        <f aca="false">(P2_a*P2_al2*COS(RADIANS($A262))-P2_a*P2_w2^2*SIN(RADIANS($A262))+P2_b*E262^2*SIN(RADIANS(B262)))/(P2_b*COS(RADIANS(B262)))</f>
        <v>2.09398278565915</v>
      </c>
      <c r="H262" s="42" t="n">
        <f aca="false">-P2_a*P2_al2*SIN(RADIANS($A262))-P2_a*P2_w2^2*COS(RADIANS($A262))+P2_b*G262*SIN(RADIANS(B262))+P2_b*E262^2*COS(RADIANS(B262))</f>
        <v>275.084883062462</v>
      </c>
      <c r="I262" s="45" t="n">
        <v>45</v>
      </c>
    </row>
    <row r="263" customFormat="false" ht="15" hidden="false" customHeight="false" outlineLevel="0" collapsed="false">
      <c r="A263" s="41" t="n">
        <v>128.5</v>
      </c>
      <c r="B263" s="42" t="n">
        <f aca="false">180-DEGREES(ASIN((P2_a*SIN(RADIANS($A263))-P2_c)/P2_b))</f>
        <v>158.959676738375</v>
      </c>
      <c r="C263" s="42" t="n">
        <f aca="false">P2_a*COS(RADIANS($A263))-P2_b*COS(RADIANS(B263))</f>
        <v>101.411281788798</v>
      </c>
      <c r="D263" s="43" t="n">
        <f aca="false">90-DEGREES(ASIN(ABS((P2_a*SIN(RADIANS($A263))-P2_c)/P2_b)))</f>
        <v>68.9596767383753</v>
      </c>
      <c r="E263" s="44" t="n">
        <f aca="false">P2_a*P2_w2*COS(RADIANS($A263))/(P2_b*COS(RADIANS(B263)))</f>
        <v>0.555596197515054</v>
      </c>
      <c r="F263" s="42" t="n">
        <f aca="false">-P2_a*P2_w2*SIN(RADIANS($A263))+P2_b*E263*SIN(RADIANS(B263))</f>
        <v>-59.7218432537423</v>
      </c>
      <c r="G263" s="44" t="n">
        <f aca="false">(P2_a*P2_al2*COS(RADIANS($A263))-P2_a*P2_w2^2*SIN(RADIANS($A263))+P2_b*E263^2*SIN(RADIANS(B263)))/(P2_b*COS(RADIANS(B263)))</f>
        <v>2.07559689057209</v>
      </c>
      <c r="H263" s="42" t="n">
        <f aca="false">-P2_a*P2_al2*SIN(RADIANS($A263))-P2_a*P2_w2^2*COS(RADIANS($A263))+P2_b*G263*SIN(RADIANS(B263))+P2_b*E263^2*COS(RADIANS(B263))</f>
        <v>275.37422963242</v>
      </c>
      <c r="I263" s="45" t="n">
        <v>45</v>
      </c>
    </row>
    <row r="264" customFormat="false" ht="15" hidden="false" customHeight="false" outlineLevel="0" collapsed="false">
      <c r="A264" s="41" t="n">
        <v>129</v>
      </c>
      <c r="B264" s="42" t="n">
        <f aca="false">180-DEGREES(ASIN((P2_a*SIN(RADIANS($A264))-P2_c)/P2_b))</f>
        <v>159.048560065189</v>
      </c>
      <c r="C264" s="42" t="n">
        <f aca="false">P2_a*COS(RADIANS($A264))-P2_b*COS(RADIANS(B264))</f>
        <v>101.246450530974</v>
      </c>
      <c r="D264" s="43" t="n">
        <f aca="false">90-DEGREES(ASIN(ABS((P2_a*SIN(RADIANS($A264))-P2_c)/P2_b)))</f>
        <v>69.0485600651891</v>
      </c>
      <c r="E264" s="44" t="n">
        <f aca="false">P2_a*P2_w2*COS(RADIANS($A264))/(P2_b*COS(RADIANS(B264)))</f>
        <v>0.561336055676234</v>
      </c>
      <c r="F264" s="42" t="n">
        <f aca="false">-P2_a*P2_w2*SIN(RADIANS($A264))+P2_b*E264*SIN(RADIANS(B264))</f>
        <v>-58.9565386971683</v>
      </c>
      <c r="G264" s="44" t="n">
        <f aca="false">(P2_a*P2_al2*COS(RADIANS($A264))-P2_a*P2_w2^2*SIN(RADIANS($A264))+P2_b*E264^2*SIN(RADIANS(B264)))/(P2_b*COS(RADIANS(B264)))</f>
        <v>2.05707928780532</v>
      </c>
      <c r="H264" s="42" t="n">
        <f aca="false">-P2_a*P2_al2*SIN(RADIANS($A264))-P2_a*P2_w2^2*COS(RADIANS($A264))+P2_b*G264*SIN(RADIANS(B264))+P2_b*E264^2*COS(RADIANS(B264))</f>
        <v>275.641390844363</v>
      </c>
      <c r="I264" s="45" t="n">
        <v>45</v>
      </c>
    </row>
    <row r="265" customFormat="false" ht="15" hidden="false" customHeight="false" outlineLevel="0" collapsed="false">
      <c r="A265" s="41" t="n">
        <v>129.5</v>
      </c>
      <c r="B265" s="42" t="n">
        <f aca="false">180-DEGREES(ASIN((P2_a*SIN(RADIANS($A265))-P2_c)/P2_b))</f>
        <v>159.138352815976</v>
      </c>
      <c r="C265" s="42" t="n">
        <f aca="false">P2_a*COS(RADIANS($A265))-P2_b*COS(RADIANS(B265))</f>
        <v>101.083746121756</v>
      </c>
      <c r="D265" s="43" t="n">
        <f aca="false">90-DEGREES(ASIN(ABS((P2_a*SIN(RADIANS($A265))-P2_c)/P2_b)))</f>
        <v>69.1383528159763</v>
      </c>
      <c r="E265" s="44" t="n">
        <f aca="false">P2_a*P2_w2*COS(RADIANS($A265))/(P2_b*COS(RADIANS(B265)))</f>
        <v>0.567024296640789</v>
      </c>
      <c r="F265" s="42" t="n">
        <f aca="false">-P2_a*P2_w2*SIN(RADIANS($A265))+P2_b*E265*SIN(RADIANS(B265))</f>
        <v>-58.1905223213735</v>
      </c>
      <c r="G265" s="44" t="n">
        <f aca="false">(P2_a*P2_al2*COS(RADIANS($A265))-P2_a*P2_w2^2*SIN(RADIANS($A265))+P2_b*E265^2*SIN(RADIANS(B265)))/(P2_b*COS(RADIANS(B265)))</f>
        <v>2.03843301331565</v>
      </c>
      <c r="H265" s="42" t="n">
        <f aca="false">-P2_a*P2_al2*SIN(RADIANS($A265))-P2_a*P2_w2^2*COS(RADIANS($A265))+P2_b*G265*SIN(RADIANS(B265))+P2_b*E265^2*COS(RADIANS(B265))</f>
        <v>275.886813905881</v>
      </c>
      <c r="I265" s="45" t="n">
        <v>45</v>
      </c>
    </row>
    <row r="266" customFormat="false" ht="15" hidden="false" customHeight="false" outlineLevel="0" collapsed="false">
      <c r="A266" s="41" t="n">
        <v>130</v>
      </c>
      <c r="B266" s="42" t="n">
        <f aca="false">180-DEGREES(ASIN((P2_a*SIN(RADIANS($A266))-P2_c)/P2_b))</f>
        <v>159.229046747385</v>
      </c>
      <c r="C266" s="42" t="n">
        <f aca="false">P2_a*COS(RADIANS($A266))-P2_b*COS(RADIANS(B266))</f>
        <v>100.923170455128</v>
      </c>
      <c r="D266" s="43" t="n">
        <f aca="false">90-DEGREES(ASIN(ABS((P2_a*SIN(RADIANS($A266))-P2_c)/P2_b)))</f>
        <v>69.2290467473848</v>
      </c>
      <c r="E266" s="44" t="n">
        <f aca="false">P2_a*P2_w2*COS(RADIANS($A266))/(P2_b*COS(RADIANS(B266)))</f>
        <v>0.572660567180219</v>
      </c>
      <c r="F266" s="42" t="n">
        <f aca="false">-P2_a*P2_w2*SIN(RADIANS($A266))+P2_b*E266*SIN(RADIANS(B266))</f>
        <v>-57.423853890439</v>
      </c>
      <c r="G266" s="44" t="n">
        <f aca="false">(P2_a*P2_al2*COS(RADIANS($A266))-P2_a*P2_w2^2*SIN(RADIANS($A266))+P2_b*E266^2*SIN(RADIANS(B266)))/(P2_b*COS(RADIANS(B266)))</f>
        <v>2.01966108251649</v>
      </c>
      <c r="H266" s="42" t="n">
        <f aca="false">-P2_a*P2_al2*SIN(RADIANS($A266))-P2_a*P2_w2^2*COS(RADIANS($A266))+P2_b*G266*SIN(RADIANS(B266))+P2_b*E266^2*COS(RADIANS(B266))</f>
        <v>276.110944750455</v>
      </c>
      <c r="I266" s="45" t="n">
        <v>45</v>
      </c>
    </row>
    <row r="267" customFormat="false" ht="15" hidden="false" customHeight="false" outlineLevel="0" collapsed="false">
      <c r="A267" s="41" t="n">
        <v>130.5</v>
      </c>
      <c r="B267" s="42" t="n">
        <f aca="false">180-DEGREES(ASIN((P2_a*SIN(RADIANS($A267))-P2_c)/P2_b))</f>
        <v>159.320633560509</v>
      </c>
      <c r="C267" s="42" t="n">
        <f aca="false">P2_a*COS(RADIANS($A267))-P2_b*COS(RADIANS(B267))</f>
        <v>100.764725260779</v>
      </c>
      <c r="D267" s="43" t="n">
        <f aca="false">90-DEGREES(ASIN(ABS((P2_a*SIN(RADIANS($A267))-P2_c)/P2_b)))</f>
        <v>69.3206335605095</v>
      </c>
      <c r="E267" s="44" t="n">
        <f aca="false">P2_a*P2_w2*COS(RADIANS($A267))/(P2_b*COS(RADIANS(B267)))</f>
        <v>0.578244522412431</v>
      </c>
      <c r="F267" s="42" t="n">
        <f aca="false">-P2_a*P2_w2*SIN(RADIANS($A267))+P2_b*E267*SIN(RADIANS(B267))</f>
        <v>-56.6565919317449</v>
      </c>
      <c r="G267" s="44" t="n">
        <f aca="false">(P2_a*P2_al2*COS(RADIANS($A267))-P2_a*P2_w2^2*SIN(RADIANS($A267))+P2_b*E267^2*SIN(RADIANS(B267)))/(P2_b*COS(RADIANS(B267)))</f>
        <v>2.00076648923832</v>
      </c>
      <c r="H267" s="42" t="n">
        <f aca="false">-P2_a*P2_al2*SIN(RADIANS($A267))-P2_a*P2_w2^2*COS(RADIANS($A267))+P2_b*G267*SIN(RADIANS(B267))+P2_b*E267^2*COS(RADIANS(B267))</f>
        <v>276.314227835514</v>
      </c>
      <c r="I267" s="45" t="n">
        <v>45</v>
      </c>
    </row>
    <row r="268" customFormat="false" ht="15" hidden="false" customHeight="false" outlineLevel="0" collapsed="false">
      <c r="A268" s="41" t="n">
        <v>131</v>
      </c>
      <c r="B268" s="42" t="n">
        <f aca="false">180-DEGREES(ASIN((P2_a*SIN(RADIANS($A268))-P2_c)/P2_b))</f>
        <v>159.413104902216</v>
      </c>
      <c r="C268" s="42" t="n">
        <f aca="false">P2_a*COS(RADIANS($A268))-P2_b*COS(RADIANS(B268))</f>
        <v>100.608412107536</v>
      </c>
      <c r="D268" s="43" t="n">
        <f aca="false">90-DEGREES(ASIN(ABS((P2_a*SIN(RADIANS($A268))-P2_c)/P2_b)))</f>
        <v>69.4131049022155</v>
      </c>
      <c r="E268" s="44" t="n">
        <f aca="false">P2_a*P2_w2*COS(RADIANS($A268))/(P2_b*COS(RADIANS(B268)))</f>
        <v>0.583775825740387</v>
      </c>
      <c r="F268" s="42" t="n">
        <f aca="false">-P2_a*P2_w2*SIN(RADIANS($A268))+P2_b*E268*SIN(RADIANS(B268))</f>
        <v>-55.8887937403461</v>
      </c>
      <c r="G268" s="44" t="n">
        <f aca="false">(P2_a*P2_al2*COS(RADIANS($A268))-P2_a*P2_w2^2*SIN(RADIANS($A268))+P2_b*E268^2*SIN(RADIANS(B268)))/(P2_b*COS(RADIANS(B268)))</f>
        <v>1.98175220472708</v>
      </c>
      <c r="H268" s="42" t="n">
        <f aca="false">-P2_a*P2_al2*SIN(RADIANS($A268))-P2_a*P2_w2^2*COS(RADIANS($A268))+P2_b*G268*SIN(RADIANS(B268))+P2_b*E268^2*COS(RADIANS(B268))</f>
        <v>276.497105945648</v>
      </c>
      <c r="I268" s="45" t="n">
        <v>45</v>
      </c>
    </row>
    <row r="269" customFormat="false" ht="15" hidden="false" customHeight="false" outlineLevel="0" collapsed="false">
      <c r="A269" s="41" t="n">
        <v>131.5</v>
      </c>
      <c r="B269" s="42" t="n">
        <f aca="false">180-DEGREES(ASIN((P2_a*SIN(RADIANS($A269))-P2_c)/P2_b))</f>
        <v>159.506452366452</v>
      </c>
      <c r="C269" s="42" t="n">
        <f aca="false">P2_a*COS(RADIANS($A269))-P2_b*COS(RADIANS(B269))</f>
        <v>100.454232406781</v>
      </c>
      <c r="D269" s="43" t="n">
        <f aca="false">90-DEGREES(ASIN(ABS((P2_a*SIN(RADIANS($A269))-P2_c)/P2_b)))</f>
        <v>69.5064523664521</v>
      </c>
      <c r="E269" s="44" t="n">
        <f aca="false">P2_a*P2_w2*COS(RADIANS($A269))/(P2_b*COS(RADIANS(B269)))</f>
        <v>0.589254148788026</v>
      </c>
      <c r="F269" s="42" t="n">
        <f aca="false">-P2_a*P2_w2*SIN(RADIANS($A269))+P2_b*E269*SIN(RADIANS(B269))</f>
        <v>-55.1205153838861</v>
      </c>
      <c r="G269" s="44" t="n">
        <f aca="false">(P2_a*P2_al2*COS(RADIANS($A269))-P2_a*P2_w2^2*SIN(RADIANS($A269))+P2_b*E269^2*SIN(RADIANS(B269)))/(P2_b*COS(RADIANS(B269)))</f>
        <v>1.96262117668056</v>
      </c>
      <c r="H269" s="42" t="n">
        <f aca="false">-P2_a*P2_al2*SIN(RADIANS($A269))-P2_a*P2_w2^2*COS(RADIANS($A269))+P2_b*G269*SIN(RADIANS(B269))+P2_b*E269^2*COS(RADIANS(B269))</f>
        <v>276.660020001026</v>
      </c>
      <c r="I269" s="45" t="n">
        <v>45</v>
      </c>
    </row>
    <row r="270" customFormat="false" ht="15" hidden="false" customHeight="false" outlineLevel="0" collapsed="false">
      <c r="A270" s="41" t="n">
        <v>132</v>
      </c>
      <c r="B270" s="42" t="n">
        <f aca="false">180-DEGREES(ASIN((P2_a*SIN(RADIANS($A270))-P2_c)/P2_b))</f>
        <v>159.600667495556</v>
      </c>
      <c r="C270" s="42" t="n">
        <f aca="false">P2_a*COS(RADIANS($A270))-P2_b*COS(RADIANS(B270))</f>
        <v>100.302187415847</v>
      </c>
      <c r="D270" s="43" t="n">
        <f aca="false">90-DEGREES(ASIN(ABS((P2_a*SIN(RADIANS($A270))-P2_c)/P2_b)))</f>
        <v>69.6006674955558</v>
      </c>
      <c r="E270" s="44" t="n">
        <f aca="false">P2_a*P2_w2*COS(RADIANS($A270))/(P2_b*COS(RADIANS(B270)))</f>
        <v>0.594679171333552</v>
      </c>
      <c r="F270" s="42" t="n">
        <f aca="false">-P2_a*P2_w2*SIN(RADIANS($A270))+P2_b*E270*SIN(RADIANS(B270))</f>
        <v>-54.3518117080358</v>
      </c>
      <c r="G270" s="44" t="n">
        <f aca="false">(P2_a*P2_al2*COS(RADIANS($A270))-P2_a*P2_w2^2*SIN(RADIANS($A270))+P2_b*E270^2*SIN(RADIANS(B270)))/(P2_b*COS(RADIANS(B270)))</f>
        <v>1.9433763283229</v>
      </c>
      <c r="H270" s="42" t="n">
        <f aca="false">-P2_a*P2_al2*SIN(RADIANS($A270))-P2_a*P2_w2^2*COS(RADIANS($A270))+P2_b*G270*SIN(RADIANS(B270))+P2_b*E270^2*COS(RADIANS(B270))</f>
        <v>276.80340887102</v>
      </c>
      <c r="I270" s="45" t="n">
        <v>45</v>
      </c>
    </row>
    <row r="271" customFormat="false" ht="15" hidden="false" customHeight="false" outlineLevel="0" collapsed="false">
      <c r="A271" s="41" t="n">
        <v>132.5</v>
      </c>
      <c r="B271" s="42" t="n">
        <f aca="false">180-DEGREES(ASIN((P2_a*SIN(RADIANS($A271))-P2_c)/P2_b))</f>
        <v>159.695741781542</v>
      </c>
      <c r="C271" s="42" t="n">
        <f aca="false">P2_a*COS(RADIANS($A271))-P2_b*COS(RADIANS(B271))</f>
        <v>100.152278241411</v>
      </c>
      <c r="D271" s="43" t="n">
        <f aca="false">90-DEGREES(ASIN(ABS((P2_a*SIN(RADIANS($A271))-P2_c)/P2_b)))</f>
        <v>69.6957417815422</v>
      </c>
      <c r="E271" s="44" t="n">
        <f aca="false">P2_a*P2_w2*COS(RADIANS($A271))/(P2_b*COS(RADIANS(B271)))</f>
        <v>0.600050581240214</v>
      </c>
      <c r="F271" s="42" t="n">
        <f aca="false">-P2_a*P2_w2*SIN(RADIANS($A271))+P2_b*E271*SIN(RADIANS(B271))</f>
        <v>-53.582736342443</v>
      </c>
      <c r="G271" s="44" t="n">
        <f aca="false">(P2_a*P2_al2*COS(RADIANS($A271))-P2_a*P2_w2^2*SIN(RADIANS($A271))+P2_b*E271^2*SIN(RADIANS(B271)))/(P2_b*COS(RADIANS(B271)))</f>
        <v>1.92402055751728</v>
      </c>
      <c r="H271" s="42" t="n">
        <f aca="false">-P2_a*P2_al2*SIN(RADIANS($A271))-P2_a*P2_w2^2*COS(RADIANS($A271))+P2_b*G271*SIN(RADIANS(B271))+P2_b*E271^2*COS(RADIANS(B271))</f>
        <v>276.927709193084</v>
      </c>
      <c r="I271" s="45" t="n">
        <v>45</v>
      </c>
    </row>
    <row r="272" customFormat="false" ht="15" hidden="false" customHeight="false" outlineLevel="0" collapsed="false">
      <c r="A272" s="41" t="n">
        <v>133</v>
      </c>
      <c r="B272" s="42" t="n">
        <f aca="false">180-DEGREES(ASIN((P2_a*SIN(RADIANS($A272))-P2_c)/P2_b))</f>
        <v>159.791666667388</v>
      </c>
      <c r="C272" s="42" t="n">
        <f aca="false">P2_a*COS(RADIANS($A272))-P2_b*COS(RADIANS(B272))</f>
        <v>100.004505842861</v>
      </c>
      <c r="D272" s="43" t="n">
        <f aca="false">90-DEGREES(ASIN(ABS((P2_a*SIN(RADIANS($A272))-P2_c)/P2_b)))</f>
        <v>69.7916666673878</v>
      </c>
      <c r="E272" s="44" t="n">
        <f aca="false">P2_a*P2_w2*COS(RADIANS($A272))/(P2_b*COS(RADIANS(B272)))</f>
        <v>0.605368074384672</v>
      </c>
      <c r="F272" s="42" t="n">
        <f aca="false">-P2_a*P2_w2*SIN(RADIANS($A272))+P2_b*E272*SIN(RADIANS(B272))</f>
        <v>-52.8133417071781</v>
      </c>
      <c r="G272" s="44" t="n">
        <f aca="false">(P2_a*P2_al2*COS(RADIANS($A272))-P2_a*P2_w2^2*SIN(RADIANS($A272))+P2_b*E272^2*SIN(RADIANS(B272)))/(P2_b*COS(RADIANS(B272)))</f>
        <v>1.90455673591673</v>
      </c>
      <c r="H272" s="42" t="n">
        <f aca="false">-P2_a*P2_al2*SIN(RADIANS($A272))-P2_a*P2_w2^2*COS(RADIANS($A272))+P2_b*G272*SIN(RADIANS(B272))+P2_b*E272^2*COS(RADIANS(B272))</f>
        <v>277.033355196875</v>
      </c>
      <c r="I272" s="45" t="n">
        <v>45</v>
      </c>
    </row>
    <row r="273" customFormat="false" ht="15" hidden="false" customHeight="false" outlineLevel="0" collapsed="false">
      <c r="A273" s="41" t="n">
        <v>133.5</v>
      </c>
      <c r="B273" s="42" t="n">
        <f aca="false">180-DEGREES(ASIN((P2_a*SIN(RADIANS($A273))-P2_c)/P2_b))</f>
        <v>159.888433548299</v>
      </c>
      <c r="C273" s="42" t="n">
        <f aca="false">P2_a*COS(RADIANS($A273))-P2_b*COS(RADIANS(B273))</f>
        <v>99.8588710356422</v>
      </c>
      <c r="D273" s="43" t="n">
        <f aca="false">90-DEGREES(ASIN(ABS((P2_a*SIN(RADIANS($A273))-P2_c)/P2_b)))</f>
        <v>69.8884335482989</v>
      </c>
      <c r="E273" s="44" t="n">
        <f aca="false">P2_a*P2_w2*COS(RADIANS($A273))/(P2_b*COS(RADIANS(B273)))</f>
        <v>0.610631354583051</v>
      </c>
      <c r="F273" s="42" t="n">
        <f aca="false">-P2_a*P2_w2*SIN(RADIANS($A273))+P2_b*E273*SIN(RADIANS(B273))</f>
        <v>-52.04367901966</v>
      </c>
      <c r="G273" s="44" t="n">
        <f aca="false">(P2_a*P2_al2*COS(RADIANS($A273))-P2_a*P2_w2^2*SIN(RADIANS($A273))+P2_b*E273^2*SIN(RADIANS(B273)))/(P2_b*COS(RADIANS(B273)))</f>
        <v>1.88498770815305</v>
      </c>
      <c r="H273" s="42" t="n">
        <f aca="false">-P2_a*P2_al2*SIN(RADIANS($A273))-P2_a*P2_w2^2*COS(RADIANS($A273))+P2_b*G273*SIN(RADIANS(B273))+P2_b*E273^2*COS(RADIANS(B273))</f>
        <v>277.12077853363</v>
      </c>
      <c r="I273" s="45" t="n">
        <v>45</v>
      </c>
    </row>
    <row r="274" customFormat="false" ht="15" hidden="false" customHeight="false" outlineLevel="0" collapsed="false">
      <c r="A274" s="41" t="n">
        <v>134</v>
      </c>
      <c r="B274" s="42" t="n">
        <f aca="false">180-DEGREES(ASIN((P2_a*SIN(RADIANS($A274))-P2_c)/P2_b))</f>
        <v>159.98603377297</v>
      </c>
      <c r="C274" s="42" t="n">
        <f aca="false">P2_a*COS(RADIANS($A274))-P2_b*COS(RADIANS(B274))</f>
        <v>99.7153744945945</v>
      </c>
      <c r="D274" s="43" t="n">
        <f aca="false">90-DEGREES(ASIN(ABS((P2_a*SIN(RADIANS($A274))-P2_c)/P2_b)))</f>
        <v>69.9860337729696</v>
      </c>
      <c r="E274" s="44" t="n">
        <f aca="false">P2_a*P2_w2*COS(RADIANS($A274))/(P2_b*COS(RADIANS(B274)))</f>
        <v>0.615840133514805</v>
      </c>
      <c r="F274" s="42" t="n">
        <f aca="false">-P2_a*P2_w2*SIN(RADIANS($A274))+P2_b*E274*SIN(RADIANS(B274))</f>
        <v>-51.2737983020495</v>
      </c>
      <c r="G274" s="44" t="n">
        <f aca="false">(P2_a*P2_al2*COS(RADIANS($A274))-P2_a*P2_w2^2*SIN(RADIANS($A274))+P2_b*E274^2*SIN(RADIANS(B274)))/(P2_b*COS(RADIANS(B274)))</f>
        <v>1.86531629106377</v>
      </c>
      <c r="H274" s="42" t="n">
        <f aca="false">-P2_a*P2_al2*SIN(RADIANS($A274))-P2_a*P2_w2^2*COS(RADIANS($A274))+P2_b*G274*SIN(RADIANS(B274))+P2_b*E274^2*COS(RADIANS(B274))</f>
        <v>277.190408110806</v>
      </c>
      <c r="I274" s="45" t="n">
        <v>45</v>
      </c>
    </row>
    <row r="275" customFormat="false" ht="15" hidden="false" customHeight="false" outlineLevel="0" collapsed="false">
      <c r="A275" s="41" t="n">
        <v>134.5</v>
      </c>
      <c r="B275" s="42" t="n">
        <f aca="false">180-DEGREES(ASIN((P2_a*SIN(RADIANS($A275))-P2_c)/P2_b))</f>
        <v>160.084458644827</v>
      </c>
      <c r="C275" s="42" t="n">
        <f aca="false">P2_a*COS(RADIANS($A275))-P2_b*COS(RADIANS(B275))</f>
        <v>99.5740167572568</v>
      </c>
      <c r="D275" s="43" t="n">
        <f aca="false">90-DEGREES(ASIN(ABS((P2_a*SIN(RADIANS($A275))-P2_c)/P2_b)))</f>
        <v>70.0844586448269</v>
      </c>
      <c r="E275" s="44" t="n">
        <f aca="false">P2_a*P2_w2*COS(RADIANS($A275))/(P2_b*COS(RADIANS(B275)))</f>
        <v>0.620994130644477</v>
      </c>
      <c r="F275" s="42" t="n">
        <f aca="false">-P2_a*P2_w2*SIN(RADIANS($A275))+P2_b*E275*SIN(RADIANS(B275))</f>
        <v>-50.5037483890944</v>
      </c>
      <c r="G275" s="44" t="n">
        <f aca="false">(P2_a*P2_al2*COS(RADIANS($A275))-P2_a*P2_w2^2*SIN(RADIANS($A275))+P2_b*E275^2*SIN(RADIANS(B275)))/(P2_b*COS(RADIANS(B275)))</f>
        <v>1.84554527295694</v>
      </c>
      <c r="H275" s="42" t="n">
        <f aca="false">-P2_a*P2_al2*SIN(RADIANS($A275))-P2_a*P2_w2^2*COS(RADIANS($A275))+P2_b*G275*SIN(RADIANS(B275))+P2_b*E275^2*COS(RADIANS(B275))</f>
        <v>277.242669931968</v>
      </c>
      <c r="I275" s="45" t="n">
        <v>45</v>
      </c>
    </row>
    <row r="276" customFormat="false" ht="15" hidden="false" customHeight="false" outlineLevel="0" collapsed="false">
      <c r="A276" s="41" t="n">
        <v>135</v>
      </c>
      <c r="B276" s="42" t="n">
        <f aca="false">180-DEGREES(ASIN((P2_a*SIN(RADIANS($A276))-P2_c)/P2_b))</f>
        <v>160.183699423263</v>
      </c>
      <c r="C276" s="42" t="n">
        <f aca="false">P2_a*COS(RADIANS($A276))-P2_b*COS(RADIANS(B276))</f>
        <v>99.4347982271557</v>
      </c>
      <c r="D276" s="43" t="n">
        <f aca="false">90-DEGREES(ASIN(ABS((P2_a*SIN(RADIANS($A276))-P2_c)/P2_b)))</f>
        <v>70.1836994232634</v>
      </c>
      <c r="E276" s="44" t="n">
        <f aca="false">P2_a*P2_w2*COS(RADIANS($A276))/(P2_b*COS(RADIANS(B276)))</f>
        <v>0.626093073141473</v>
      </c>
      <c r="F276" s="42" t="n">
        <f aca="false">-P2_a*P2_w2*SIN(RADIANS($A276))+P2_b*E276*SIN(RADIANS(B276))</f>
        <v>-49.7335769364128</v>
      </c>
      <c r="G276" s="44" t="n">
        <f aca="false">(P2_a*P2_al2*COS(RADIANS($A276))-P2_a*P2_w2^2*SIN(RADIANS($A276))+P2_b*E276^2*SIN(RADIANS(B276)))/(P2_b*COS(RADIANS(B276)))</f>
        <v>1.82567741291366</v>
      </c>
      <c r="H276" s="42" t="n">
        <f aca="false">-P2_a*P2_al2*SIN(RADIANS($A276))-P2_a*P2_w2^2*COS(RADIANS($A276))+P2_b*G276*SIN(RADIANS(B276))+P2_b*E276^2*COS(RADIANS(B276))</f>
        <v>277.277986941907</v>
      </c>
      <c r="I276" s="45" t="n">
        <v>45</v>
      </c>
    </row>
    <row r="277" customFormat="false" ht="15" hidden="false" customHeight="false" outlineLevel="0" collapsed="false">
      <c r="A277" s="41" t="n">
        <v>135.5</v>
      </c>
      <c r="B277" s="42" t="n">
        <f aca="false">180-DEGREES(ASIN((P2_a*SIN(RADIANS($A277))-P2_c)/P2_b))</f>
        <v>160.283747324857</v>
      </c>
      <c r="C277" s="42" t="n">
        <f aca="false">P2_a*COS(RADIANS($A277))-P2_b*COS(RADIANS(B277))</f>
        <v>99.2977191770691</v>
      </c>
      <c r="D277" s="43" t="n">
        <f aca="false">90-DEGREES(ASIN(ABS((P2_a*SIN(RADIANS($A277))-P2_c)/P2_b)))</f>
        <v>70.283747324857</v>
      </c>
      <c r="E277" s="44" t="n">
        <f aca="false">P2_a*P2_w2*COS(RADIANS($A277))/(P2_b*COS(RADIANS(B277)))</f>
        <v>0.631136695797955</v>
      </c>
      <c r="F277" s="42" t="n">
        <f aca="false">-P2_a*P2_w2*SIN(RADIANS($A277))+P2_b*E277*SIN(RADIANS(B277))</f>
        <v>-48.9633304291978</v>
      </c>
      <c r="G277" s="44" t="n">
        <f aca="false">(P2_a*P2_al2*COS(RADIANS($A277))-P2_a*P2_w2^2*SIN(RADIANS($A277))+P2_b*E277^2*SIN(RADIANS(B277)))/(P2_b*COS(RADIANS(B277)))</f>
        <v>1.80571544012812</v>
      </c>
      <c r="H277" s="42" t="n">
        <f aca="false">-P2_a*P2_al2*SIN(RADIANS($A277))-P2_a*P2_w2^2*COS(RADIANS($A277))+P2_b*G277*SIN(RADIANS(B277))+P2_b*E277^2*COS(RADIANS(B277))</f>
        <v>277.296778876985</v>
      </c>
      <c r="I277" s="45" t="n">
        <v>45</v>
      </c>
    </row>
    <row r="278" customFormat="false" ht="15" hidden="false" customHeight="false" outlineLevel="0" collapsed="false">
      <c r="A278" s="41" t="n">
        <v>136</v>
      </c>
      <c r="B278" s="42" t="n">
        <f aca="false">180-DEGREES(ASIN((P2_a*SIN(RADIANS($A278))-P2_c)/P2_b))</f>
        <v>160.384593524578</v>
      </c>
      <c r="C278" s="42" t="n">
        <f aca="false">P2_a*COS(RADIANS($A278))-P2_b*COS(RADIANS(B278))</f>
        <v>99.1627797522642</v>
      </c>
      <c r="D278" s="43" t="n">
        <f aca="false">90-DEGREES(ASIN(ABS((P2_a*SIN(RADIANS($A278))-P2_c)/P2_b)))</f>
        <v>70.3845935245776</v>
      </c>
      <c r="E278" s="44" t="n">
        <f aca="false">P2_a*P2_w2*COS(RADIANS($A278))/(P2_b*COS(RADIANS(B278)))</f>
        <v>0.636124740944943</v>
      </c>
      <c r="F278" s="42" t="n">
        <f aca="false">-P2_a*P2_w2*SIN(RADIANS($A278))+P2_b*E278*SIN(RADIANS(B278))</f>
        <v>-48.1930541913323</v>
      </c>
      <c r="G278" s="44" t="n">
        <f aca="false">(P2_a*P2_al2*COS(RADIANS($A278))-P2_a*P2_w2^2*SIN(RADIANS($A278))+P2_b*E278^2*SIN(RADIANS(B278)))/(P2_b*COS(RADIANS(B278)))</f>
        <v>1.78566205328484</v>
      </c>
      <c r="H278" s="42" t="n">
        <f aca="false">-P2_a*P2_al2*SIN(RADIANS($A278))-P2_a*P2_w2^2*COS(RADIANS($A278))+P2_b*G278*SIN(RADIANS(B278))+P2_b*E278^2*COS(RADIANS(B278))</f>
        <v>277.299462120658</v>
      </c>
      <c r="I278" s="45" t="n">
        <v>45</v>
      </c>
    </row>
    <row r="279" customFormat="false" ht="15" hidden="false" customHeight="false" outlineLevel="0" collapsed="false">
      <c r="A279" s="41" t="n">
        <v>136.5</v>
      </c>
      <c r="B279" s="42" t="n">
        <f aca="false">180-DEGREES(ASIN((P2_a*SIN(RADIANS($A279))-P2_c)/P2_b))</f>
        <v>160.48622915698</v>
      </c>
      <c r="C279" s="42" t="n">
        <f aca="false">P2_a*COS(RADIANS($A279))-P2_b*COS(RADIANS(B279))</f>
        <v>99.0299799737103</v>
      </c>
      <c r="D279" s="43" t="n">
        <f aca="false">90-DEGREES(ASIN(ABS((P2_a*SIN(RADIANS($A279))-P2_c)/P2_b)))</f>
        <v>70.48622915698</v>
      </c>
      <c r="E279" s="44" t="n">
        <f aca="false">P2_a*P2_w2*COS(RADIANS($A279))/(P2_b*COS(RADIANS(B279)))</f>
        <v>0.641056958366747</v>
      </c>
      <c r="F279" s="42" t="n">
        <f aca="false">-P2_a*P2_w2*SIN(RADIANS($A279))+P2_b*E279*SIN(RADIANS(B279))</f>
        <v>-47.4227923948971</v>
      </c>
      <c r="G279" s="44" t="n">
        <f aca="false">(P2_a*P2_al2*COS(RADIANS($A279))-P2_a*P2_w2^2*SIN(RADIANS($A279))+P2_b*E279^2*SIN(RADIANS(B279)))/(P2_b*COS(RADIANS(B279)))</f>
        <v>1.76551991997292</v>
      </c>
      <c r="H279" s="42" t="n">
        <f aca="false">-P2_a*P2_al2*SIN(RADIANS($A279))-P2_a*P2_w2^2*COS(RADIANS($A279))+P2_b*G279*SIN(RADIANS(B279))+P2_b*E279^2*COS(RADIANS(B279))</f>
        <v>277.28644956418</v>
      </c>
      <c r="I279" s="45" t="n">
        <v>45</v>
      </c>
    </row>
    <row r="280" customFormat="false" ht="15" hidden="false" customHeight="false" outlineLevel="0" collapsed="false">
      <c r="A280" s="41" t="n">
        <v>137</v>
      </c>
      <c r="B280" s="42" t="n">
        <f aca="false">180-DEGREES(ASIN((P2_a*SIN(RADIANS($A280))-P2_c)/P2_b))</f>
        <v>160.588645317383</v>
      </c>
      <c r="C280" s="42" t="n">
        <f aca="false">P2_a*COS(RADIANS($A280))-P2_b*COS(RADIANS(B280))</f>
        <v>98.8993197412654</v>
      </c>
      <c r="D280" s="43" t="n">
        <f aca="false">90-DEGREES(ASIN(ABS((P2_a*SIN(RADIANS($A280))-P2_c)/P2_b)))</f>
        <v>70.5886453173834</v>
      </c>
      <c r="E280" s="44" t="n">
        <f aca="false">P2_a*P2_w2*COS(RADIANS($A280))/(P2_b*COS(RADIANS(B280)))</f>
        <v>0.645933105213819</v>
      </c>
      <c r="F280" s="42" t="n">
        <f aca="false">-P2_a*P2_w2*SIN(RADIANS($A280))+P2_b*E280*SIN(RADIANS(B280))</f>
        <v>-46.6525880700592</v>
      </c>
      <c r="G280" s="44" t="n">
        <f aca="false">(P2_a*P2_al2*COS(RADIANS($A280))-P2_a*P2_w2^2*SIN(RADIANS($A280))+P2_b*E280^2*SIN(RADIANS(B280)))/(P2_b*COS(RADIANS(B280)))</f>
        <v>1.7452916761369</v>
      </c>
      <c r="H280" s="42" t="n">
        <f aca="false">-P2_a*P2_al2*SIN(RADIANS($A280))-P2_a*P2_w2^2*COS(RADIANS($A280))+P2_b*G280*SIN(RADIANS(B280))+P2_b*E280^2*COS(RADIANS(B280))</f>
        <v>277.258150472409</v>
      </c>
      <c r="I280" s="45" t="n">
        <v>45</v>
      </c>
    </row>
    <row r="281" customFormat="false" ht="15" hidden="false" customHeight="false" outlineLevel="0" collapsed="false">
      <c r="A281" s="41" t="n">
        <v>137.5</v>
      </c>
      <c r="B281" s="42" t="n">
        <f aca="false">180-DEGREES(ASIN((P2_a*SIN(RADIANS($A281))-P2_c)/P2_b))</f>
        <v>160.691833063036</v>
      </c>
      <c r="C281" s="42" t="n">
        <f aca="false">P2_a*COS(RADIANS($A281))-P2_b*COS(RADIANS(B281))</f>
        <v>98.7707988368327</v>
      </c>
      <c r="D281" s="43" t="n">
        <f aca="false">90-DEGREES(ASIN(ABS((P2_a*SIN(RADIANS($A281))-P2_c)/P2_b)))</f>
        <v>70.6918330630364</v>
      </c>
      <c r="E281" s="44" t="n">
        <f aca="false">P2_a*P2_w2*COS(RADIANS($A281))/(P2_b*COS(RADIANS(B281)))</f>
        <v>0.650752945914129</v>
      </c>
      <c r="F281" s="42" t="n">
        <f aca="false">-P2_a*P2_w2*SIN(RADIANS($A281))+P2_b*E281*SIN(RADIANS(B281))</f>
        <v>-45.882483115325</v>
      </c>
      <c r="G281" s="44" t="n">
        <f aca="false">(P2_a*P2_al2*COS(RADIANS($A281))-P2_a*P2_w2^2*SIN(RADIANS($A281))+P2_b*E281^2*SIN(RADIANS(B281)))/(P2_b*COS(RADIANS(B281)))</f>
        <v>1.72497992556398</v>
      </c>
      <c r="H281" s="42" t="n">
        <f aca="false">-P2_a*P2_al2*SIN(RADIANS($A281))-P2_a*P2_w2^2*COS(RADIANS($A281))+P2_b*G281*SIN(RADIANS(B281))+P2_b*E281^2*COS(RADIANS(B281))</f>
        <v>277.214970354727</v>
      </c>
      <c r="I281" s="45" t="n">
        <v>45</v>
      </c>
    </row>
    <row r="282" customFormat="false" ht="15" hidden="false" customHeight="false" outlineLevel="0" collapsed="false">
      <c r="A282" s="41" t="n">
        <v>138</v>
      </c>
      <c r="B282" s="42" t="n">
        <f aca="false">180-DEGREES(ASIN((P2_a*SIN(RADIANS($A282))-P2_c)/P2_b))</f>
        <v>160.795783414269</v>
      </c>
      <c r="C282" s="42" t="n">
        <f aca="false">P2_a*COS(RADIANS($A282))-P2_b*COS(RADIANS(B282))</f>
        <v>98.6444169274908</v>
      </c>
      <c r="D282" s="43" t="n">
        <f aca="false">90-DEGREES(ASIN(ABS((P2_a*SIN(RADIANS($A282))-P2_c)/P2_b)))</f>
        <v>70.7957834142685</v>
      </c>
      <c r="E282" s="44" t="n">
        <f aca="false">P2_a*P2_w2*COS(RADIANS($A282))/(P2_b*COS(RADIANS(B282)))</f>
        <v>0.655516252083173</v>
      </c>
      <c r="F282" s="42" t="n">
        <f aca="false">-P2_a*P2_w2*SIN(RADIANS($A282))+P2_b*E282*SIN(RADIANS(B282))</f>
        <v>-45.1125183081466</v>
      </c>
      <c r="G282" s="44" t="n">
        <f aca="false">(P2_a*P2_al2*COS(RADIANS($A282))-P2_a*P2_w2^2*SIN(RADIANS($A282))+P2_b*E282^2*SIN(RADIANS(B282)))/(P2_b*COS(RADIANS(B282)))</f>
        <v>1.70458723940711</v>
      </c>
      <c r="H282" s="42" t="n">
        <f aca="false">-P2_a*P2_al2*SIN(RADIANS($A282))-P2_a*P2_w2^2*COS(RADIANS($A282))+P2_b*G282*SIN(RADIANS(B282))+P2_b*E282^2*COS(RADIANS(B282))</f>
        <v>277.157310840972</v>
      </c>
      <c r="I282" s="45" t="n">
        <v>45</v>
      </c>
    </row>
    <row r="283" customFormat="false" ht="15" hidden="false" customHeight="false" outlineLevel="0" collapsed="false">
      <c r="A283" s="41" t="n">
        <v>138.5</v>
      </c>
      <c r="B283" s="42" t="n">
        <f aca="false">180-DEGREES(ASIN((P2_a*SIN(RADIANS($A283))-P2_c)/P2_b))</f>
        <v>160.900487355627</v>
      </c>
      <c r="C283" s="42" t="n">
        <f aca="false">P2_a*COS(RADIANS($A283))-P2_b*COS(RADIANS(B283))</f>
        <v>98.5201735685916</v>
      </c>
      <c r="D283" s="43" t="n">
        <f aca="false">90-DEGREES(ASIN(ABS((P2_a*SIN(RADIANS($A283))-P2_c)/P2_b)))</f>
        <v>70.9004873556265</v>
      </c>
      <c r="E283" s="44" t="n">
        <f aca="false">P2_a*P2_w2*COS(RADIANS($A283))/(P2_b*COS(RADIANS(B283)))</f>
        <v>0.660222802432696</v>
      </c>
      <c r="F283" s="42" t="n">
        <f aca="false">-P2_a*P2_w2*SIN(RADIANS($A283))+P2_b*E283*SIN(RADIANS(B283))</f>
        <v>-44.3427333158638</v>
      </c>
      <c r="G283" s="44" t="n">
        <f aca="false">(P2_a*P2_al2*COS(RADIANS($A283))-P2_a*P2_w2^2*SIN(RADIANS($A283))+P2_b*E283^2*SIN(RADIANS(B283)))/(P2_b*COS(RADIANS(B283)))</f>
        <v>1.68411615574359</v>
      </c>
      <c r="H283" s="42" t="n">
        <f aca="false">-P2_a*P2_al2*SIN(RADIANS($A283))-P2_a*P2_w2^2*COS(RADIANS($A283))+P2_b*G283*SIN(RADIANS(B283))+P2_b*E283^2*COS(RADIANS(B283))</f>
        <v>277.085569562385</v>
      </c>
      <c r="I283" s="45" t="n">
        <v>45</v>
      </c>
    </row>
    <row r="284" customFormat="false" ht="15" hidden="false" customHeight="false" outlineLevel="0" collapsed="false">
      <c r="A284" s="41" t="n">
        <v>139</v>
      </c>
      <c r="B284" s="42" t="n">
        <f aca="false">180-DEGREES(ASIN((P2_a*SIN(RADIANS($A284))-P2_c)/P2_b))</f>
        <v>161.005935836997</v>
      </c>
      <c r="C284" s="42" t="n">
        <f aca="false">P2_a*COS(RADIANS($A284))-P2_b*COS(RADIANS(B284))</f>
        <v>98.3980682068289</v>
      </c>
      <c r="D284" s="43" t="n">
        <f aca="false">90-DEGREES(ASIN(ABS((P2_a*SIN(RADIANS($A284))-P2_c)/P2_b)))</f>
        <v>71.0059358369967</v>
      </c>
      <c r="E284" s="44" t="n">
        <f aca="false">P2_a*P2_w2*COS(RADIANS($A284))/(P2_b*COS(RADIANS(B284)))</f>
        <v>0.664872382678246</v>
      </c>
      <c r="F284" s="42" t="n">
        <f aca="false">-P2_a*P2_w2*SIN(RADIANS($A284))+P2_b*E284*SIN(RADIANS(B284))</f>
        <v>-43.5731667069718</v>
      </c>
      <c r="G284" s="44" t="n">
        <f aca="false">(P2_a*P2_al2*COS(RADIANS($A284))-P2_a*P2_w2^2*SIN(RADIANS($A284))+P2_b*E284^2*SIN(RADIANS(B284)))/(P2_b*COS(RADIANS(B284)))</f>
        <v>1.6635691791688</v>
      </c>
      <c r="H284" s="42" t="n">
        <f aca="false">-P2_a*P2_al2*SIN(RADIANS($A284))-P2_a*P2_w2^2*COS(RADIANS($A284))+P2_b*G284*SIN(RADIANS(B284))+P2_b*E284^2*COS(RADIANS(B284))</f>
        <v>277.000140037481</v>
      </c>
      <c r="I284" s="45" t="n">
        <v>45</v>
      </c>
    </row>
    <row r="285" customFormat="false" ht="15" hidden="false" customHeight="false" outlineLevel="0" collapsed="false">
      <c r="A285" s="41" t="n">
        <v>139.5</v>
      </c>
      <c r="B285" s="42" t="n">
        <f aca="false">180-DEGREES(ASIN((P2_a*SIN(RADIANS($A285))-P2_c)/P2_b))</f>
        <v>161.112119774712</v>
      </c>
      <c r="C285" s="42" t="n">
        <f aca="false">P2_a*COS(RADIANS($A285))-P2_b*COS(RADIANS(B285))</f>
        <v>98.2781001832747</v>
      </c>
      <c r="D285" s="43" t="n">
        <f aca="false">90-DEGREES(ASIN(ABS((P2_a*SIN(RADIANS($A285))-P2_c)/P2_b)))</f>
        <v>71.1121197747121</v>
      </c>
      <c r="E285" s="44" t="n">
        <f aca="false">P2_a*P2_w2*COS(RADIANS($A285))/(P2_b*COS(RADIANS(B285)))</f>
        <v>0.669464785445643</v>
      </c>
      <c r="F285" s="42" t="n">
        <f aca="false">-P2_a*P2_w2*SIN(RADIANS($A285))+P2_b*E285*SIN(RADIANS(B285))</f>
        <v>-42.8038559626978</v>
      </c>
      <c r="G285" s="44" t="n">
        <f aca="false">(P2_a*P2_al2*COS(RADIANS($A285))-P2_a*P2_w2^2*SIN(RADIANS($A285))+P2_b*E285^2*SIN(RADIANS(B285)))/(P2_b*COS(RADIANS(B285)))</f>
        <v>1.64294878042451</v>
      </c>
      <c r="H285" s="42" t="n">
        <f aca="false">-P2_a*P2_al2*SIN(RADIANS($A285))-P2_a*P2_w2^2*COS(RADIANS($A285))+P2_b*G285*SIN(RADIANS(B285))+P2_b*E285^2*COS(RADIANS(B285))</f>
        <v>276.901411562799</v>
      </c>
      <c r="I285" s="45" t="n">
        <v>45</v>
      </c>
    </row>
    <row r="286" customFormat="false" ht="15" hidden="false" customHeight="false" outlineLevel="0" collapsed="false">
      <c r="A286" s="41" t="n">
        <v>140</v>
      </c>
      <c r="B286" s="42" t="n">
        <f aca="false">180-DEGREES(ASIN((P2_a*SIN(RADIANS($A286))-P2_c)/P2_b))</f>
        <v>161.219030052645</v>
      </c>
      <c r="C286" s="42" t="n">
        <f aca="false">P2_a*COS(RADIANS($A286))-P2_b*COS(RADIANS(B286))</f>
        <v>98.1602687363826</v>
      </c>
      <c r="D286" s="43" t="n">
        <f aca="false">90-DEGREES(ASIN(ABS((P2_a*SIN(RADIANS($A286))-P2_c)/P2_b)))</f>
        <v>71.2190300526447</v>
      </c>
      <c r="E286" s="44" t="n">
        <f aca="false">P2_a*P2_w2*COS(RADIANS($A286))/(P2_b*COS(RADIANS(B286)))</f>
        <v>0.673999810176467</v>
      </c>
      <c r="F286" s="42" t="n">
        <f aca="false">-P2_a*P2_w2*SIN(RADIANS($A286))+P2_b*E286*SIN(RADIANS(B286))</f>
        <v>-42.0348374888749</v>
      </c>
      <c r="G286" s="44" t="n">
        <f aca="false">(P2_a*P2_al2*COS(RADIANS($A286))-P2_a*P2_w2^2*SIN(RADIANS($A286))+P2_b*E286^2*SIN(RADIANS(B286)))/(P2_b*COS(RADIANS(B286)))</f>
        <v>1.62225739606134</v>
      </c>
      <c r="H286" s="42" t="n">
        <f aca="false">-P2_a*P2_al2*SIN(RADIANS($A286))-P2_a*P2_w2^2*COS(RADIANS($A286))+P2_b*G286*SIN(RADIANS(B286))+P2_b*E286^2*COS(RADIANS(B286))</f>
        <v>276.789769108477</v>
      </c>
      <c r="I286" s="45" t="n">
        <v>45</v>
      </c>
    </row>
    <row r="287" customFormat="false" ht="15" hidden="false" customHeight="false" outlineLevel="0" collapsed="false">
      <c r="A287" s="41" t="n">
        <v>140.5</v>
      </c>
      <c r="B287" s="42" t="n">
        <f aca="false">180-DEGREES(ASIN((P2_a*SIN(RADIANS($A287))-P2_c)/P2_b))</f>
        <v>161.326657523283</v>
      </c>
      <c r="C287" s="42" t="n">
        <f aca="false">P2_a*COS(RADIANS($A287))-P2_b*COS(RADIANS(B287))</f>
        <v>98.0445730049586</v>
      </c>
      <c r="D287" s="43" t="n">
        <f aca="false">90-DEGREES(ASIN(ABS((P2_a*SIN(RADIANS($A287))-P2_c)/P2_b)))</f>
        <v>71.3266575232827</v>
      </c>
      <c r="E287" s="44" t="n">
        <f aca="false">P2_a*P2_w2*COS(RADIANS($A287))/(P2_b*COS(RADIANS(B287)))</f>
        <v>0.678477263032647</v>
      </c>
      <c r="F287" s="42" t="n">
        <f aca="false">-P2_a*P2_w2*SIN(RADIANS($A287))+P2_b*E287*SIN(RADIANS(B287))</f>
        <v>-41.2661466280997</v>
      </c>
      <c r="G287" s="44" t="n">
        <f aca="false">(P2_a*P2_al2*COS(RADIANS($A287))-P2_a*P2_w2^2*SIN(RADIANS($A287))+P2_b*E287^2*SIN(RADIANS(B287)))/(P2_b*COS(RADIANS(B287)))</f>
        <v>1.60149742813483</v>
      </c>
      <c r="H287" s="42" t="n">
        <f aca="false">-P2_a*P2_al2*SIN(RADIANS($A287))-P2_a*P2_w2^2*COS(RADIANS($A287))+P2_b*G287*SIN(RADIANS(B287))+P2_b*E287^2*COS(RADIANS(B287))</f>
        <v>276.665593218571</v>
      </c>
      <c r="I287" s="45" t="n">
        <v>45</v>
      </c>
    </row>
    <row r="288" customFormat="false" ht="15" hidden="false" customHeight="false" outlineLevel="0" collapsed="false">
      <c r="A288" s="41" t="n">
        <v>141</v>
      </c>
      <c r="B288" s="42" t="n">
        <f aca="false">180-DEGREES(ASIN((P2_a*SIN(RADIANS($A288))-P2_c)/P2_b))</f>
        <v>161.434993008793</v>
      </c>
      <c r="C288" s="42" t="n">
        <f aca="false">P2_a*COS(RADIANS($A288))-P2_b*COS(RADIANS(B288))</f>
        <v>97.9310120310973</v>
      </c>
      <c r="D288" s="43" t="n">
        <f aca="false">90-DEGREES(ASIN(ABS((P2_a*SIN(RADIANS($A288))-P2_c)/P2_b)))</f>
        <v>71.4349930087925</v>
      </c>
      <c r="E288" s="44" t="n">
        <f aca="false">P2_a*P2_w2*COS(RADIANS($A288))/(P2_b*COS(RADIANS(B288)))</f>
        <v>0.682896956800265</v>
      </c>
      <c r="F288" s="42" t="n">
        <f aca="false">-P2_a*P2_w2*SIN(RADIANS($A288))+P2_b*E288*SIN(RADIANS(B288))</f>
        <v>-40.4978176721595</v>
      </c>
      <c r="G288" s="44" t="n">
        <f aca="false">(P2_a*P2_al2*COS(RADIANS($A288))-P2_a*P2_w2^2*SIN(RADIANS($A288))+P2_b*E288^2*SIN(RADIANS(B288)))/(P2_b*COS(RADIANS(B288)))</f>
        <v>1.58067124393463</v>
      </c>
      <c r="H288" s="42" t="n">
        <f aca="false">-P2_a*P2_al2*SIN(RADIANS($A288))-P2_a*P2_w2^2*COS(RADIANS($A288))+P2_b*G288*SIN(RADIANS(B288))+P2_b*E288^2*COS(RADIANS(B288))</f>
        <v>276.52925991606</v>
      </c>
      <c r="I288" s="45" t="n">
        <v>45</v>
      </c>
    </row>
    <row r="289" customFormat="false" ht="15" hidden="false" customHeight="false" outlineLevel="0" collapsed="false">
      <c r="A289" s="41" t="n">
        <v>141.5</v>
      </c>
      <c r="B289" s="42" t="n">
        <f aca="false">180-DEGREES(ASIN((P2_a*SIN(RADIANS($A289))-P2_c)/P2_b))</f>
        <v>161.544027302065</v>
      </c>
      <c r="C289" s="42" t="n">
        <f aca="false">P2_a*COS(RADIANS($A289))-P2_b*COS(RADIANS(B289))</f>
        <v>97.8195847630831</v>
      </c>
      <c r="D289" s="43" t="n">
        <f aca="false">90-DEGREES(ASIN(ABS((P2_a*SIN(RADIANS($A289))-P2_c)/P2_b)))</f>
        <v>71.5440273020652</v>
      </c>
      <c r="E289" s="44" t="n">
        <f aca="false">P2_a*P2_w2*COS(RADIANS($A289))/(P2_b*COS(RADIANS(B289)))</f>
        <v>0.687258710792641</v>
      </c>
      <c r="F289" s="42" t="n">
        <f aca="false">-P2_a*P2_w2*SIN(RADIANS($A289))+P2_b*E289*SIN(RADIANS(B289))</f>
        <v>-39.7298838747183</v>
      </c>
      <c r="G289" s="44" t="n">
        <f aca="false">(P2_a*P2_al2*COS(RADIANS($A289))-P2_a*P2_w2^2*SIN(RADIANS($A289))+P2_b*E289^2*SIN(RADIANS(B289)))/(P2_b*COS(RADIANS(B289)))</f>
        <v>1.55978117574624</v>
      </c>
      <c r="H289" s="42" t="n">
        <f aca="false">-P2_a*P2_al2*SIN(RADIANS($A289))-P2_a*P2_w2^2*COS(RADIANS($A289))+P2_b*G289*SIN(RADIANS(B289))+P2_b*E289^2*COS(RADIANS(B289))</f>
        <v>276.381140612458</v>
      </c>
      <c r="I289" s="45" t="n">
        <v>45</v>
      </c>
    </row>
    <row r="290" customFormat="false" ht="15" hidden="false" customHeight="false" outlineLevel="0" collapsed="false">
      <c r="A290" s="41" t="n">
        <v>142</v>
      </c>
      <c r="B290" s="42" t="n">
        <f aca="false">180-DEGREES(ASIN((P2_a*SIN(RADIANS($A290))-P2_c)/P2_b))</f>
        <v>161.653751167747</v>
      </c>
      <c r="C290" s="42" t="n">
        <f aca="false">P2_a*COS(RADIANS($A290))-P2_b*COS(RADIANS(B290))</f>
        <v>97.7102900582557</v>
      </c>
      <c r="D290" s="43" t="n">
        <f aca="false">90-DEGREES(ASIN(ABS((P2_a*SIN(RADIANS($A290))-P2_c)/P2_b)))</f>
        <v>71.6537511677474</v>
      </c>
      <c r="E290" s="44" t="n">
        <f aca="false">P2_a*P2_w2*COS(RADIANS($A290))/(P2_b*COS(RADIANS(B290)))</f>
        <v>0.691562350752806</v>
      </c>
      <c r="F290" s="42" t="n">
        <f aca="false">-P2_a*P2_w2*SIN(RADIANS($A290))+P2_b*E290*SIN(RADIANS(B290))</f>
        <v>-38.9623774642455</v>
      </c>
      <c r="G290" s="44" t="n">
        <f aca="false">(P2_a*P2_al2*COS(RADIANS($A290))-P2_a*P2_w2^2*SIN(RADIANS($A290))+P2_b*E290^2*SIN(RADIANS(B290)))/(P2_b*COS(RADIANS(B290)))</f>
        <v>1.53882952064471</v>
      </c>
      <c r="H290" s="42" t="n">
        <f aca="false">-P2_a*P2_al2*SIN(RADIANS($A290))-P2_a*P2_w2^2*COS(RADIANS($A290))+P2_b*G290*SIN(RADIANS(B290))+P2_b*E290^2*COS(RADIANS(B290))</f>
        <v>276.221602021968</v>
      </c>
      <c r="I290" s="45" t="n">
        <v>45</v>
      </c>
    </row>
    <row r="291" customFormat="false" ht="15" hidden="false" customHeight="false" outlineLevel="0" collapsed="false">
      <c r="A291" s="41" t="n">
        <v>142.5</v>
      </c>
      <c r="B291" s="42" t="n">
        <f aca="false">180-DEGREES(ASIN((P2_a*SIN(RADIANS($A291))-P2_c)/P2_b))</f>
        <v>161.764155343257</v>
      </c>
      <c r="C291" s="42" t="n">
        <f aca="false">P2_a*COS(RADIANS($A291))-P2_b*COS(RADIANS(B291))</f>
        <v>97.6031266858403</v>
      </c>
      <c r="D291" s="43" t="n">
        <f aca="false">90-DEGREES(ASIN(ABS((P2_a*SIN(RADIANS($A291))-P2_c)/P2_b)))</f>
        <v>71.7641553432574</v>
      </c>
      <c r="E291" s="44" t="n">
        <f aca="false">P2_a*P2_w2*COS(RADIANS($A291))/(P2_b*COS(RADIANS(B291)))</f>
        <v>0.695807708755446</v>
      </c>
      <c r="F291" s="42" t="n">
        <f aca="false">-P2_a*P2_w2*SIN(RADIANS($A291))+P2_b*E291*SIN(RADIANS(B291))</f>
        <v>-38.1953296571791</v>
      </c>
      <c r="G291" s="44" t="n">
        <f aca="false">(P2_a*P2_al2*COS(RADIANS($A291))-P2_a*P2_w2^2*SIN(RADIANS($A291))+P2_b*E291^2*SIN(RADIANS(B291)))/(P2_b*COS(RADIANS(B291)))</f>
        <v>1.51781854031977</v>
      </c>
      <c r="H291" s="42" t="n">
        <f aca="false">-P2_a*P2_al2*SIN(RADIANS($A291))-P2_a*P2_w2^2*COS(RADIANS($A291))+P2_b*G291*SIN(RADIANS(B291))+P2_b*E291^2*COS(RADIANS(B291))</f>
        <v>276.051006080086</v>
      </c>
      <c r="I291" s="45" t="n">
        <v>45</v>
      </c>
    </row>
    <row r="292" customFormat="false" ht="15" hidden="false" customHeight="false" outlineLevel="0" collapsed="false">
      <c r="A292" s="41" t="n">
        <v>143</v>
      </c>
      <c r="B292" s="42" t="n">
        <f aca="false">180-DEGREES(ASIN((P2_a*SIN(RADIANS($A292))-P2_c)/P2_b))</f>
        <v>161.875230539784</v>
      </c>
      <c r="C292" s="42" t="n">
        <f aca="false">P2_a*COS(RADIANS($A292))-P2_b*COS(RADIANS(B292))</f>
        <v>97.4980933297398</v>
      </c>
      <c r="D292" s="43" t="n">
        <f aca="false">90-DEGREES(ASIN(ABS((P2_a*SIN(RADIANS($A292))-P2_c)/P2_b)))</f>
        <v>71.8752305397844</v>
      </c>
      <c r="E292" s="44" t="n">
        <f aca="false">P2_a*P2_w2*COS(RADIANS($A292))/(P2_b*COS(RADIANS(B292)))</f>
        <v>0.699994623108401</v>
      </c>
      <c r="F292" s="42" t="n">
        <f aca="false">-P2_a*P2_w2*SIN(RADIANS($A292))+P2_b*E292*SIN(RADIANS(B292))</f>
        <v>-37.4287706713074</v>
      </c>
      <c r="G292" s="44" t="n">
        <f aca="false">(P2_a*P2_al2*COS(RADIANS($A292))-P2_a*P2_w2^2*SIN(RADIANS($A292))+P2_b*E292^2*SIN(RADIANS(B292)))/(P2_b*COS(RADIANS(B292)))</f>
        <v>1.49675046093173</v>
      </c>
      <c r="H292" s="42" t="n">
        <f aca="false">-P2_a*P2_al2*SIN(RADIANS($A292))-P2_a*P2_w2^2*COS(RADIANS($A292))+P2_b*G292*SIN(RADIANS(B292))+P2_b*E292^2*COS(RADIANS(B292))</f>
        <v>275.869709866588</v>
      </c>
      <c r="I292" s="45" t="n">
        <v>45</v>
      </c>
    </row>
    <row r="293" customFormat="false" ht="15" hidden="false" customHeight="false" outlineLevel="0" collapsed="false">
      <c r="A293" s="41" t="n">
        <v>143.5</v>
      </c>
      <c r="B293" s="42" t="n">
        <f aca="false">180-DEGREES(ASIN((P2_a*SIN(RADIANS($A293))-P2_c)/P2_b))</f>
        <v>161.986967443273</v>
      </c>
      <c r="C293" s="42" t="n">
        <f aca="false">P2_a*COS(RADIANS($A293))-P2_b*COS(RADIANS(B293))</f>
        <v>97.3951885912902</v>
      </c>
      <c r="D293" s="43" t="n">
        <f aca="false">90-DEGREES(ASIN(ABS((P2_a*SIN(RADIANS($A293))-P2_c)/P2_b)))</f>
        <v>71.9869674432731</v>
      </c>
      <c r="E293" s="44" t="n">
        <f aca="false">P2_a*P2_w2*COS(RADIANS($A293))/(P2_b*COS(RADIANS(B293)))</f>
        <v>0.704122938253811</v>
      </c>
      <c r="F293" s="42" t="n">
        <f aca="false">-P2_a*P2_w2*SIN(RADIANS($A293))+P2_b*E293*SIN(RADIANS(B293))</f>
        <v>-36.6627297393589</v>
      </c>
      <c r="G293" s="44" t="n">
        <f aca="false">(P2_a*P2_al2*COS(RADIANS($A293))-P2_a*P2_w2^2*SIN(RADIANS($A293))+P2_b*E293^2*SIN(RADIANS(B293)))/(P2_b*COS(RADIANS(B293)))</f>
        <v>1.47562747299762</v>
      </c>
      <c r="H293" s="42" t="n">
        <f aca="false">-P2_a*P2_al2*SIN(RADIANS($A293))-P2_a*P2_w2^2*COS(RADIANS($A293))+P2_b*G293*SIN(RADIANS(B293))+P2_b*E293^2*COS(RADIANS(B293))</f>
        <v>275.678065532805</v>
      </c>
      <c r="I293" s="45" t="n">
        <v>45</v>
      </c>
    </row>
    <row r="294" customFormat="false" ht="15" hidden="false" customHeight="false" outlineLevel="0" collapsed="false">
      <c r="A294" s="41" t="n">
        <v>144</v>
      </c>
      <c r="B294" s="42" t="n">
        <f aca="false">180-DEGREES(ASIN((P2_a*SIN(RADIANS($A294))-P2_c)/P2_b))</f>
        <v>162.099356715392</v>
      </c>
      <c r="C294" s="42" t="n">
        <f aca="false">P2_a*COS(RADIANS($A294))-P2_b*COS(RADIANS(B294))</f>
        <v>97.2944109919774</v>
      </c>
      <c r="D294" s="43" t="n">
        <f aca="false">90-DEGREES(ASIN(ABS((P2_a*SIN(RADIANS($A294))-P2_c)/P2_b)))</f>
        <v>72.0993567153919</v>
      </c>
      <c r="E294" s="44" t="n">
        <f aca="false">P2_a*P2_w2*COS(RADIANS($A294))/(P2_b*COS(RADIANS(B294)))</f>
        <v>0.708192504668977</v>
      </c>
      <c r="F294" s="42" t="n">
        <f aca="false">-P2_a*P2_w2*SIN(RADIANS($A294))+P2_b*E294*SIN(RADIANS(B294))</f>
        <v>-35.8972351227891</v>
      </c>
      <c r="G294" s="44" t="n">
        <f aca="false">(P2_a*P2_al2*COS(RADIANS($A294))-P2_a*P2_w2^2*SIN(RADIANS($A294))+P2_b*E294^2*SIN(RADIANS(B294)))/(P2_b*COS(RADIANS(B294)))</f>
        <v>1.45445173130685</v>
      </c>
      <c r="H294" s="42" t="n">
        <f aca="false">-P2_a*P2_al2*SIN(RADIANS($A294))-P2_a*P2_w2^2*COS(RADIANS($A294))+P2_b*G294*SIN(RADIANS(B294))+P2_b*E294^2*COS(RADIANS(B294))</f>
        <v>275.476420233116</v>
      </c>
      <c r="I294" s="45" t="n">
        <v>45</v>
      </c>
    </row>
    <row r="295" customFormat="false" ht="15" hidden="false" customHeight="false" outlineLevel="0" collapsed="false">
      <c r="A295" s="41" t="n">
        <v>144.5</v>
      </c>
      <c r="B295" s="42" t="n">
        <f aca="false">180-DEGREES(ASIN((P2_a*SIN(RADIANS($A295))-P2_c)/P2_b))</f>
        <v>162.212388994486</v>
      </c>
      <c r="C295" s="42" t="n">
        <f aca="false">P2_a*COS(RADIANS($A295))-P2_b*COS(RADIANS(B295))</f>
        <v>97.1957589761164</v>
      </c>
      <c r="D295" s="43" t="n">
        <f aca="false">90-DEGREES(ASIN(ABS((P2_a*SIN(RADIANS($A295))-P2_c)/P2_b)))</f>
        <v>72.2123889944857</v>
      </c>
      <c r="E295" s="44" t="n">
        <f aca="false">P2_a*P2_w2*COS(RADIANS($A295))/(P2_b*COS(RADIANS(B295)))</f>
        <v>0.712203178767038</v>
      </c>
      <c r="F295" s="42" t="n">
        <f aca="false">-P2_a*P2_w2*SIN(RADIANS($A295))+P2_b*E295*SIN(RADIANS(B295))</f>
        <v>-35.132314125751</v>
      </c>
      <c r="G295" s="44" t="n">
        <f aca="false">(P2_a*P2_al2*COS(RADIANS($A295))-P2_a*P2_w2^2*SIN(RADIANS($A295))+P2_b*E295^2*SIN(RADIANS(B295)))/(P2_b*COS(RADIANS(B295)))</f>
        <v>1.43322535486582</v>
      </c>
      <c r="H295" s="42" t="n">
        <f aca="false">-P2_a*P2_al2*SIN(RADIANS($A295))-P2_a*P2_w2^2*COS(RADIANS($A295))+P2_b*G295*SIN(RADIANS(B295))+P2_b*E295^2*COS(RADIANS(B295))</f>
        <v>275.265116060553</v>
      </c>
      <c r="I295" s="45" t="n">
        <v>45</v>
      </c>
    </row>
    <row r="296" customFormat="false" ht="15" hidden="false" customHeight="false" outlineLevel="0" collapsed="false">
      <c r="A296" s="41" t="n">
        <v>145</v>
      </c>
      <c r="B296" s="42" t="n">
        <f aca="false">180-DEGREES(ASIN((P2_a*SIN(RADIANS($A296))-P2_c)/P2_b))</f>
        <v>162.326054896513</v>
      </c>
      <c r="C296" s="42" t="n">
        <f aca="false">P2_a*COS(RADIANS($A296))-P2_b*COS(RADIANS(B296))</f>
        <v>97.0992309134903</v>
      </c>
      <c r="D296" s="43" t="n">
        <f aca="false">90-DEGREES(ASIN(ABS((P2_a*SIN(RADIANS($A296))-P2_c)/P2_b)))</f>
        <v>72.3260548965125</v>
      </c>
      <c r="E296" s="44" t="n">
        <f aca="false">P2_a*P2_w2*COS(RADIANS($A296))/(P2_b*COS(RADIANS(B296)))</f>
        <v>0.716154822797528</v>
      </c>
      <c r="F296" s="42" t="n">
        <f aca="false">-P2_a*P2_w2*SIN(RADIANS($A296))+P2_b*E296*SIN(RADIANS(B296))</f>
        <v>-34.3679931092387</v>
      </c>
      <c r="G296" s="44" t="n">
        <f aca="false">(P2_a*P2_al2*COS(RADIANS($A296))-P2_a*P2_w2^2*SIN(RADIANS($A296))+P2_b*E296^2*SIN(RADIANS(B296)))/(P2_b*COS(RADIANS(B296)))</f>
        <v>1.41195042687079</v>
      </c>
      <c r="H296" s="42" t="n">
        <f aca="false">-P2_a*P2_al2*SIN(RADIANS($A296))-P2_a*P2_w2^2*COS(RADIANS($A296))+P2_b*G296*SIN(RADIANS(B296))+P2_b*E296^2*COS(RADIANS(B296))</f>
        <v>275.04448998645</v>
      </c>
      <c r="I296" s="45" t="n">
        <v>45</v>
      </c>
    </row>
    <row r="297" customFormat="false" ht="15" hidden="false" customHeight="false" outlineLevel="0" collapsed="false">
      <c r="A297" s="41" t="n">
        <v>145.5</v>
      </c>
      <c r="B297" s="42" t="n">
        <f aca="false">180-DEGREES(ASIN((P2_a*SIN(RADIANS($A297))-P2_c)/P2_b))</f>
        <v>162.440345015965</v>
      </c>
      <c r="C297" s="42" t="n">
        <f aca="false">P2_a*COS(RADIANS($A297))-P2_b*COS(RADIANS(B297))</f>
        <v>97.004825101951</v>
      </c>
      <c r="D297" s="43" t="n">
        <f aca="false">90-DEGREES(ASIN(ABS((P2_a*SIN(RADIANS($A297))-P2_c)/P2_b)))</f>
        <v>72.4403450159645</v>
      </c>
      <c r="E297" s="44" t="n">
        <f aca="false">P2_a*P2_w2*COS(RADIANS($A297))/(P2_b*COS(RADIANS(B297)))</f>
        <v>0.7200473047469</v>
      </c>
      <c r="F297" s="42" t="n">
        <f aca="false">-P2_a*P2_w2*SIN(RADIANS($A297))+P2_b*E297*SIN(RADIANS(B297))</f>
        <v>-33.6042975053947</v>
      </c>
      <c r="G297" s="44" t="n">
        <f aca="false">(P2_a*P2_al2*COS(RADIANS($A297))-P2_a*P2_w2^2*SIN(RADIANS($A297))+P2_b*E297^2*SIN(RADIANS(B297)))/(P2_b*COS(RADIANS(B297)))</f>
        <v>1.39062899470844</v>
      </c>
      <c r="H297" s="42" t="n">
        <f aca="false">-P2_a*P2_al2*SIN(RADIANS($A297))-P2_a*P2_w2^2*COS(RADIANS($A297))+P2_b*G297*SIN(RADIANS(B297))+P2_b*E297^2*COS(RADIANS(B297))</f>
        <v>274.814873804032</v>
      </c>
      <c r="I297" s="45" t="n">
        <v>45</v>
      </c>
    </row>
    <row r="298" customFormat="false" ht="15" hidden="false" customHeight="false" outlineLevel="0" collapsed="false">
      <c r="A298" s="41" t="n">
        <v>146</v>
      </c>
      <c r="B298" s="42" t="n">
        <f aca="false">180-DEGREES(ASIN((P2_a*SIN(RADIANS($A298))-P2_c)/P2_b))</f>
        <v>162.555249926773</v>
      </c>
      <c r="C298" s="42" t="n">
        <f aca="false">P2_a*COS(RADIANS($A298))-P2_b*COS(RADIANS(B298))</f>
        <v>96.9125397699785</v>
      </c>
      <c r="D298" s="43" t="n">
        <f aca="false">90-DEGREES(ASIN(ABS((P2_a*SIN(RADIANS($A298))-P2_c)/P2_b)))</f>
        <v>72.5552499267733</v>
      </c>
      <c r="E298" s="44" t="n">
        <f aca="false">P2_a*P2_w2*COS(RADIANS($A298))/(P2_b*COS(RADIANS(B298)))</f>
        <v>0.723880498239083</v>
      </c>
      <c r="F298" s="42" t="n">
        <f aca="false">-P2_a*P2_w2*SIN(RADIANS($A298))+P2_b*E298*SIN(RADIANS(B298))</f>
        <v>-32.8412518319662</v>
      </c>
      <c r="G298" s="44" t="n">
        <f aca="false">(P2_a*P2_al2*COS(RADIANS($A298))-P2_a*P2_w2^2*SIN(RADIANS($A298))+P2_b*E298^2*SIN(RADIANS(B298)))/(P2_b*COS(RADIANS(B298)))</f>
        <v>1.36926306998334</v>
      </c>
      <c r="H298" s="42" t="n">
        <f aca="false">-P2_a*P2_al2*SIN(RADIANS($A298))-P2_a*P2_w2^2*COS(RADIANS($A298))+P2_b*G298*SIN(RADIANS(B298))+P2_b*E298^2*COS(RADIANS(B298))</f>
        <v>274.576594075851</v>
      </c>
      <c r="I298" s="45" t="n">
        <v>45</v>
      </c>
    </row>
    <row r="299" customFormat="false" ht="15" hidden="false" customHeight="false" outlineLevel="0" collapsed="false">
      <c r="A299" s="41" t="n">
        <v>146.5</v>
      </c>
      <c r="B299" s="42" t="n">
        <f aca="false">180-DEGREES(ASIN((P2_a*SIN(RADIANS($A299))-P2_c)/P2_b))</f>
        <v>162.670760183199</v>
      </c>
      <c r="C299" s="42" t="n">
        <f aca="false">P2_a*COS(RADIANS($A299))-P2_b*COS(RADIANS(B299))</f>
        <v>96.8223730792013</v>
      </c>
      <c r="D299" s="43" t="n">
        <f aca="false">90-DEGREES(ASIN(ABS((P2_a*SIN(RADIANS($A299))-P2_c)/P2_b)))</f>
        <v>72.670760183199</v>
      </c>
      <c r="E299" s="44" t="n">
        <f aca="false">P2_a*P2_w2*COS(RADIANS($A299))/(P2_b*COS(RADIANS(B299)))</f>
        <v>0.72765428243616</v>
      </c>
      <c r="F299" s="42" t="n">
        <f aca="false">-P2_a*P2_w2*SIN(RADIANS($A299))+P2_b*E299*SIN(RADIANS(B299))</f>
        <v>-32.0788797069041</v>
      </c>
      <c r="G299" s="44" t="n">
        <f aca="false">(P2_a*P2_al2*COS(RADIANS($A299))-P2_a*P2_w2^2*SIN(RADIANS($A299))+P2_b*E299^2*SIN(RADIANS(B299)))/(P2_b*COS(RADIANS(B299)))</f>
        <v>1.34785462857173</v>
      </c>
      <c r="H299" s="42" t="n">
        <f aca="false">-P2_a*P2_al2*SIN(RADIANS($A299))-P2_a*P2_w2^2*COS(RADIANS($A299))+P2_b*G299*SIN(RADIANS(B299))+P2_b*E299^2*COS(RADIANS(B299))</f>
        <v>274.329972084997</v>
      </c>
      <c r="I299" s="45" t="n">
        <v>45</v>
      </c>
    </row>
    <row r="300" customFormat="false" ht="15" hidden="false" customHeight="false" outlineLevel="0" collapsed="false">
      <c r="A300" s="41" t="n">
        <v>147</v>
      </c>
      <c r="B300" s="42" t="n">
        <f aca="false">180-DEGREES(ASIN((P2_a*SIN(RADIANS($A300))-P2_c)/P2_b))</f>
        <v>162.786866320704</v>
      </c>
      <c r="C300" s="42" t="n">
        <f aca="false">P2_a*COS(RADIANS($A300))-P2_b*COS(RADIANS(B300))</f>
        <v>96.7343231268751</v>
      </c>
      <c r="D300" s="43" t="n">
        <f aca="false">90-DEGREES(ASIN(ABS((P2_a*SIN(RADIANS($A300))-P2_c)/P2_b)))</f>
        <v>72.7868663207042</v>
      </c>
      <c r="E300" s="44" t="n">
        <f aca="false">P2_a*P2_w2*COS(RADIANS($A300))/(P2_b*COS(RADIANS(B300)))</f>
        <v>0.731368541939227</v>
      </c>
      <c r="F300" s="42" t="n">
        <f aca="false">-P2_a*P2_w2*SIN(RADIANS($A300))+P2_b*E300*SIN(RADIANS(B300))</f>
        <v>-31.3172038630915</v>
      </c>
      <c r="G300" s="44" t="n">
        <f aca="false">(P2_a*P2_al2*COS(RADIANS($A300))-P2_a*P2_w2^2*SIN(RADIANS($A300))+P2_b*E300^2*SIN(RADIANS(B300)))/(P2_b*COS(RADIANS(B300)))</f>
        <v>1.32640561070094</v>
      </c>
      <c r="H300" s="42" t="n">
        <f aca="false">-P2_a*P2_al2*SIN(RADIANS($A300))-P2_a*P2_w2^2*COS(RADIANS($A300))+P2_b*G300*SIN(RADIANS(B300))+P2_b*E300^2*COS(RADIANS(B300))</f>
        <v>274.075323789953</v>
      </c>
      <c r="I300" s="45" t="n">
        <v>45</v>
      </c>
    </row>
    <row r="301" customFormat="false" ht="15" hidden="false" customHeight="false" outlineLevel="0" collapsed="false">
      <c r="A301" s="41" t="n">
        <v>147.5</v>
      </c>
      <c r="B301" s="42" t="n">
        <f aca="false">180-DEGREES(ASIN((P2_a*SIN(RADIANS($A301))-P2_c)/P2_b))</f>
        <v>162.903558856811</v>
      </c>
      <c r="C301" s="42" t="n">
        <f aca="false">P2_a*COS(RADIANS($A301))-P2_b*COS(RADIANS(B301))</f>
        <v>96.6483879483208</v>
      </c>
      <c r="D301" s="43" t="n">
        <f aca="false">90-DEGREES(ASIN(ABS((P2_a*SIN(RADIANS($A301))-P2_c)/P2_b)))</f>
        <v>72.903558856811</v>
      </c>
      <c r="E301" s="44" t="n">
        <f aca="false">P2_a*P2_w2*COS(RADIANS($A301))/(P2_b*COS(RADIANS(B301)))</f>
        <v>0.735023166689503</v>
      </c>
      <c r="F301" s="42" t="n">
        <f aca="false">-P2_a*P2_w2*SIN(RADIANS($A301))+P2_b*E301*SIN(RADIANS(B301))</f>
        <v>-30.5562461631929</v>
      </c>
      <c r="G301" s="44" t="n">
        <f aca="false">(P2_a*P2_al2*COS(RADIANS($A301))-P2_a*P2_w2^2*SIN(RADIANS($A301))+P2_b*E301^2*SIN(RADIANS(B301)))/(P2_b*COS(RADIANS(B301)))</f>
        <v>1.30491792105376</v>
      </c>
      <c r="H301" s="42" t="n">
        <f aca="false">-P2_a*P2_al2*SIN(RADIANS($A301))-P2_a*P2_w2^2*COS(RADIANS($A301))+P2_b*G301*SIN(RADIANS(B301))+P2_b*E301^2*COS(RADIANS(B301))</f>
        <v>273.812959783047</v>
      </c>
      <c r="I301" s="45" t="n">
        <v>45</v>
      </c>
    </row>
    <row r="302" customFormat="false" ht="15" hidden="false" customHeight="false" outlineLevel="0" collapsed="false">
      <c r="A302" s="41" t="n">
        <v>148</v>
      </c>
      <c r="B302" s="42" t="n">
        <f aca="false">180-DEGREES(ASIN((P2_a*SIN(RADIANS($A302))-P2_c)/P2_b))</f>
        <v>163.020828291944</v>
      </c>
      <c r="C302" s="42" t="n">
        <f aca="false">P2_a*COS(RADIANS($A302))-P2_b*COS(RADIANS(B302))</f>
        <v>96.564565519321</v>
      </c>
      <c r="D302" s="43" t="n">
        <f aca="false">90-DEGREES(ASIN(ABS((P2_a*SIN(RADIANS($A302))-P2_c)/P2_b)))</f>
        <v>73.0208282919438</v>
      </c>
      <c r="E302" s="44" t="n">
        <f aca="false">P2_a*P2_w2*COS(RADIANS($A302))/(P2_b*COS(RADIANS(B302)))</f>
        <v>0.738618051869772</v>
      </c>
      <c r="F302" s="42" t="n">
        <f aca="false">-P2_a*P2_w2*SIN(RADIANS($A302))+P2_b*E302*SIN(RADIANS(B302))</f>
        <v>-29.7960276146139</v>
      </c>
      <c r="G302" s="44" t="n">
        <f aca="false">(P2_a*P2_al2*COS(RADIANS($A302))-P2_a*P2_w2^2*SIN(RADIANS($A302))+P2_b*E302^2*SIN(RADIANS(B302)))/(P2_b*COS(RADIANS(B302)))</f>
        <v>1.28339342889707</v>
      </c>
      <c r="H302" s="42" t="n">
        <f aca="false">-P2_a*P2_al2*SIN(RADIANS($A302))-P2_a*P2_w2^2*COS(RADIANS($A302))+P2_b*G302*SIN(RADIANS(B302))+P2_b*E302^2*COS(RADIANS(B302))</f>
        <v>273.543185252358</v>
      </c>
      <c r="I302" s="45" t="n">
        <v>45</v>
      </c>
    </row>
    <row r="303" customFormat="false" ht="15" hidden="false" customHeight="false" outlineLevel="0" collapsed="false">
      <c r="A303" s="41" t="n">
        <v>148.5</v>
      </c>
      <c r="B303" s="42" t="n">
        <f aca="false">180-DEGREES(ASIN((P2_a*SIN(RADIANS($A303))-P2_c)/P2_b))</f>
        <v>163.138665110256</v>
      </c>
      <c r="C303" s="42" t="n">
        <f aca="false">P2_a*COS(RADIANS($A303))-P2_b*COS(RADIANS(B303))</f>
        <v>96.4828537584748</v>
      </c>
      <c r="D303" s="43" t="n">
        <f aca="false">90-DEGREES(ASIN(ABS((P2_a*SIN(RADIANS($A303))-P2_c)/P2_b)))</f>
        <v>73.1386651102555</v>
      </c>
      <c r="E303" s="44" t="n">
        <f aca="false">P2_a*P2_w2*COS(RADIANS($A303))/(P2_b*COS(RADIANS(B303)))</f>
        <v>0.742153097806212</v>
      </c>
      <c r="F303" s="42" t="n">
        <f aca="false">-P2_a*P2_w2*SIN(RADIANS($A303))+P2_b*E303*SIN(RADIANS(B303))</f>
        <v>-29.0365683845616</v>
      </c>
      <c r="G303" s="44" t="n">
        <f aca="false">(P2_a*P2_al2*COS(RADIANS($A303))-P2_a*P2_w2^2*SIN(RADIANS($A303))+P2_b*E303^2*SIN(RADIANS(B303)))/(P2_b*COS(RADIANS(B303)))</f>
        <v>1.26183396823408</v>
      </c>
      <c r="H303" s="42" t="n">
        <f aca="false">-P2_a*P2_al2*SIN(RADIANS($A303))-P2_a*P2_w2^2*COS(RADIANS($A303))+P2_b*G303*SIN(RADIANS(B303))+P2_b*E303^2*COS(RADIANS(B303))</f>
        <v>273.266299947021</v>
      </c>
      <c r="I303" s="45" t="n">
        <v>45</v>
      </c>
    </row>
    <row r="304" customFormat="false" ht="15" hidden="false" customHeight="false" outlineLevel="0" collapsed="false">
      <c r="A304" s="41" t="n">
        <v>149</v>
      </c>
      <c r="B304" s="42" t="n">
        <f aca="false">180-DEGREES(ASIN((P2_a*SIN(RADIANS($A304))-P2_c)/P2_b))</f>
        <v>163.257059780438</v>
      </c>
      <c r="C304" s="42" t="n">
        <f aca="false">P2_a*COS(RADIANS($A304))-P2_b*COS(RADIANS(B304))</f>
        <v>96.4032505295107</v>
      </c>
      <c r="D304" s="43" t="n">
        <f aca="false">90-DEGREES(ASIN(ABS((P2_a*SIN(RADIANS($A304))-P2_c)/P2_b)))</f>
        <v>73.2570597804381</v>
      </c>
      <c r="E304" s="44" t="n">
        <f aca="false">P2_a*P2_w2*COS(RADIANS($A304))/(P2_b*COS(RADIANS(B304)))</f>
        <v>0.745628209870676</v>
      </c>
      <c r="F304" s="42" t="n">
        <f aca="false">-P2_a*P2_w2*SIN(RADIANS($A304))+P2_b*E304*SIN(RADIANS(B304))</f>
        <v>-28.2778878151977</v>
      </c>
      <c r="G304" s="44" t="n">
        <f aca="false">(P2_a*P2_al2*COS(RADIANS($A304))-P2_a*P2_w2^2*SIN(RADIANS($A304))+P2_b*E304^2*SIN(RADIANS(B304)))/(P2_b*COS(RADIANS(B304)))</f>
        <v>1.24024133797943</v>
      </c>
      <c r="H304" s="42" t="n">
        <f aca="false">-P2_a*P2_al2*SIN(RADIANS($A304))-P2_a*P2_w2^2*COS(RADIANS($A304))+P2_b*G304*SIN(RADIANS(B304))+P2_b*E304^2*COS(RADIANS(B304))</f>
        <v>272.982598145802</v>
      </c>
      <c r="I304" s="45" t="n">
        <v>45</v>
      </c>
    </row>
    <row r="305" customFormat="false" ht="15" hidden="false" customHeight="false" outlineLevel="0" collapsed="false">
      <c r="A305" s="41" t="n">
        <v>149.5</v>
      </c>
      <c r="B305" s="42" t="n">
        <f aca="false">180-DEGREES(ASIN((P2_a*SIN(RADIANS($A305))-P2_c)/P2_b))</f>
        <v>163.376002756518</v>
      </c>
      <c r="C305" s="42" t="n">
        <f aca="false">P2_a*COS(RADIANS($A305))-P2_b*COS(RADIANS(B305))</f>
        <v>96.3257536435574</v>
      </c>
      <c r="D305" s="43" t="n">
        <f aca="false">90-DEGREES(ASIN(ABS((P2_a*SIN(RADIANS($A305))-P2_c)/P2_b)))</f>
        <v>73.376002756518</v>
      </c>
      <c r="E305" s="44" t="n">
        <f aca="false">P2_a*P2_w2*COS(RADIANS($A305))/(P2_b*COS(RADIANS(B305)))</f>
        <v>0.749043298383494</v>
      </c>
      <c r="F305" s="42" t="n">
        <f aca="false">-P2_a*P2_w2*SIN(RADIANS($A305))+P2_b*E305*SIN(RADIANS(B305))</f>
        <v>-27.5200044388733</v>
      </c>
      <c r="G305" s="44" t="n">
        <f aca="false">(P2_a*P2_al2*COS(RADIANS($A305))-P2_a*P2_w2^2*SIN(RADIANS($A305))+P2_b*E305^2*SIN(RADIANS(B305)))/(P2_b*COS(RADIANS(B305)))</f>
        <v>1.21861730215654</v>
      </c>
      <c r="H305" s="42" t="n">
        <f aca="false">-P2_a*P2_al2*SIN(RADIANS($A305))-P2_a*P2_w2^2*COS(RADIANS($A305))+P2_b*G305*SIN(RADIANS(B305))+P2_b*E305^2*COS(RADIANS(B305))</f>
        <v>272.692368628875</v>
      </c>
      <c r="I305" s="45" t="n">
        <v>45</v>
      </c>
    </row>
    <row r="306" customFormat="false" ht="15" hidden="false" customHeight="false" outlineLevel="0" collapsed="false">
      <c r="A306" s="41" t="n">
        <v>150</v>
      </c>
      <c r="B306" s="42" t="n">
        <f aca="false">180-DEGREES(ASIN((P2_a*SIN(RADIANS($A306))-P2_c)/P2_b))</f>
        <v>163.495484478636</v>
      </c>
      <c r="C306" s="42" t="n">
        <f aca="false">P2_a*COS(RADIANS($A306))-P2_b*COS(RADIANS(B306))</f>
        <v>96.2503608613717</v>
      </c>
      <c r="D306" s="43" t="n">
        <f aca="false">90-DEGREES(ASIN(ABS((P2_a*SIN(RADIANS($A306))-P2_c)/P2_b)))</f>
        <v>73.4954844786363</v>
      </c>
      <c r="E306" s="44" t="n">
        <f aca="false">P2_a*P2_w2*COS(RADIANS($A306))/(P2_b*COS(RADIANS(B306)))</f>
        <v>0.752398278516852</v>
      </c>
      <c r="F306" s="42" t="n">
        <f aca="false">-P2_a*P2_w2*SIN(RADIANS($A306))+P2_b*E306*SIN(RADIANS(B306))</f>
        <v>-26.7629359934394</v>
      </c>
      <c r="G306" s="44" t="n">
        <f aca="false">(P2_a*P2_al2*COS(RADIANS($A306))-P2_a*P2_w2^2*SIN(RADIANS($A306))+P2_b*E306^2*SIN(RADIANS(B306)))/(P2_b*COS(RADIANS(B306)))</f>
        <v>1.19696359011653</v>
      </c>
      <c r="H306" s="42" t="n">
        <f aca="false">-P2_a*P2_al2*SIN(RADIANS($A306))-P2_a*P2_w2^2*COS(RADIANS($A306))+P2_b*G306*SIN(RADIANS(B306))+P2_b*E306^2*COS(RADIANS(B306))</f>
        <v>272.395894652682</v>
      </c>
      <c r="I306" s="45" t="n">
        <v>45</v>
      </c>
    </row>
    <row r="307" customFormat="false" ht="15" hidden="false" customHeight="false" outlineLevel="0" collapsed="false">
      <c r="A307" s="41" t="n">
        <v>150.5</v>
      </c>
      <c r="B307" s="42" t="n">
        <f aca="false">180-DEGREES(ASIN((P2_a*SIN(RADIANS($A307))-P2_c)/P2_b))</f>
        <v>163.615495373813</v>
      </c>
      <c r="C307" s="42" t="n">
        <f aca="false">P2_a*COS(RADIANS($A307))-P2_b*COS(RADIANS(B307))</f>
        <v>96.1770698955244</v>
      </c>
      <c r="D307" s="43" t="n">
        <f aca="false">90-DEGREES(ASIN(ABS((P2_a*SIN(RADIANS($A307))-P2_c)/P2_b)))</f>
        <v>73.6154953738128</v>
      </c>
      <c r="E307" s="44" t="n">
        <f aca="false">P2_a*P2_w2*COS(RADIANS($A307))/(P2_b*COS(RADIANS(B307)))</f>
        <v>0.755693070198808</v>
      </c>
      <c r="F307" s="42" t="n">
        <f aca="false">-P2_a*P2_w2*SIN(RADIANS($A307))+P2_b*E307*SIN(RADIANS(B307))</f>
        <v>-26.0066994376207</v>
      </c>
      <c r="G307" s="44" t="n">
        <f aca="false">(P2_a*P2_al2*COS(RADIANS($A307))-P2_a*P2_w2^2*SIN(RADIANS($A307))+P2_b*E307^2*SIN(RADIANS(B307)))/(P2_b*COS(RADIANS(B307)))</f>
        <v>1.17528189677793</v>
      </c>
      <c r="H307" s="42" t="n">
        <f aca="false">-P2_a*P2_al2*SIN(RADIANS($A307))-P2_a*P2_w2^2*COS(RADIANS($A307))+P2_b*G307*SIN(RADIANS(B307))+P2_b*E307^2*COS(RADIANS(B307))</f>
        <v>272.093453927792</v>
      </c>
      <c r="I307" s="45" t="n">
        <v>45</v>
      </c>
    </row>
    <row r="308" customFormat="false" ht="15" hidden="false" customHeight="false" outlineLevel="0" collapsed="false">
      <c r="A308" s="41" t="n">
        <v>151</v>
      </c>
      <c r="B308" s="42" t="n">
        <f aca="false">180-DEGREES(ASIN((P2_a*SIN(RADIANS($A308))-P2_c)/P2_b))</f>
        <v>163.736025856696</v>
      </c>
      <c r="C308" s="42" t="n">
        <f aca="false">P2_a*COS(RADIANS($A308))-P2_b*COS(RADIANS(B308))</f>
        <v>96.1058784125428</v>
      </c>
      <c r="D308" s="43" t="n">
        <f aca="false">90-DEGREES(ASIN(ABS((P2_a*SIN(RADIANS($A308))-P2_c)/P2_b)))</f>
        <v>73.7360258566958</v>
      </c>
      <c r="E308" s="44" t="n">
        <f aca="false">P2_a*P2_w2*COS(RADIANS($A308))/(P2_b*COS(RADIANS(B308)))</f>
        <v>0.758927598018004</v>
      </c>
      <c r="F308" s="42" t="n">
        <f aca="false">-P2_a*P2_w2*SIN(RADIANS($A308))+P2_b*E308*SIN(RADIANS(B308))</f>
        <v>-25.2513109664491</v>
      </c>
      <c r="G308" s="44" t="n">
        <f aca="false">(P2_a*P2_al2*COS(RADIANS($A308))-P2_a*P2_w2^2*SIN(RADIANS($A308))+P2_b*E308^2*SIN(RADIANS(B308)))/(P2_b*COS(RADIANS(B308)))</f>
        <v>1.15357388288665</v>
      </c>
      <c r="H308" s="42" t="n">
        <f aca="false">-P2_a*P2_al2*SIN(RADIANS($A308))-P2_a*P2_w2^2*COS(RADIANS($A308))+P2_b*G308*SIN(RADIANS(B308))+P2_b*E308^2*COS(RADIANS(B308))</f>
        <v>271.785318599665</v>
      </c>
      <c r="I308" s="45" t="n">
        <v>45</v>
      </c>
    </row>
    <row r="309" customFormat="false" ht="15" hidden="false" customHeight="false" outlineLevel="0" collapsed="false">
      <c r="A309" s="41" t="n">
        <v>151.5</v>
      </c>
      <c r="B309" s="42" t="n">
        <f aca="false">180-DEGREES(ASIN((P2_a*SIN(RADIANS($A309))-P2_c)/P2_b))</f>
        <v>163.857066330296</v>
      </c>
      <c r="C309" s="42" t="n">
        <f aca="false">P2_a*COS(RADIANS($A309))-P2_b*COS(RADIANS(B309))</f>
        <v>96.0367840350109</v>
      </c>
      <c r="D309" s="43" t="n">
        <f aca="false">90-DEGREES(ASIN(ABS((P2_a*SIN(RADIANS($A309))-P2_c)/P2_b)))</f>
        <v>73.8570663302961</v>
      </c>
      <c r="E309" s="44" t="n">
        <f aca="false">P2_a*P2_w2*COS(RADIANS($A309))/(P2_b*COS(RADIANS(B309)))</f>
        <v>0.762101791129123</v>
      </c>
      <c r="F309" s="42" t="n">
        <f aca="false">-P2_a*P2_w2*SIN(RADIANS($A309))+P2_b*E309*SIN(RADIANS(B309))</f>
        <v>-24.4967860267455</v>
      </c>
      <c r="G309" s="44" t="n">
        <f aca="false">(P2_a*P2_al2*COS(RADIANS($A309))-P2_a*P2_w2^2*SIN(RADIANS($A309))+P2_b*E309^2*SIN(RADIANS(B309)))/(P2_b*COS(RADIANS(B309)))</f>
        <v>1.13184117529539</v>
      </c>
      <c r="H309" s="42" t="n">
        <f aca="false">-P2_a*P2_al2*SIN(RADIANS($A309))-P2_a*P2_w2^2*COS(RADIANS($A309))+P2_b*G309*SIN(RADIANS(B309))+P2_b*E309^2*COS(RADIANS(B309))</f>
        <v>271.471755232214</v>
      </c>
      <c r="I309" s="45" t="n">
        <v>45</v>
      </c>
    </row>
    <row r="310" customFormat="false" ht="15" hidden="false" customHeight="false" outlineLevel="0" collapsed="false">
      <c r="A310" s="41" t="n">
        <v>152</v>
      </c>
      <c r="B310" s="42" t="n">
        <f aca="false">180-DEGREES(ASIN((P2_a*SIN(RADIANS($A310))-P2_c)/P2_b))</f>
        <v>163.978607186706</v>
      </c>
      <c r="C310" s="42" t="n">
        <f aca="false">P2_a*COS(RADIANS($A310))-P2_b*COS(RADIANS(B310))</f>
        <v>95.9697843436261</v>
      </c>
      <c r="D310" s="43" t="n">
        <f aca="false">90-DEGREES(ASIN(ABS((P2_a*SIN(RADIANS($A310))-P2_c)/P2_b)))</f>
        <v>73.978607186706</v>
      </c>
      <c r="E310" s="44" t="n">
        <f aca="false">P2_a*P2_w2*COS(RADIANS($A310))/(P2_b*COS(RADIANS(B310)))</f>
        <v>0.765215583159152</v>
      </c>
      <c r="F310" s="42" t="n">
        <f aca="false">-P2_a*P2_w2*SIN(RADIANS($A310))+P2_b*E310*SIN(RADIANS(B310))</f>
        <v>-23.7431393326439</v>
      </c>
      <c r="G310" s="44" t="n">
        <f aca="false">(P2_a*P2_al2*COS(RADIANS($A310))-P2_a*P2_w2^2*SIN(RADIANS($A310))+P2_b*E310^2*SIN(RADIANS(B310)))/(P2_b*COS(RADIANS(B310)))</f>
        <v>1.11008536726192</v>
      </c>
      <c r="H310" s="42" t="n">
        <f aca="false">-P2_a*P2_al2*SIN(RADIANS($A310))-P2_a*P2_w2^2*COS(RADIANS($A310))+P2_b*G310*SIN(RADIANS(B310))+P2_b*E310^2*COS(RADIANS(B310))</f>
        <v>271.153024794077</v>
      </c>
      <c r="I310" s="45" t="n">
        <v>45</v>
      </c>
    </row>
    <row r="311" customFormat="false" ht="15" hidden="false" customHeight="false" outlineLevel="0" collapsed="false">
      <c r="A311" s="41" t="n">
        <v>152.5</v>
      </c>
      <c r="B311" s="42" t="n">
        <f aca="false">180-DEGREES(ASIN((P2_a*SIN(RADIANS($A311))-P2_c)/P2_b))</f>
        <v>164.100638807804</v>
      </c>
      <c r="C311" s="42" t="n">
        <f aca="false">P2_a*COS(RADIANS($A311))-P2_b*COS(RADIANS(B311))</f>
        <v>95.9048768792129</v>
      </c>
      <c r="D311" s="43" t="n">
        <f aca="false">90-DEGREES(ASIN(ABS((P2_a*SIN(RADIANS($A311))-P2_c)/P2_b)))</f>
        <v>74.1006388078042</v>
      </c>
      <c r="E311" s="44" t="n">
        <f aca="false">P2_a*P2_w2*COS(RADIANS($A311))/(P2_b*COS(RADIANS(B311)))</f>
        <v>0.7682689121145</v>
      </c>
      <c r="F311" s="42" t="n">
        <f aca="false">-P2_a*P2_w2*SIN(RADIANS($A311))+P2_b*E311*SIN(RADIANS(B311))</f>
        <v>-22.99038488115</v>
      </c>
      <c r="G311" s="44" t="n">
        <f aca="false">(P2_a*P2_al2*COS(RADIANS($A311))-P2_a*P2_w2^2*SIN(RADIANS($A311))+P2_b*E311^2*SIN(RADIANS(B311)))/(P2_b*COS(RADIANS(B311)))</f>
        <v>1.08830801876556</v>
      </c>
      <c r="H311" s="42" t="n">
        <f aca="false">-P2_a*P2_al2*SIN(RADIANS($A311))-P2_a*P2_w2^2*COS(RADIANS($A311))+P2_b*G311*SIN(RADIANS(B311))+P2_b*E311^2*COS(RADIANS(B311))</f>
        <v>270.829382647511</v>
      </c>
      <c r="I311" s="45" t="n">
        <v>45</v>
      </c>
    </row>
    <row r="312" customFormat="false" ht="15" hidden="false" customHeight="false" outlineLevel="0" collapsed="false">
      <c r="A312" s="41" t="n">
        <v>153</v>
      </c>
      <c r="B312" s="42" t="n">
        <f aca="false">180-DEGREES(ASIN((P2_a*SIN(RADIANS($A312))-P2_c)/P2_b))</f>
        <v>164.223151565945</v>
      </c>
      <c r="C312" s="42" t="n">
        <f aca="false">P2_a*COS(RADIANS($A312))-P2_b*COS(RADIANS(B312))</f>
        <v>95.8420591446929</v>
      </c>
      <c r="D312" s="43" t="n">
        <f aca="false">90-DEGREES(ASIN(ABS((P2_a*SIN(RADIANS($A312))-P2_c)/P2_b)))</f>
        <v>74.2231515659451</v>
      </c>
      <c r="E312" s="44" t="n">
        <f aca="false">P2_a*P2_w2*COS(RADIANS($A312))/(P2_b*COS(RADIANS(B312)))</f>
        <v>0.771261720289015</v>
      </c>
      <c r="F312" s="42" t="n">
        <f aca="false">-P2_a*P2_w2*SIN(RADIANS($A312))+P2_b*E312*SIN(RADIANS(B312))</f>
        <v>-22.2385359677261</v>
      </c>
      <c r="G312" s="44" t="n">
        <f aca="false">(P2_a*P2_al2*COS(RADIANS($A312))-P2_a*P2_w2^2*SIN(RADIANS($A312))+P2_b*E312^2*SIN(RADIANS(B312)))/(P2_b*COS(RADIANS(B312)))</f>
        <v>1.06651065684113</v>
      </c>
      <c r="H312" s="42" t="n">
        <f aca="false">-P2_a*P2_al2*SIN(RADIANS($A312))-P2_a*P2_w2^2*COS(RADIANS($A312))+P2_b*G312*SIN(RADIANS(B312))+P2_b*E312^2*COS(RADIANS(B312))</f>
        <v>270.501078539797</v>
      </c>
      <c r="I312" s="45" t="n">
        <v>45</v>
      </c>
    </row>
    <row r="313" customFormat="false" ht="15" hidden="false" customHeight="false" outlineLevel="0" collapsed="false">
      <c r="A313" s="41" t="n">
        <v>153.5</v>
      </c>
      <c r="B313" s="42" t="n">
        <f aca="false">180-DEGREES(ASIN((P2_a*SIN(RADIANS($A313))-P2_c)/P2_b))</f>
        <v>164.346135824634</v>
      </c>
      <c r="C313" s="42" t="n">
        <f aca="false">P2_a*COS(RADIANS($A313))-P2_b*COS(RADIANS(B313))</f>
        <v>95.7813286070126</v>
      </c>
      <c r="D313" s="43" t="n">
        <f aca="false">90-DEGREES(ASIN(ABS((P2_a*SIN(RADIANS($A313))-P2_c)/P2_b)))</f>
        <v>74.3461358246341</v>
      </c>
      <c r="E313" s="44" t="n">
        <f aca="false">P2_a*P2_w2*COS(RADIANS($A313))/(P2_b*COS(RADIANS(B313)))</f>
        <v>0.774193954172957</v>
      </c>
      <c r="F313" s="42" t="n">
        <f aca="false">-P2_a*P2_w2*SIN(RADIANS($A313))+P2_b*E313*SIN(RADIANS(B313))</f>
        <v>-21.4876052018988</v>
      </c>
      <c r="G313" s="44" t="n">
        <f aca="false">(P2_a*P2_al2*COS(RADIANS($A313))-P2_a*P2_w2^2*SIN(RADIANS($A313))+P2_b*E313^2*SIN(RADIANS(B313)))/(P2_b*COS(RADIANS(B313)))</f>
        <v>1.04469477592976</v>
      </c>
      <c r="H313" s="42" t="n">
        <f aca="false">-P2_a*P2_al2*SIN(RADIANS($A313))-P2_a*P2_w2^2*COS(RADIANS($A313))+P2_b*G313*SIN(RADIANS(B313))+P2_b*E313^2*COS(RADIANS(B313))</f>
        <v>270.16835659708</v>
      </c>
      <c r="I313" s="45" t="n">
        <v>45</v>
      </c>
    </row>
    <row r="314" customFormat="false" ht="15" hidden="false" customHeight="false" outlineLevel="0" collapsed="false">
      <c r="A314" s="41" t="n">
        <v>154</v>
      </c>
      <c r="B314" s="42" t="n">
        <f aca="false">180-DEGREES(ASIN((P2_a*SIN(RADIANS($A314))-P2_c)/P2_b))</f>
        <v>164.469581939188</v>
      </c>
      <c r="C314" s="42" t="n">
        <f aca="false">P2_a*COS(RADIANS($A314))-P2_b*COS(RADIANS(B314))</f>
        <v>95.7226826990263</v>
      </c>
      <c r="D314" s="43" t="n">
        <f aca="false">90-DEGREES(ASIN(ABS((P2_a*SIN(RADIANS($A314))-P2_c)/P2_b)))</f>
        <v>74.4695819391882</v>
      </c>
      <c r="E314" s="44" t="n">
        <f aca="false">P2_a*P2_w2*COS(RADIANS($A314))/(P2_b*COS(RADIANS(B314)))</f>
        <v>0.777065564362966</v>
      </c>
      <c r="F314" s="42" t="n">
        <f aca="false">-P2_a*P2_w2*SIN(RADIANS($A314))+P2_b*E314*SIN(RADIANS(B314))</f>
        <v>-20.7376045228778</v>
      </c>
      <c r="G314" s="44" t="n">
        <f aca="false">(P2_a*P2_al2*COS(RADIANS($A314))-P2_a*P2_w2^2*SIN(RADIANS($A314))+P2_b*E314^2*SIN(RADIANS(B314)))/(P2_b*COS(RADIANS(B314)))</f>
        <v>1.02286183824597</v>
      </c>
      <c r="H314" s="42" t="n">
        <f aca="false">-P2_a*P2_al2*SIN(RADIANS($A314))-P2_a*P2_w2^2*COS(RADIANS($A314))+P2_b*G314*SIN(RADIANS(B314))+P2_b*E314^2*COS(RADIANS(B314))</f>
        <v>269.831455320542</v>
      </c>
      <c r="I314" s="45" t="n">
        <v>45</v>
      </c>
    </row>
    <row r="315" customFormat="false" ht="15" hidden="false" customHeight="false" outlineLevel="0" collapsed="false">
      <c r="A315" s="41" t="n">
        <v>154.5</v>
      </c>
      <c r="B315" s="42" t="n">
        <f aca="false">180-DEGREES(ASIN((P2_a*SIN(RADIANS($A315))-P2_c)/P2_b))</f>
        <v>164.593480257382</v>
      </c>
      <c r="C315" s="42" t="n">
        <f aca="false">P2_a*COS(RADIANS($A315))-P2_b*COS(RADIANS(B315))</f>
        <v>95.6661188213367</v>
      </c>
      <c r="D315" s="43" t="n">
        <f aca="false">90-DEGREES(ASIN(ABS((P2_a*SIN(RADIANS($A315))-P2_c)/P2_b)))</f>
        <v>74.5934802573822</v>
      </c>
      <c r="E315" s="44" t="n">
        <f aca="false">P2_a*P2_w2*COS(RADIANS($A315))/(P2_b*COS(RADIANS(B315)))</f>
        <v>0.77987650547307</v>
      </c>
      <c r="F315" s="42" t="n">
        <f aca="false">-P2_a*P2_w2*SIN(RADIANS($A315))+P2_b*E315*SIN(RADIANS(B315))</f>
        <v>-19.9885452151843</v>
      </c>
      <c r="G315" s="44" t="n">
        <f aca="false">(P2_a*P2_al2*COS(RADIANS($A315))-P2_a*P2_w2^2*SIN(RADIANS($A315))+P2_b*E315^2*SIN(RADIANS(B315)))/(P2_b*COS(RADIANS(B315)))</f>
        <v>1.00101327416026</v>
      </c>
      <c r="H315" s="42" t="n">
        <f aca="false">-P2_a*P2_al2*SIN(RADIANS($A315))-P2_a*P2_w2^2*COS(RADIANS($A315))+P2_b*G315*SIN(RADIANS(B315))+P2_b*E315^2*COS(RADIANS(B315))</f>
        <v>269.490607584817</v>
      </c>
      <c r="I315" s="45" t="n">
        <v>45</v>
      </c>
    </row>
    <row r="316" customFormat="false" ht="15" hidden="false" customHeight="false" outlineLevel="0" collapsed="false">
      <c r="A316" s="41" t="n">
        <v>155</v>
      </c>
      <c r="B316" s="42" t="n">
        <f aca="false">180-DEGREES(ASIN((P2_a*SIN(RADIANS($A316))-P2_c)/P2_b))</f>
        <v>164.717821120082</v>
      </c>
      <c r="C316" s="42" t="n">
        <f aca="false">P2_a*COS(RADIANS($A316))-P2_b*COS(RADIANS(B316))</f>
        <v>95.6116343440923</v>
      </c>
      <c r="D316" s="43" t="n">
        <f aca="false">90-DEGREES(ASIN(ABS((P2_a*SIN(RADIANS($A316))-P2_c)/P2_b)))</f>
        <v>74.7178211200819</v>
      </c>
      <c r="E316" s="44" t="n">
        <f aca="false">P2_a*P2_w2*COS(RADIANS($A316))/(P2_b*COS(RADIANS(B316)))</f>
        <v>0.78262673604678</v>
      </c>
      <c r="F316" s="42" t="n">
        <f aca="false">-P2_a*P2_w2*SIN(RADIANS($A316))+P2_b*E316*SIN(RADIANS(B316))</f>
        <v>-19.2404379242798</v>
      </c>
      <c r="G316" s="44" t="n">
        <f aca="false">(P2_a*P2_al2*COS(RADIANS($A316))-P2_a*P2_w2^2*SIN(RADIANS($A316))+P2_b*E316^2*SIN(RADIANS(B316)))/(P2_b*COS(RADIANS(B316)))</f>
        <v>0.979150482596684</v>
      </c>
      <c r="H316" s="42" t="n">
        <f aca="false">-P2_a*P2_al2*SIN(RADIANS($A316))-P2_a*P2_w2^2*COS(RADIANS($A316))+P2_b*G316*SIN(RADIANS(B316))+P2_b*E316^2*COS(RADIANS(B316))</f>
        <v>269.146040638563</v>
      </c>
      <c r="I316" s="45" t="n">
        <v>45</v>
      </c>
    </row>
    <row r="317" customFormat="false" ht="15" hidden="false" customHeight="false" outlineLevel="0" collapsed="false">
      <c r="A317" s="41" t="n">
        <v>155.5</v>
      </c>
      <c r="B317" s="42" t="n">
        <f aca="false">180-DEGREES(ASIN((P2_a*SIN(RADIANS($A317))-P2_c)/P2_b))</f>
        <v>164.842594861862</v>
      </c>
      <c r="C317" s="42" t="n">
        <f aca="false">P2_a*COS(RADIANS($A317))-P2_b*COS(RADIANS(B317))</f>
        <v>95.5592266087398</v>
      </c>
      <c r="D317" s="43" t="n">
        <f aca="false">90-DEGREES(ASIN(ABS((P2_a*SIN(RADIANS($A317))-P2_c)/P2_b)))</f>
        <v>74.8425948618616</v>
      </c>
      <c r="E317" s="44" t="n">
        <f aca="false">P2_a*P2_w2*COS(RADIANS($A317))/(P2_b*COS(RADIANS(B317)))</f>
        <v>0.785316218470304</v>
      </c>
      <c r="F317" s="42" t="n">
        <f aca="false">-P2_a*P2_w2*SIN(RADIANS($A317))+P2_b*E317*SIN(RADIANS(B317))</f>
        <v>-18.4932926721904</v>
      </c>
      <c r="G317" s="44" t="n">
        <f aca="false">(P2_a*P2_al2*COS(RADIANS($A317))-P2_a*P2_w2^2*SIN(RADIANS($A317))+P2_b*E317^2*SIN(RADIANS(B317)))/(P2_b*COS(RADIANS(B317)))</f>
        <v>0.957274831444711</v>
      </c>
      <c r="H317" s="42" t="n">
        <f aca="false">-P2_a*P2_al2*SIN(RADIANS($A317))-P2_a*P2_w2^2*COS(RADIANS($A317))+P2_b*G317*SIN(RADIANS(B317))+P2_b*E317^2*COS(RADIANS(B317))</f>
        <v>268.797976107096</v>
      </c>
      <c r="I317" s="45" t="n">
        <v>45</v>
      </c>
    </row>
    <row r="318" customFormat="false" ht="15" hidden="false" customHeight="false" outlineLevel="0" collapsed="false">
      <c r="A318" s="41" t="n">
        <v>156</v>
      </c>
      <c r="B318" s="42" t="n">
        <f aca="false">180-DEGREES(ASIN((P2_a*SIN(RADIANS($A318))-P2_c)/P2_b))</f>
        <v>164.967791811609</v>
      </c>
      <c r="C318" s="42" t="n">
        <f aca="false">P2_a*COS(RADIANS($A318))-P2_b*COS(RADIANS(B318))</f>
        <v>95.508892929735</v>
      </c>
      <c r="D318" s="43" t="n">
        <f aca="false">90-DEGREES(ASIN(ABS((P2_a*SIN(RADIANS($A318))-P2_c)/P2_b)))</f>
        <v>74.9677918116094</v>
      </c>
      <c r="E318" s="44" t="n">
        <f aca="false">P2_a*P2_w2*COS(RADIANS($A318))/(P2_b*COS(RADIANS(B318)))</f>
        <v>0.787944918886933</v>
      </c>
      <c r="F318" s="42" t="n">
        <f aca="false">-P2_a*P2_w2*SIN(RADIANS($A318))+P2_b*E318*SIN(RADIANS(B318))</f>
        <v>-17.7471188731214</v>
      </c>
      <c r="G318" s="44" t="n">
        <f aca="false">(P2_a*P2_al2*COS(RADIANS($A318))-P2_a*P2_w2^2*SIN(RADIANS($A318))+P2_b*E318^2*SIN(RADIANS(B318)))/(P2_b*COS(RADIANS(B318)))</f>
        <v>0.935387657984829</v>
      </c>
      <c r="H318" s="42" t="n">
        <f aca="false">-P2_a*P2_al2*SIN(RADIANS($A318))-P2_a*P2_w2^2*COS(RADIANS($A318))+P2_b*G318*SIN(RADIANS(B318))+P2_b*E318^2*COS(RADIANS(B318))</f>
        <v>268.446629997005</v>
      </c>
      <c r="I318" s="45" t="n">
        <v>45</v>
      </c>
    </row>
    <row r="319" customFormat="false" ht="15" hidden="false" customHeight="false" outlineLevel="0" collapsed="false">
      <c r="A319" s="41" t="n">
        <v>156.5</v>
      </c>
      <c r="B319" s="42" t="n">
        <f aca="false">180-DEGREES(ASIN((P2_a*SIN(RADIANS($A319))-P2_c)/P2_b))</f>
        <v>165.093402293118</v>
      </c>
      <c r="C319" s="42" t="n">
        <f aca="false">P2_a*COS(RADIANS($A319))-P2_b*COS(RADIANS(B319))</f>
        <v>95.4606305962092</v>
      </c>
      <c r="D319" s="43" t="n">
        <f aca="false">90-DEGREES(ASIN(ABS((P2_a*SIN(RADIANS($A319))-P2_c)/P2_b)))</f>
        <v>75.0934022931183</v>
      </c>
      <c r="E319" s="44" t="n">
        <f aca="false">P2_a*P2_w2*COS(RADIANS($A319))/(P2_b*COS(RADIANS(B319)))</f>
        <v>0.79051280711262</v>
      </c>
      <c r="F319" s="42" t="n">
        <f aca="false">-P2_a*P2_w2*SIN(RADIANS($A319))+P2_b*E319*SIN(RADIANS(B319))</f>
        <v>-17.0019253490564</v>
      </c>
      <c r="G319" s="44" t="n">
        <f aca="false">(P2_a*P2_al2*COS(RADIANS($A319))-P2_a*P2_w2^2*SIN(RADIANS($A319))+P2_b*E319^2*SIN(RADIANS(B319)))/(P2_b*COS(RADIANS(B319)))</f>
        <v>0.913490269327217</v>
      </c>
      <c r="H319" s="42" t="n">
        <f aca="false">-P2_a*P2_al2*SIN(RADIANS($A319))-P2_a*P2_w2^2*COS(RADIANS($A319))+P2_b*G319*SIN(RADIANS(B319))+P2_b*E319^2*COS(RADIANS(B319))</f>
        <v>268.092212702651</v>
      </c>
      <c r="I319" s="45" t="n">
        <v>45</v>
      </c>
    </row>
    <row r="320" customFormat="false" ht="15" hidden="false" customHeight="false" outlineLevel="0" collapsed="false">
      <c r="A320" s="41" t="n">
        <v>157</v>
      </c>
      <c r="B320" s="42" t="n">
        <f aca="false">180-DEGREES(ASIN((P2_a*SIN(RADIANS($A320))-P2_c)/P2_b))</f>
        <v>165.219416625664</v>
      </c>
      <c r="C320" s="42" t="n">
        <f aca="false">P2_a*COS(RADIANS($A320))-P2_b*COS(RADIANS(B320))</f>
        <v>95.4144368735929</v>
      </c>
      <c r="D320" s="43" t="n">
        <f aca="false">90-DEGREES(ASIN(ABS((P2_a*SIN(RADIANS($A320))-P2_c)/P2_b)))</f>
        <v>75.2194166256642</v>
      </c>
      <c r="E320" s="44" t="n">
        <f aca="false">P2_a*P2_w2*COS(RADIANS($A320))/(P2_b*COS(RADIANS(B320)))</f>
        <v>0.793019856552796</v>
      </c>
      <c r="F320" s="42" t="n">
        <f aca="false">-P2_a*P2_w2*SIN(RADIANS($A320))+P2_b*E320*SIN(RADIANS(B320))</f>
        <v>-16.2577203453357</v>
      </c>
      <c r="G320" s="44" t="n">
        <f aca="false">(P2_a*P2_al2*COS(RADIANS($A320))-P2_a*P2_w2^2*SIN(RADIANS($A320))+P2_b*E320^2*SIN(RADIANS(B320)))/(P2_b*COS(RADIANS(B320)))</f>
        <v>0.891583942862928</v>
      </c>
      <c r="H320" s="42" t="n">
        <f aca="false">-P2_a*P2_al2*SIN(RADIANS($A320))-P2_a*P2_w2^2*COS(RADIANS($A320))+P2_b*G320*SIN(RADIANS(B320))+P2_b*E320^2*COS(RADIANS(B320))</f>
        <v>267.734929014476</v>
      </c>
      <c r="I320" s="45" t="n">
        <v>45</v>
      </c>
    </row>
    <row r="321" customFormat="false" ht="15" hidden="false" customHeight="false" outlineLevel="0" collapsed="false">
      <c r="A321" s="41" t="n">
        <v>157.5</v>
      </c>
      <c r="B321" s="42" t="n">
        <f aca="false">180-DEGREES(ASIN((P2_a*SIN(RADIANS($A321))-P2_c)/P2_b))</f>
        <v>165.34582512457</v>
      </c>
      <c r="C321" s="42" t="n">
        <f aca="false">P2_a*COS(RADIANS($A321))-P2_b*COS(RADIANS(B321))</f>
        <v>95.3703090051955</v>
      </c>
      <c r="D321" s="43" t="n">
        <f aca="false">90-DEGREES(ASIN(ABS((P2_a*SIN(RADIANS($A321))-P2_c)/P2_b)))</f>
        <v>75.3458251245704</v>
      </c>
      <c r="E321" s="44" t="n">
        <f aca="false">P2_a*P2_w2*COS(RADIANS($A321))/(P2_b*COS(RADIANS(B321)))</f>
        <v>0.795466044120459</v>
      </c>
      <c r="F321" s="42" t="n">
        <f aca="false">-P2_a*P2_w2*SIN(RADIANS($A321))+P2_b*E321*SIN(RADIANS(B321))</f>
        <v>-15.5145115462086</v>
      </c>
      <c r="G321" s="44" t="n">
        <f aca="false">(P2_a*P2_al2*COS(RADIANS($A321))-P2_a*P2_w2^2*SIN(RADIANS($A321))+P2_b*E321^2*SIN(RADIANS(B321)))/(P2_b*COS(RADIANS(B321)))</f>
        <v>0.869669926726986</v>
      </c>
      <c r="H321" s="42" t="n">
        <f aca="false">-P2_a*P2_al2*SIN(RADIANS($A321))-P2_a*P2_w2^2*COS(RADIANS($A321))+P2_b*G321*SIN(RADIANS(B321))+P2_b*E321^2*COS(RADIANS(B321))</f>
        <v>267.374978129036</v>
      </c>
      <c r="I321" s="45" t="n">
        <v>45</v>
      </c>
    </row>
    <row r="322" customFormat="false" ht="15" hidden="false" customHeight="false" outlineLevel="0" collapsed="false">
      <c r="A322" s="41" t="n">
        <v>158</v>
      </c>
      <c r="B322" s="42" t="n">
        <f aca="false">180-DEGREES(ASIN((P2_a*SIN(RADIANS($A322))-P2_c)/P2_b))</f>
        <v>165.47261810176</v>
      </c>
      <c r="C322" s="42" t="n">
        <f aca="false">P2_a*COS(RADIANS($A322))-P2_b*COS(RADIANS(B322))</f>
        <v>95.3282442137428</v>
      </c>
      <c r="D322" s="43" t="n">
        <f aca="false">90-DEGREES(ASIN(ABS((P2_a*SIN(RADIANS($A322))-P2_c)/P2_b)))</f>
        <v>75.4726181017597</v>
      </c>
      <c r="E322" s="44" t="n">
        <f aca="false">P2_a*P2_w2*COS(RADIANS($A322))/(P2_b*COS(RADIANS(B322)))</f>
        <v>0.797851350155562</v>
      </c>
      <c r="F322" s="42" t="n">
        <f aca="false">-P2_a*P2_w2*SIN(RADIANS($A322))+P2_b*E322*SIN(RADIANS(B322))</f>
        <v>-14.7723060903571</v>
      </c>
      <c r="G322" s="44" t="n">
        <f aca="false">(P2_a*P2_al2*COS(RADIANS($A322))-P2_a*P2_w2^2*SIN(RADIANS($A322))+P2_b*E322^2*SIN(RADIANS(B322)))/(P2_b*COS(RADIANS(B322)))</f>
        <v>0.847749440272826</v>
      </c>
      <c r="H322" s="42" t="n">
        <f aca="false">-P2_a*P2_al2*SIN(RADIANS($A322))-P2_a*P2_w2^2*COS(RADIANS($A322))+P2_b*G322*SIN(RADIANS(B322))+P2_b*E322^2*COS(RADIANS(B322))</f>
        <v>267.012553660663</v>
      </c>
      <c r="I322" s="45" t="n">
        <v>45</v>
      </c>
    </row>
    <row r="323" customFormat="false" ht="15" hidden="false" customHeight="false" outlineLevel="0" collapsed="false">
      <c r="A323" s="41" t="n">
        <v>158.5</v>
      </c>
      <c r="B323" s="42" t="n">
        <f aca="false">180-DEGREES(ASIN((P2_a*SIN(RADIANS($A323))-P2_c)/P2_b))</f>
        <v>165.599785866293</v>
      </c>
      <c r="C323" s="42" t="n">
        <f aca="false">P2_a*COS(RADIANS($A323))-P2_b*COS(RADIANS(B323))</f>
        <v>95.2882397028704</v>
      </c>
      <c r="D323" s="43" t="n">
        <f aca="false">90-DEGREES(ASIN(ABS((P2_a*SIN(RADIANS($A323))-P2_c)/P2_b)))</f>
        <v>75.5997858662932</v>
      </c>
      <c r="E323" s="44" t="n">
        <f aca="false">P2_a*P2_w2*COS(RADIANS($A323))/(P2_b*COS(RADIANS(B323)))</f>
        <v>0.800175758345739</v>
      </c>
      <c r="F323" s="42" t="n">
        <f aca="false">-P2_a*P2_w2*SIN(RADIANS($A323))+P2_b*E323*SIN(RADIANS(B323))</f>
        <v>-14.0311105863832</v>
      </c>
      <c r="G323" s="44" t="n">
        <f aca="false">(P2_a*P2_al2*COS(RADIANS($A323))-P2_a*P2_w2^2*SIN(RADIANS($A323))+P2_b*E323^2*SIN(RADIANS(B323)))/(P2_b*COS(RADIANS(B323)))</f>
        <v>0.825823674557497</v>
      </c>
      <c r="H323" s="42" t="n">
        <f aca="false">-P2_a*P2_al2*SIN(RADIANS($A323))-P2_a*P2_w2^2*COS(RADIANS($A323))+P2_b*G323*SIN(RADIANS(B323))+P2_b*E323^2*COS(RADIANS(B323))</f>
        <v>266.647843654696</v>
      </c>
      <c r="I323" s="45" t="n">
        <v>45</v>
      </c>
    </row>
    <row r="324" customFormat="false" ht="15" hidden="false" customHeight="false" outlineLevel="0" collapsed="false">
      <c r="A324" s="41" t="n">
        <v>159</v>
      </c>
      <c r="B324" s="42" t="n">
        <f aca="false">180-DEGREES(ASIN((P2_a*SIN(RADIANS($A324))-P2_c)/P2_b))</f>
        <v>165.727318724897</v>
      </c>
      <c r="C324" s="42" t="n">
        <f aca="false">P2_a*COS(RADIANS($A324))-P2_b*COS(RADIANS(B324))</f>
        <v>95.2502926585754</v>
      </c>
      <c r="D324" s="43" t="n">
        <f aca="false">90-DEGREES(ASIN(ABS((P2_a*SIN(RADIANS($A324))-P2_c)/P2_b)))</f>
        <v>75.7273187248972</v>
      </c>
      <c r="E324" s="44" t="n">
        <f aca="false">P2_a*P2_w2*COS(RADIANS($A324))/(P2_b*COS(RADIANS(B324)))</f>
        <v>0.802439255648386</v>
      </c>
      <c r="F324" s="42" t="n">
        <f aca="false">-P2_a*P2_w2*SIN(RADIANS($A324))+P2_b*E324*SIN(RADIANS(B324))</f>
        <v>-13.2909311282587</v>
      </c>
      <c r="G324" s="44" t="n">
        <f aca="false">(P2_a*P2_al2*COS(RADIANS($A324))-P2_a*P2_w2^2*SIN(RADIANS($A324))+P2_b*E324^2*SIN(RADIANS(B324)))/(P2_b*COS(RADIANS(B324)))</f>
        <v>0.803893792837086</v>
      </c>
      <c r="H324" s="42" t="n">
        <f aca="false">-P2_a*P2_al2*SIN(RADIANS($A324))-P2_a*P2_w2^2*COS(RADIANS($A324))+P2_b*G324*SIN(RADIANS(B324))+P2_b*E324^2*COS(RADIANS(B324))</f>
        <v>266.281030602187</v>
      </c>
      <c r="I324" s="45" t="n">
        <v>45</v>
      </c>
    </row>
    <row r="325" customFormat="false" ht="15" hidden="false" customHeight="false" outlineLevel="0" collapsed="false">
      <c r="A325" s="41" t="n">
        <v>159.5</v>
      </c>
      <c r="B325" s="42" t="n">
        <f aca="false">180-DEGREES(ASIN((P2_a*SIN(RADIANS($A325))-P2_c)/P2_b))</f>
        <v>165.855206982477</v>
      </c>
      <c r="C325" s="42" t="n">
        <f aca="false">P2_a*COS(RADIANS($A325))-P2_b*COS(RADIANS(B325))</f>
        <v>95.2144002506238</v>
      </c>
      <c r="D325" s="43" t="n">
        <f aca="false">90-DEGREES(ASIN(ABS((P2_a*SIN(RADIANS($A325))-P2_c)/P2_b)))</f>
        <v>75.8552069824771</v>
      </c>
      <c r="E325" s="44" t="n">
        <f aca="false">P2_a*P2_w2*COS(RADIANS($A325))/(P2_b*COS(RADIANS(B325)))</f>
        <v>0.804641832214137</v>
      </c>
      <c r="F325" s="42" t="n">
        <f aca="false">-P2_a*P2_w2*SIN(RADIANS($A325))+P2_b*E325*SIN(RADIANS(B325))</f>
        <v>-12.5517733107318</v>
      </c>
      <c r="G325" s="44" t="n">
        <f aca="false">(P2_a*P2_al2*COS(RADIANS($A325))-P2_a*P2_w2^2*SIN(RADIANS($A325))+P2_b*E325^2*SIN(RADIANS(B325)))/(P2_b*COS(RADIANS(B325)))</f>
        <v>0.781960931071806</v>
      </c>
      <c r="H325" s="42" t="n">
        <f aca="false">-P2_a*P2_al2*SIN(RADIANS($A325))-P2_a*P2_w2^2*COS(RADIANS($A325))+P2_b*G325*SIN(RADIANS(B325))+P2_b*E325^2*COS(RADIANS(B325))</f>
        <v>265.912291456007</v>
      </c>
      <c r="I325" s="45" t="n">
        <v>45</v>
      </c>
    </row>
    <row r="326" customFormat="false" ht="15" hidden="false" customHeight="false" outlineLevel="0" collapsed="false">
      <c r="A326" s="41" t="n">
        <v>160</v>
      </c>
      <c r="B326" s="42" t="n">
        <f aca="false">180-DEGREES(ASIN((P2_a*SIN(RADIANS($A326))-P2_c)/P2_b))</f>
        <v>165.98344094262</v>
      </c>
      <c r="C326" s="42" t="n">
        <f aca="false">P2_a*COS(RADIANS($A326))-P2_b*COS(RADIANS(B326))</f>
        <v>95.1805596339166</v>
      </c>
      <c r="D326" s="43" t="n">
        <f aca="false">90-DEGREES(ASIN(ABS((P2_a*SIN(RADIANS($A326))-P2_c)/P2_b)))</f>
        <v>75.98344094262</v>
      </c>
      <c r="E326" s="44" t="n">
        <f aca="false">P2_a*P2_w2*COS(RADIANS($A326))/(P2_b*COS(RADIANS(B326)))</f>
        <v>0.806783481311756</v>
      </c>
      <c r="F326" s="42" t="n">
        <f aca="false">-P2_a*P2_w2*SIN(RADIANS($A326))+P2_b*E326*SIN(RADIANS(B326))</f>
        <v>-11.8136422446866</v>
      </c>
      <c r="G326" s="44" t="n">
        <f aca="false">(P2_a*P2_al2*COS(RADIANS($A326))-P2_a*P2_w2^2*SIN(RADIANS($A326))+P2_b*E326^2*SIN(RADIANS(B326)))/(P2_b*COS(RADIANS(B326)))</f>
        <v>0.760026198440226</v>
      </c>
      <c r="H326" s="42" t="n">
        <f aca="false">-P2_a*P2_al2*SIN(RADIANS($A326))-P2_a*P2_w2^2*COS(RADIANS($A326))+P2_b*G326*SIN(RADIANS(B326))+P2_b*E326^2*COS(RADIANS(B326))</f>
        <v>265.541797648285</v>
      </c>
      <c r="I326" s="45" t="n">
        <v>45</v>
      </c>
    </row>
    <row r="327" customFormat="false" ht="15" hidden="false" customHeight="false" outlineLevel="0" collapsed="false">
      <c r="A327" s="41" t="n">
        <v>160.5</v>
      </c>
      <c r="B327" s="42" t="n">
        <f aca="false">180-DEGREES(ASIN((P2_a*SIN(RADIANS($A327))-P2_c)/P2_b))</f>
        <v>166.112010908085</v>
      </c>
      <c r="C327" s="42" t="n">
        <f aca="false">P2_a*COS(RADIANS($A327))-P2_b*COS(RADIANS(B327))</f>
        <v>95.1487679498117</v>
      </c>
      <c r="D327" s="43" t="n">
        <f aca="false">90-DEGREES(ASIN(ABS((P2_a*SIN(RADIANS($A327))-P2_c)/P2_b)))</f>
        <v>76.112010908085</v>
      </c>
      <c r="E327" s="44" t="n">
        <f aca="false">P2_a*P2_w2*COS(RADIANS($A327))/(P2_b*COS(RADIANS(B327)))</f>
        <v>0.808864199254464</v>
      </c>
      <c r="F327" s="42" t="n">
        <f aca="false">-P2_a*P2_w2*SIN(RADIANS($A327))+P2_b*E327*SIN(RADIANS(B327))</f>
        <v>-11.0765425724531</v>
      </c>
      <c r="G327" s="44" t="n">
        <f aca="false">(P2_a*P2_al2*COS(RADIANS($A327))-P2_a*P2_w2^2*SIN(RADIANS($A327))+P2_b*E327^2*SIN(RADIANS(B327)))/(P2_b*COS(RADIANS(B327)))</f>
        <v>0.738090677862098</v>
      </c>
      <c r="H327" s="42" t="n">
        <f aca="false">-P2_a*P2_al2*SIN(RADIANS($A327))-P2_a*P2_w2^2*COS(RADIANS($A327))+P2_b*G327*SIN(RADIANS(B327))+P2_b*E327^2*COS(RADIANS(B327))</f>
        <v>265.169715109091</v>
      </c>
      <c r="I327" s="45" t="n">
        <v>45</v>
      </c>
    </row>
    <row r="328" customFormat="false" ht="15" hidden="false" customHeight="false" outlineLevel="0" collapsed="false">
      <c r="A328" s="41" t="n">
        <v>161</v>
      </c>
      <c r="B328" s="42" t="n">
        <f aca="false">180-DEGREES(ASIN((P2_a*SIN(RADIANS($A328))-P2_c)/P2_b))</f>
        <v>166.240907181282</v>
      </c>
      <c r="C328" s="42" t="n">
        <f aca="false">P2_a*COS(RADIANS($A328))-P2_b*COS(RADIANS(B328))</f>
        <v>95.1190223274053</v>
      </c>
      <c r="D328" s="43" t="n">
        <f aca="false">90-DEGREES(ASIN(ABS((P2_a*SIN(RADIANS($A328))-P2_c)/P2_b)))</f>
        <v>76.2409071812816</v>
      </c>
      <c r="E328" s="44" t="n">
        <f aca="false">P2_a*P2_w2*COS(RADIANS($A328))/(P2_b*COS(RADIANS(B328)))</f>
        <v>0.810883985327735</v>
      </c>
      <c r="F328" s="42" t="n">
        <f aca="false">-P2_a*P2_w2*SIN(RADIANS($A328))+P2_b*E328*SIN(RADIANS(B328))</f>
        <v>-10.3404784830634</v>
      </c>
      <c r="G328" s="44" t="n">
        <f aca="false">(P2_a*P2_al2*COS(RADIANS($A328))-P2_a*P2_w2^2*SIN(RADIANS($A328))+P2_b*E328^2*SIN(RADIANS(B328)))/(P2_b*COS(RADIANS(B328)))</f>
        <v>0.716155426529295</v>
      </c>
      <c r="H328" s="42" t="n">
        <f aca="false">-P2_a*P2_al2*SIN(RADIANS($A328))-P2_a*P2_w2^2*COS(RADIANS($A328))+P2_b*G328*SIN(RADIANS(B328))+P2_b*E328^2*COS(RADIANS(B328))</f>
        <v>264.796204286306</v>
      </c>
      <c r="I328" s="45" t="n">
        <v>45</v>
      </c>
    </row>
    <row r="329" customFormat="false" ht="15" hidden="false" customHeight="false" outlineLevel="0" collapsed="false">
      <c r="A329" s="41" t="n">
        <v>161.5</v>
      </c>
      <c r="B329" s="42" t="n">
        <f aca="false">180-DEGREES(ASIN((P2_a*SIN(RADIANS($A329))-P2_c)/P2_b))</f>
        <v>166.370120064738</v>
      </c>
      <c r="C329" s="42" t="n">
        <f aca="false">P2_a*COS(RADIANS($A329))-P2_b*COS(RADIANS(B329))</f>
        <v>95.0913198847689</v>
      </c>
      <c r="D329" s="43" t="n">
        <f aca="false">90-DEGREES(ASIN(ABS((P2_a*SIN(RADIANS($A329))-P2_c)/P2_b)))</f>
        <v>76.3701200647379</v>
      </c>
      <c r="E329" s="44" t="n">
        <f aca="false">P2_a*P2_w2*COS(RADIANS($A329))/(P2_b*COS(RADIANS(B329)))</f>
        <v>0.812842841718579</v>
      </c>
      <c r="F329" s="42" t="n">
        <f aca="false">-P2_a*P2_w2*SIN(RADIANS($A329))+P2_b*E329*SIN(RADIANS(B329))</f>
        <v>-9.60545372745104</v>
      </c>
      <c r="G329" s="44" t="n">
        <f aca="false">(P2_a*P2_al2*COS(RADIANS($A329))-P2_a*P2_w2^2*SIN(RADIANS($A329))+P2_b*E329^2*SIN(RADIANS(B329)))/(P2_b*COS(RADIANS(B329)))</f>
        <v>0.694221476444341</v>
      </c>
      <c r="H329" s="42" t="n">
        <f aca="false">-P2_a*P2_al2*SIN(RADIANS($A329))-P2_a*P2_w2^2*COS(RADIANS($A329))+P2_b*G329*SIN(RADIANS(B329))+P2_b*E329^2*COS(RADIANS(B329))</f>
        <v>264.421420166599</v>
      </c>
      <c r="I329" s="45" t="n">
        <v>45</v>
      </c>
    </row>
    <row r="330" customFormat="false" ht="15" hidden="false" customHeight="false" outlineLevel="0" collapsed="false">
      <c r="A330" s="41" t="n">
        <v>162</v>
      </c>
      <c r="B330" s="42" t="n">
        <f aca="false">180-DEGREES(ASIN((P2_a*SIN(RADIANS($A330))-P2_c)/P2_b))</f>
        <v>166.499639861556</v>
      </c>
      <c r="C330" s="42" t="n">
        <f aca="false">P2_a*COS(RADIANS($A330))-P2_b*COS(RADIANS(B330))</f>
        <v>95.065657730146</v>
      </c>
      <c r="D330" s="43" t="n">
        <f aca="false">90-DEGREES(ASIN(ABS((P2_a*SIN(RADIANS($A330))-P2_c)/P2_b)))</f>
        <v>76.4996398615558</v>
      </c>
      <c r="E330" s="44" t="n">
        <f aca="false">P2_a*P2_w2*COS(RADIANS($A330))/(P2_b*COS(RADIANS(B330)))</f>
        <v>0.814740773446324</v>
      </c>
      <c r="F330" s="42" t="n">
        <f aca="false">-P2_a*P2_w2*SIN(RADIANS($A330))+P2_b*E330*SIN(RADIANS(B330))</f>
        <v>-8.87147163359057</v>
      </c>
      <c r="G330" s="44" t="n">
        <f aca="false">(P2_a*P2_al2*COS(RADIANS($A330))-P2_a*P2_w2^2*SIN(RADIANS($A330))+P2_b*E330^2*SIN(RADIANS(B330)))/(P2_b*COS(RADIANS(B330)))</f>
        <v>0.672289834966035</v>
      </c>
      <c r="H330" s="42" t="n">
        <f aca="false">-P2_a*P2_al2*SIN(RADIANS($A330))-P2_a*P2_w2^2*COS(RADIANS($A330))+P2_b*G330*SIN(RADIANS(B330))+P2_b*E330^2*COS(RADIANS(B330))</f>
        <v>264.045512297443</v>
      </c>
      <c r="I330" s="45" t="n">
        <v>45</v>
      </c>
    </row>
    <row r="331" customFormat="false" ht="15" hidden="false" customHeight="false" outlineLevel="0" collapsed="false">
      <c r="A331" s="41" t="n">
        <v>162.5</v>
      </c>
      <c r="B331" s="42" t="n">
        <f aca="false">180-DEGREES(ASIN((P2_a*SIN(RADIANS($A331))-P2_c)/P2_b))</f>
        <v>166.629456875857</v>
      </c>
      <c r="C331" s="42" t="n">
        <f aca="false">P2_a*COS(RADIANS($A331))-P2_b*COS(RADIANS(B331))</f>
        <v>95.0420329631055</v>
      </c>
      <c r="D331" s="43" t="n">
        <f aca="false">90-DEGREES(ASIN(ABS((P2_a*SIN(RADIANS($A331))-P2_c)/P2_b)))</f>
        <v>76.6294568758573</v>
      </c>
      <c r="E331" s="44" t="n">
        <f aca="false">P2_a*P2_w2*COS(RADIANS($A331))/(P2_b*COS(RADIANS(B331)))</f>
        <v>0.816577788294926</v>
      </c>
      <c r="F331" s="42" t="n">
        <f aca="false">-P2_a*P2_w2*SIN(RADIANS($A331))+P2_b*E331*SIN(RADIANS(B331))</f>
        <v>-8.13853512157489</v>
      </c>
      <c r="G331" s="44" t="n">
        <f aca="false">(P2_a*P2_al2*COS(RADIANS($A331))-P2_a*P2_w2^2*SIN(RADIANS($A331))+P2_b*E331^2*SIN(RADIANS(B331)))/(P2_b*COS(RADIANS(B331)))</f>
        <v>0.650361485361721</v>
      </c>
      <c r="H331" s="42" t="n">
        <f aca="false">-P2_a*P2_al2*SIN(RADIANS($A331))-P2_a*P2_w2^2*COS(RADIANS($A331))+P2_b*G331*SIN(RADIANS(B331))+P2_b*E331^2*COS(RADIANS(B331))</f>
        <v>263.668624810109</v>
      </c>
      <c r="I331" s="45" t="n">
        <v>45</v>
      </c>
    </row>
    <row r="332" customFormat="false" ht="15" hidden="false" customHeight="false" outlineLevel="0" collapsed="false">
      <c r="A332" s="41" t="n">
        <v>163</v>
      </c>
      <c r="B332" s="42" t="n">
        <f aca="false">180-DEGREES(ASIN((P2_a*SIN(RADIANS($A332))-P2_c)/P2_b))</f>
        <v>166.759561413219</v>
      </c>
      <c r="C332" s="42" t="n">
        <f aca="false">P2_a*COS(RADIANS($A332))-P2_b*COS(RADIANS(B332))</f>
        <v>95.0204426756542</v>
      </c>
      <c r="D332" s="43" t="n">
        <f aca="false">90-DEGREES(ASIN(ABS((P2_a*SIN(RADIANS($A332))-P2_c)/P2_b)))</f>
        <v>76.7595614132188</v>
      </c>
      <c r="E332" s="44" t="n">
        <f aca="false">P2_a*P2_w2*COS(RADIANS($A332))/(P2_b*COS(RADIANS(B332)))</f>
        <v>0.818353896746828</v>
      </c>
      <c r="F332" s="42" t="n">
        <f aca="false">-P2_a*P2_w2*SIN(RADIANS($A332))+P2_b*E332*SIN(RADIANS(B332))</f>
        <v>-7.4066467186273</v>
      </c>
      <c r="G332" s="44" t="n">
        <f aca="false">(P2_a*P2_al2*COS(RADIANS($A332))-P2_a*P2_w2^2*SIN(RADIANS($A332))+P2_b*E332^2*SIN(RADIANS(B332)))/(P2_b*COS(RADIANS(B332)))</f>
        <v>0.6284373873657</v>
      </c>
      <c r="H332" s="42" t="n">
        <f aca="false">-P2_a*P2_al2*SIN(RADIANS($A332))-P2_a*P2_w2^2*COS(RADIANS($A332))+P2_b*G332*SIN(RADIANS(B332))+P2_b*E332^2*COS(RADIANS(B332))</f>
        <v>263.290896443573</v>
      </c>
      <c r="I332" s="45" t="n">
        <v>45</v>
      </c>
    </row>
    <row r="333" customFormat="false" ht="15" hidden="false" customHeight="false" outlineLevel="0" collapsed="false">
      <c r="A333" s="41" t="n">
        <v>163.5</v>
      </c>
      <c r="B333" s="42" t="n">
        <f aca="false">180-DEGREES(ASIN((P2_a*SIN(RADIANS($A333))-P2_c)/P2_b))</f>
        <v>166.889943781095</v>
      </c>
      <c r="C333" s="42" t="n">
        <f aca="false">P2_a*COS(RADIANS($A333))-P2_b*COS(RADIANS(B333))</f>
        <v>95.0008839533072</v>
      </c>
      <c r="D333" s="43" t="n">
        <f aca="false">90-DEGREES(ASIN(ABS((P2_a*SIN(RADIANS($A333))-P2_c)/P2_b)))</f>
        <v>76.8899437810954</v>
      </c>
      <c r="E333" s="44" t="n">
        <f aca="false">P2_a*P2_w2*COS(RADIANS($A333))/(P2_b*COS(RADIANS(B333)))</f>
        <v>0.820069111918366</v>
      </c>
      <c r="F333" s="42" t="n">
        <f aca="false">-P2_a*P2_w2*SIN(RADIANS($A333))+P2_b*E333*SIN(RADIANS(B333))</f>
        <v>-6.67580857404554</v>
      </c>
      <c r="G333" s="44" t="n">
        <f aca="false">(P2_a*P2_al2*COS(RADIANS($A333))-P2_a*P2_w2^2*SIN(RADIANS($A333))+P2_b*E333^2*SIN(RADIANS(B333)))/(P2_b*COS(RADIANS(B333)))</f>
        <v>0.606518477743344</v>
      </c>
      <c r="H333" s="42" t="n">
        <f aca="false">-P2_a*P2_al2*SIN(RADIANS($A333))-P2_a*P2_w2^2*COS(RADIANS($A333))+P2_b*G333*SIN(RADIANS(B333))+P2_b*E333^2*COS(RADIANS(B333))</f>
        <v>262.912460569255</v>
      </c>
      <c r="I333" s="45" t="n">
        <v>45</v>
      </c>
    </row>
    <row r="334" customFormat="false" ht="15" hidden="false" customHeight="false" outlineLevel="0" collapsed="false">
      <c r="A334" s="41" t="n">
        <v>164</v>
      </c>
      <c r="B334" s="42" t="n">
        <f aca="false">180-DEGREES(ASIN((P2_a*SIN(RADIANS($A334))-P2_c)/P2_b))</f>
        <v>167.020594289235</v>
      </c>
      <c r="C334" s="42" t="n">
        <f aca="false">P2_a*COS(RADIANS($A334))-P2_b*COS(RADIANS(B334))</f>
        <v>94.9833538761167</v>
      </c>
      <c r="D334" s="43" t="n">
        <f aca="false">90-DEGREES(ASIN(ABS((P2_a*SIN(RADIANS($A334))-P2_c)/P2_b)))</f>
        <v>77.0205942892353</v>
      </c>
      <c r="E334" s="44" t="n">
        <f aca="false">P2_a*P2_w2*COS(RADIANS($A334))/(P2_b*COS(RADIANS(B334)))</f>
        <v>0.82172344949676</v>
      </c>
      <c r="F334" s="42" t="n">
        <f aca="false">-P2_a*P2_w2*SIN(RADIANS($A334))+P2_b*E334*SIN(RADIANS(B334))</f>
        <v>-5.94602247407696</v>
      </c>
      <c r="G334" s="44" t="n">
        <f aca="false">(P2_a*P2_al2*COS(RADIANS($A334))-P2_a*P2_w2^2*SIN(RADIANS($A334))+P2_b*E334^2*SIN(RADIANS(B334)))/(P2_b*COS(RADIANS(B334)))</f>
        <v>0.584605670860482</v>
      </c>
      <c r="H334" s="42" t="n">
        <f aca="false">-P2_a*P2_al2*SIN(RADIANS($A334))-P2_a*P2_w2^2*COS(RADIANS($A334))+P2_b*G334*SIN(RADIANS(B334))+P2_b*E334^2*COS(RADIANS(B334))</f>
        <v>262.533445216567</v>
      </c>
      <c r="I334" s="45" t="n">
        <v>45</v>
      </c>
    </row>
    <row r="335" customFormat="false" ht="15" hidden="false" customHeight="false" outlineLevel="0" collapsed="false">
      <c r="A335" s="41" t="n">
        <v>164.5</v>
      </c>
      <c r="B335" s="42" t="n">
        <f aca="false">180-DEGREES(ASIN((P2_a*SIN(RADIANS($A335))-P2_c)/P2_b))</f>
        <v>167.151503250084</v>
      </c>
      <c r="C335" s="42" t="n">
        <f aca="false">P2_a*COS(RADIANS($A335))-P2_b*COS(RADIANS(B335))</f>
        <v>94.9678495196607</v>
      </c>
      <c r="D335" s="43" t="n">
        <f aca="false">90-DEGREES(ASIN(ABS((P2_a*SIN(RADIANS($A335))-P2_c)/P2_b)))</f>
        <v>77.1515032500837</v>
      </c>
      <c r="E335" s="44" t="n">
        <f aca="false">P2_a*P2_w2*COS(RADIANS($A335))/(P2_b*COS(RADIANS(B335)))</f>
        <v>0.823316927678691</v>
      </c>
      <c r="F335" s="42" t="n">
        <f aca="false">-P2_a*P2_w2*SIN(RADIANS($A335))+P2_b*E335*SIN(RADIANS(B335))</f>
        <v>-5.21728985672053</v>
      </c>
      <c r="G335" s="44" t="n">
        <f aca="false">(P2_a*P2_al2*COS(RADIANS($A335))-P2_a*P2_w2^2*SIN(RADIANS($A335))+P2_b*E335^2*SIN(RADIANS(B335)))/(P2_b*COS(RADIANS(B335)))</f>
        <v>0.562699859257577</v>
      </c>
      <c r="H335" s="42" t="n">
        <f aca="false">-P2_a*P2_al2*SIN(RADIANS($A335))-P2_a*P2_w2^2*COS(RADIANS($A335))+P2_b*G335*SIN(RADIANS(B335))+P2_b*E335^2*COS(RADIANS(B335))</f>
        <v>262.153973099162</v>
      </c>
      <c r="I335" s="45" t="n">
        <v>45</v>
      </c>
    </row>
    <row r="336" customFormat="false" ht="15" hidden="false" customHeight="false" outlineLevel="0" collapsed="false">
      <c r="A336" s="41" t="n">
        <v>165</v>
      </c>
      <c r="B336" s="42" t="n">
        <f aca="false">180-DEGREES(ASIN((P2_a*SIN(RADIANS($A336))-P2_c)/P2_b))</f>
        <v>167.282660979178</v>
      </c>
      <c r="C336" s="42" t="n">
        <f aca="false">P2_a*COS(RADIANS($A336))-P2_b*COS(RADIANS(B336))</f>
        <v>94.9543679559889</v>
      </c>
      <c r="D336" s="43" t="n">
        <f aca="false">90-DEGREES(ASIN(ABS((P2_a*SIN(RADIANS($A336))-P2_c)/P2_b)))</f>
        <v>77.2826609791777</v>
      </c>
      <c r="E336" s="44" t="n">
        <f aca="false">P2_a*P2_w2*COS(RADIANS($A336))/(P2_b*COS(RADIANS(B336)))</f>
        <v>0.824849567110471</v>
      </c>
      <c r="F336" s="42" t="n">
        <f aca="false">-P2_a*P2_w2*SIN(RADIANS($A336))+P2_b*E336*SIN(RADIANS(B336))</f>
        <v>-4.48961182645618</v>
      </c>
      <c r="G336" s="44" t="n">
        <f aca="false">(P2_a*P2_al2*COS(RADIANS($A336))-P2_a*P2_w2^2*SIN(RADIANS($A336))+P2_b*E336^2*SIN(RADIANS(B336)))/(P2_b*COS(RADIANS(B336)))</f>
        <v>0.540801914228335</v>
      </c>
      <c r="H336" s="42" t="n">
        <f aca="false">-P2_a*P2_al2*SIN(RADIANS($A336))-P2_a*P2_w2^2*COS(RADIANS($A336))+P2_b*G336*SIN(RADIANS(B336))+P2_b*E336^2*COS(RADIANS(B336))</f>
        <v>261.774161641876</v>
      </c>
      <c r="I336" s="45" t="n">
        <v>45</v>
      </c>
    </row>
    <row r="337" customFormat="false" ht="15" hidden="false" customHeight="false" outlineLevel="0" collapsed="false">
      <c r="A337" s="41" t="n">
        <v>165.5</v>
      </c>
      <c r="B337" s="42" t="n">
        <f aca="false">180-DEGREES(ASIN((P2_a*SIN(RADIANS($A337))-P2_c)/P2_b))</f>
        <v>167.414057795531</v>
      </c>
      <c r="C337" s="42" t="n">
        <f aca="false">P2_a*COS(RADIANS($A337))-P2_b*COS(RADIANS(B337))</f>
        <v>94.9429062545296</v>
      </c>
      <c r="D337" s="43" t="n">
        <f aca="false">90-DEGREES(ASIN(ABS((P2_a*SIN(RADIANS($A337))-P2_c)/P2_b)))</f>
        <v>77.4140577955315</v>
      </c>
      <c r="E337" s="44" t="n">
        <f aca="false">P2_a*P2_w2*COS(RADIANS($A337))/(P2_b*COS(RADIANS(B337)))</f>
        <v>0.826321390829841</v>
      </c>
      <c r="F337" s="42" t="n">
        <f aca="false">-P2_a*P2_w2*SIN(RADIANS($A337))+P2_b*E337*SIN(RADIANS(B337))</f>
        <v>-3.76298916889712</v>
      </c>
      <c r="G337" s="44" t="n">
        <f aca="false">(P2_a*P2_al2*COS(RADIANS($A337))-P2_a*P2_w2^2*SIN(RADIANS($A337))+P2_b*E337^2*SIN(RADIANS(B337)))/(P2_b*COS(RADIANS(B337)))</f>
        <v>0.518912686402268</v>
      </c>
      <c r="H337" s="42" t="n">
        <f aca="false">-P2_a*P2_al2*SIN(RADIANS($A337))-P2_a*P2_w2^2*COS(RADIANS($A337))+P2_b*G337*SIN(RADIANS(B337))+P2_b*E337^2*COS(RADIANS(B337))</f>
        <v>261.394123008265</v>
      </c>
      <c r="I337" s="45" t="n">
        <v>45</v>
      </c>
    </row>
    <row r="338" customFormat="false" ht="15" hidden="false" customHeight="false" outlineLevel="0" collapsed="false">
      <c r="A338" s="41" t="n">
        <v>166</v>
      </c>
      <c r="B338" s="42" t="n">
        <f aca="false">180-DEGREES(ASIN((P2_a*SIN(RADIANS($A338))-P2_c)/P2_b))</f>
        <v>167.545684022012</v>
      </c>
      <c r="C338" s="42" t="n">
        <f aca="false">P2_a*COS(RADIANS($A338))-P2_b*COS(RADIANS(B338))</f>
        <v>94.9334614829546</v>
      </c>
      <c r="D338" s="43" t="n">
        <f aca="false">90-DEGREES(ASIN(ABS((P2_a*SIN(RADIANS($A338))-P2_c)/P2_b)))</f>
        <v>77.5456840220123</v>
      </c>
      <c r="E338" s="44" t="n">
        <f aca="false">P2_a*P2_w2*COS(RADIANS($A338))/(P2_b*COS(RADIANS(B338)))</f>
        <v>0.827732424209377</v>
      </c>
      <c r="F338" s="42" t="n">
        <f aca="false">-P2_a*P2_w2*SIN(RADIANS($A338))+P2_b*E338*SIN(RADIANS(B338))</f>
        <v>-3.03742236536623</v>
      </c>
      <c r="G338" s="44" t="n">
        <f aca="false">(P2_a*P2_al2*COS(RADIANS($A338))-P2_a*P2_w2^2*SIN(RADIANS($A338))+P2_b*E338^2*SIN(RADIANS(B338)))/(P2_b*COS(RADIANS(B338)))</f>
        <v>0.497033006330862</v>
      </c>
      <c r="H338" s="42" t="n">
        <f aca="false">-P2_a*P2_al2*SIN(RADIANS($A338))-P2_a*P2_w2^2*COS(RADIANS($A338))+P2_b*G338*SIN(RADIANS(B338))+P2_b*E338^2*COS(RADIANS(B338))</f>
        <v>261.013964128718</v>
      </c>
      <c r="I338" s="45" t="n">
        <v>45</v>
      </c>
    </row>
    <row r="339" customFormat="false" ht="15" hidden="false" customHeight="false" outlineLevel="0" collapsed="false">
      <c r="A339" s="41" t="n">
        <v>166.5</v>
      </c>
      <c r="B339" s="42" t="n">
        <f aca="false">180-DEGREES(ASIN((P2_a*SIN(RADIANS($A339))-P2_c)/P2_b))</f>
        <v>167.677529985708</v>
      </c>
      <c r="C339" s="42" t="n">
        <f aca="false">P2_a*COS(RADIANS($A339))-P2_b*COS(RADIANS(B339))</f>
        <v>94.9260307080047</v>
      </c>
      <c r="D339" s="43" t="n">
        <f aca="false">90-DEGREES(ASIN(ABS((P2_a*SIN(RADIANS($A339))-P2_c)/P2_b)))</f>
        <v>77.6775299857076</v>
      </c>
      <c r="E339" s="44" t="n">
        <f aca="false">P2_a*P2_w2*COS(RADIANS($A339))/(P2_b*COS(RADIANS(B339)))</f>
        <v>0.829082694901538</v>
      </c>
      <c r="F339" s="42" t="n">
        <f aca="false">-P2_a*P2_w2*SIN(RADIANS($A339))+P2_b*E339*SIN(RADIANS(B339))</f>
        <v>-2.31291160739267</v>
      </c>
      <c r="G339" s="44" t="n">
        <f aca="false">(P2_a*P2_al2*COS(RADIANS($A339))-P2_a*P2_w2^2*SIN(RADIANS($A339))+P2_b*E339^2*SIN(RADIANS(B339)))/(P2_b*COS(RADIANS(B339)))</f>
        <v>0.475163685076931</v>
      </c>
      <c r="H339" s="42" t="n">
        <f aca="false">-P2_a*P2_al2*SIN(RADIANS($A339))-P2_a*P2_w2^2*COS(RADIANS($A339))+P2_b*G339*SIN(RADIANS(B339))+P2_b*E339^2*COS(RADIANS(B339))</f>
        <v>260.633786729069</v>
      </c>
      <c r="I339" s="45" t="n">
        <v>45</v>
      </c>
    </row>
    <row r="340" customFormat="false" ht="15" hidden="false" customHeight="false" outlineLevel="0" collapsed="false">
      <c r="A340" s="41" t="n">
        <v>167</v>
      </c>
      <c r="B340" s="42" t="n">
        <f aca="false">180-DEGREES(ASIN((P2_a*SIN(RADIANS($A340))-P2_c)/P2_b))</f>
        <v>167.809586018284</v>
      </c>
      <c r="C340" s="42" t="n">
        <f aca="false">P2_a*COS(RADIANS($A340))-P2_b*COS(RADIANS(B340))</f>
        <v>94.9206109962742</v>
      </c>
      <c r="D340" s="43" t="n">
        <f aca="false">90-DEGREES(ASIN(ABS((P2_a*SIN(RADIANS($A340))-P2_c)/P2_b)))</f>
        <v>77.8095860182839</v>
      </c>
      <c r="E340" s="44" t="n">
        <f aca="false">P2_a*P2_w2*COS(RADIANS($A340))/(P2_b*COS(RADIANS(B340)))</f>
        <v>0.830372232785354</v>
      </c>
      <c r="F340" s="42" t="n">
        <f aca="false">-P2_a*P2_w2*SIN(RADIANS($A340))+P2_b*E340*SIN(RADIANS(B340))</f>
        <v>-1.58945681112894</v>
      </c>
      <c r="G340" s="44" t="n">
        <f aca="false">(P2_a*P2_al2*COS(RADIANS($A340))-P2_a*P2_w2^2*SIN(RADIANS($A340))+P2_b*E340^2*SIN(RADIANS(B340)))/(P2_b*COS(RADIANS(B340)))</f>
        <v>0.453305514806778</v>
      </c>
      <c r="H340" s="42" t="n">
        <f aca="false">-P2_a*P2_al2*SIN(RADIANS($A340))-P2_a*P2_w2^2*COS(RADIANS($A340))+P2_b*G340*SIN(RADIANS(B340))+P2_b*E340^2*COS(RADIANS(B340))</f>
        <v>260.253687359677</v>
      </c>
      <c r="I340" s="45" t="n">
        <v>45</v>
      </c>
    </row>
    <row r="341" customFormat="false" ht="15" hidden="false" customHeight="false" outlineLevel="0" collapsed="false">
      <c r="A341" s="41" t="n">
        <v>167.5</v>
      </c>
      <c r="B341" s="42" t="n">
        <f aca="false">180-DEGREES(ASIN((P2_a*SIN(RADIANS($A341))-P2_c)/P2_b))</f>
        <v>167.941842456337</v>
      </c>
      <c r="C341" s="42" t="n">
        <f aca="false">P2_a*COS(RADIANS($A341))-P2_b*COS(RADIANS(B341))</f>
        <v>94.9171994149567</v>
      </c>
      <c r="D341" s="43" t="n">
        <f aca="false">90-DEGREES(ASIN(ABS((P2_a*SIN(RADIANS($A341))-P2_c)/P2_b)))</f>
        <v>77.9418424563369</v>
      </c>
      <c r="E341" s="44" t="n">
        <f aca="false">P2_a*P2_w2*COS(RADIANS($A341))/(P2_b*COS(RADIANS(B341)))</f>
        <v>0.831601069914759</v>
      </c>
      <c r="F341" s="42" t="n">
        <f aca="false">-P2_a*P2_w2*SIN(RADIANS($A341))+P2_b*E341*SIN(RADIANS(B341))</f>
        <v>-0.86705763168597</v>
      </c>
      <c r="G341" s="44" t="n">
        <f aca="false">(P2_a*P2_al2*COS(RADIANS($A341))-P2_a*P2_w2^2*SIN(RADIANS($A341))+P2_b*E341^2*SIN(RADIANS(B341)))/(P2_b*COS(RADIANS(B341)))</f>
        <v>0.431459269384808</v>
      </c>
      <c r="H341" s="42" t="n">
        <f aca="false">-P2_a*P2_al2*SIN(RADIANS($A341))-P2_a*P2_w2^2*COS(RADIANS($A341))+P2_b*G341*SIN(RADIANS(B341))+P2_b*E341^2*COS(RADIANS(B341))</f>
        <v>259.873757424912</v>
      </c>
      <c r="I341" s="45" t="n">
        <v>45</v>
      </c>
    </row>
    <row r="342" customFormat="false" ht="15" hidden="false" customHeight="false" outlineLevel="0" collapsed="false">
      <c r="A342" s="41" t="n">
        <v>168</v>
      </c>
      <c r="B342" s="42" t="n">
        <f aca="false">180-DEGREES(ASIN((P2_a*SIN(RADIANS($A342))-P2_c)/P2_b))</f>
        <v>168.074289641733</v>
      </c>
      <c r="C342" s="42" t="n">
        <f aca="false">P2_a*COS(RADIANS($A342))-P2_b*COS(RADIANS(B342))</f>
        <v>94.9157930325493</v>
      </c>
      <c r="D342" s="43" t="n">
        <f aca="false">90-DEGREES(ASIN(ABS((P2_a*SIN(RADIANS($A342))-P2_c)/P2_b)))</f>
        <v>78.0742896417333</v>
      </c>
      <c r="E342" s="44" t="n">
        <f aca="false">P2_a*P2_w2*COS(RADIANS($A342))/(P2_b*COS(RADIANS(B342)))</f>
        <v>0.832769240468582</v>
      </c>
      <c r="F342" s="42" t="n">
        <f aca="false">-P2_a*P2_w2*SIN(RADIANS($A342))+P2_b*E342*SIN(RADIANS(B342))</f>
        <v>-0.145713477386472</v>
      </c>
      <c r="G342" s="44" t="n">
        <f aca="false">(P2_a*P2_al2*COS(RADIANS($A342))-P2_a*P2_w2^2*SIN(RADIANS($A342))+P2_b*E342^2*SIN(RADIANS(B342)))/(P2_b*COS(RADIANS(B342)))</f>
        <v>0.409625704970221</v>
      </c>
      <c r="H342" s="42" t="n">
        <f aca="false">-P2_a*P2_al2*SIN(RADIANS($A342))-P2_a*P2_w2^2*COS(RADIANS($A342))+P2_b*G342*SIN(RADIANS(B342))+P2_b*E342^2*COS(RADIANS(B342))</f>
        <v>259.494083213015</v>
      </c>
      <c r="I342" s="45" t="n">
        <v>45</v>
      </c>
    </row>
    <row r="343" customFormat="false" ht="15" hidden="false" customHeight="false" outlineLevel="0" collapsed="false">
      <c r="A343" s="41" t="n">
        <v>168.5</v>
      </c>
      <c r="B343" s="42" t="n">
        <f aca="false">180-DEGREES(ASIN((P2_a*SIN(RADIANS($A343))-P2_c)/P2_b))</f>
        <v>168.206917921946</v>
      </c>
      <c r="C343" s="42" t="n">
        <f aca="false">P2_a*COS(RADIANS($A343))-P2_b*COS(RADIANS(B343))</f>
        <v>94.9163889195192</v>
      </c>
      <c r="D343" s="43" t="n">
        <f aca="false">90-DEGREES(ASIN(ABS((P2_a*SIN(RADIANS($A343))-P2_c)/P2_b)))</f>
        <v>78.2069179219458</v>
      </c>
      <c r="E343" s="44" t="n">
        <f aca="false">P2_a*P2_w2*COS(RADIANS($A343))/(P2_b*COS(RADIANS(B343)))</f>
        <v>0.833876780702196</v>
      </c>
      <c r="F343" s="42" t="n">
        <f aca="false">-P2_a*P2_w2*SIN(RADIANS($A343))+P2_b*E343*SIN(RADIANS(B343))</f>
        <v>0.574576476065655</v>
      </c>
      <c r="G343" s="44" t="n">
        <f aca="false">(P2_a*P2_al2*COS(RADIANS($A343))-P2_a*P2_w2^2*SIN(RADIANS($A343))+P2_b*E343^2*SIN(RADIANS(B343)))/(P2_b*COS(RADIANS(B343)))</f>
        <v>0.387805560615433</v>
      </c>
      <c r="H343" s="42" t="n">
        <f aca="false">-P2_a*P2_al2*SIN(RADIANS($A343))-P2_a*P2_w2^2*COS(RADIANS($A343))+P2_b*G343*SIN(RADIANS(B343))+P2_b*E343^2*COS(RADIANS(B343))</f>
        <v>259.11474592628</v>
      </c>
      <c r="I343" s="45" t="n">
        <v>45</v>
      </c>
    </row>
    <row r="344" customFormat="false" ht="15" hidden="false" customHeight="false" outlineLevel="0" collapsed="false">
      <c r="A344" s="41" t="n">
        <v>169</v>
      </c>
      <c r="B344" s="42" t="n">
        <f aca="false">180-DEGREES(ASIN((P2_a*SIN(RADIANS($A344))-P2_c)/P2_b))</f>
        <v>168.339717650379</v>
      </c>
      <c r="C344" s="42" t="n">
        <f aca="false">P2_a*COS(RADIANS($A344))-P2_b*COS(RADIANS(B344))</f>
        <v>94.9189841489303</v>
      </c>
      <c r="D344" s="43" t="n">
        <f aca="false">90-DEGREES(ASIN(ABS((P2_a*SIN(RADIANS($A344))-P2_c)/P2_b)))</f>
        <v>78.3397176503792</v>
      </c>
      <c r="E344" s="44" t="n">
        <f aca="false">P2_a*P2_w2*COS(RADIANS($A344))/(P2_b*COS(RADIANS(B344)))</f>
        <v>0.834923728900831</v>
      </c>
      <c r="F344" s="42" t="n">
        <f aca="false">-P2_a*P2_w2*SIN(RADIANS($A344))+P2_b*E344*SIN(RADIANS(B344))</f>
        <v>1.29381327149977</v>
      </c>
      <c r="G344" s="44" t="n">
        <f aca="false">(P2_a*P2_al2*COS(RADIANS($A344))-P2_a*P2_w2^2*SIN(RADIANS($A344))+P2_b*E344^2*SIN(RADIANS(B344)))/(P2_b*COS(RADIANS(B344)))</f>
        <v>0.365999558865906</v>
      </c>
      <c r="H344" s="42" t="n">
        <f aca="false">-P2_a*P2_al2*SIN(RADIANS($A344))-P2_a*P2_w2^2*COS(RADIANS($A344))+P2_b*G344*SIN(RADIANS(B344))+P2_b*E344^2*COS(RADIANS(B344))</f>
        <v>258.735821711514</v>
      </c>
      <c r="I344" s="45" t="n">
        <v>45</v>
      </c>
    </row>
    <row r="345" customFormat="false" ht="15" hidden="false" customHeight="false" outlineLevel="0" collapsed="false">
      <c r="A345" s="41" t="n">
        <v>169.5</v>
      </c>
      <c r="B345" s="42" t="n">
        <f aca="false">180-DEGREES(ASIN((P2_a*SIN(RADIANS($A345))-P2_c)/P2_b))</f>
        <v>168.47267918669</v>
      </c>
      <c r="C345" s="42" t="n">
        <f aca="false">P2_a*COS(RADIANS($A345))-P2_b*COS(RADIANS(B345))</f>
        <v>94.9235757970303</v>
      </c>
      <c r="D345" s="43" t="n">
        <f aca="false">90-DEGREES(ASIN(ABS((P2_a*SIN(RADIANS($A345))-P2_c)/P2_b)))</f>
        <v>78.47267918669</v>
      </c>
      <c r="E345" s="44" t="n">
        <f aca="false">P2_a*P2_w2*COS(RADIANS($A345))/(P2_b*COS(RADIANS(B345)))</f>
        <v>0.835910125334557</v>
      </c>
      <c r="F345" s="42" t="n">
        <f aca="false">-P2_a*P2_w2*SIN(RADIANS($A345))+P2_b*E345*SIN(RADIANS(B345))</f>
        <v>2.01199815627816</v>
      </c>
      <c r="G345" s="44" t="n">
        <f aca="false">(P2_a*P2_al2*COS(RADIANS($A345))-P2_a*P2_w2^2*SIN(RADIANS($A345))+P2_b*E345^2*SIN(RADIANS(B345)))/(P2_b*COS(RADIANS(B345)))</f>
        <v>0.344208406361032</v>
      </c>
      <c r="H345" s="42" t="n">
        <f aca="false">-P2_a*P2_al2*SIN(RADIANS($A345))-P2_a*P2_w2^2*COS(RADIANS($A345))+P2_b*G345*SIN(RADIANS(B345))+P2_b*E345^2*COS(RADIANS(B345))</f>
        <v>258.357381690748</v>
      </c>
      <c r="I345" s="45" t="n">
        <v>45</v>
      </c>
    </row>
    <row r="346" customFormat="false" ht="15" hidden="false" customHeight="false" outlineLevel="0" collapsed="false">
      <c r="A346" s="41" t="n">
        <v>170</v>
      </c>
      <c r="B346" s="42" t="n">
        <f aca="false">180-DEGREES(ASIN((P2_a*SIN(RADIANS($A346))-P2_c)/P2_b))</f>
        <v>168.605792897099</v>
      </c>
      <c r="C346" s="42" t="n">
        <f aca="false">P2_a*COS(RADIANS($A346))-P2_b*COS(RADIANS(B346))</f>
        <v>94.9301609437999</v>
      </c>
      <c r="D346" s="43" t="n">
        <f aca="false">90-DEGREES(ASIN(ABS((P2_a*SIN(RADIANS($A346))-P2_c)/P2_b)))</f>
        <v>78.6057928970994</v>
      </c>
      <c r="E346" s="44" t="n">
        <f aca="false">P2_a*P2_w2*COS(RADIANS($A346))/(P2_b*COS(RADIANS(B346)))</f>
        <v>0.836836012214938</v>
      </c>
      <c r="F346" s="42" t="n">
        <f aca="false">-P2_a*P2_w2*SIN(RADIANS($A346))+P2_b*E346*SIN(RADIANS(B346))</f>
        <v>2.72913256838127</v>
      </c>
      <c r="G346" s="44" t="n">
        <f aca="false">(P2_a*P2_al2*COS(RADIANS($A346))-P2_a*P2_w2^2*SIN(RADIANS($A346))+P2_b*E346^2*SIN(RADIANS(B346)))/(P2_b*COS(RADIANS(B346)))</f>
        <v>0.322432794435767</v>
      </c>
      <c r="H346" s="42" t="n">
        <f aca="false">-P2_a*P2_al2*SIN(RADIANS($A346))-P2_a*P2_w2^2*COS(RADIANS($A346))+P2_b*G346*SIN(RADIANS(B346))+P2_b*E346^2*COS(RADIANS(B346))</f>
        <v>257.979491992143</v>
      </c>
      <c r="I346" s="45" t="n">
        <v>45</v>
      </c>
    </row>
    <row r="347" customFormat="false" ht="15" hidden="false" customHeight="false" outlineLevel="0" collapsed="false">
      <c r="A347" s="41" t="n">
        <v>170.5</v>
      </c>
      <c r="B347" s="42" t="n">
        <f aca="false">180-DEGREES(ASIN((P2_a*SIN(RADIANS($A347))-P2_c)/P2_b))</f>
        <v>168.739049154698</v>
      </c>
      <c r="C347" s="42" t="n">
        <f aca="false">P2_a*COS(RADIANS($A347))-P2_b*COS(RADIANS(B347))</f>
        <v>94.9387366734627</v>
      </c>
      <c r="D347" s="43" t="n">
        <f aca="false">90-DEGREES(ASIN(ABS((P2_a*SIN(RADIANS($A347))-P2_c)/P2_b)))</f>
        <v>78.7390491546981</v>
      </c>
      <c r="E347" s="44" t="n">
        <f aca="false">P2_a*P2_w2*COS(RADIANS($A347))/(P2_b*COS(RADIANS(B347)))</f>
        <v>0.83770143365335</v>
      </c>
      <c r="F347" s="42" t="n">
        <f aca="false">-P2_a*P2_w2*SIN(RADIANS($A347))+P2_b*E347*SIN(RADIANS(B347))</f>
        <v>3.4452181225789</v>
      </c>
      <c r="G347" s="44" t="n">
        <f aca="false">(P2_a*P2_al2*COS(RADIANS($A347))-P2_a*P2_w2^2*SIN(RADIANS($A347))+P2_b*E347^2*SIN(RADIANS(B347)))/(P2_b*COS(RADIANS(B347)))</f>
        <v>0.300673399722696</v>
      </c>
      <c r="H347" s="42" t="n">
        <f aca="false">-P2_a*P2_al2*SIN(RADIANS($A347))-P2_a*P2_w2^2*COS(RADIANS($A347))+P2_b*G347*SIN(RADIANS(B347))+P2_b*E347^2*COS(RADIANS(B347))</f>
        <v>257.602213781077</v>
      </c>
      <c r="I347" s="45" t="n">
        <v>45</v>
      </c>
    </row>
    <row r="348" customFormat="false" ht="15" hidden="false" customHeight="false" outlineLevel="0" collapsed="false">
      <c r="A348" s="41" t="n">
        <v>171</v>
      </c>
      <c r="B348" s="42" t="n">
        <f aca="false">180-DEGREES(ASIN((P2_a*SIN(RADIANS($A348))-P2_c)/P2_b))</f>
        <v>168.872438339746</v>
      </c>
      <c r="C348" s="42" t="n">
        <f aca="false">P2_a*COS(RADIANS($A348))-P2_b*COS(RADIANS(B348))</f>
        <v>94.9493000749576</v>
      </c>
      <c r="D348" s="43" t="n">
        <f aca="false">90-DEGREES(ASIN(ABS((P2_a*SIN(RADIANS($A348))-P2_c)/P2_b)))</f>
        <v>78.8724383397459</v>
      </c>
      <c r="E348" s="44" t="n">
        <f aca="false">P2_a*P2_w2*COS(RADIANS($A348))/(P2_b*COS(RADIANS(B348)))</f>
        <v>0.838506435620985</v>
      </c>
      <c r="F348" s="42" t="n">
        <f aca="false">-P2_a*P2_w2*SIN(RADIANS($A348))+P2_b*E348*SIN(RADIANS(B348))</f>
        <v>4.16025659668792</v>
      </c>
      <c r="G348" s="44" t="n">
        <f aca="false">(P2_a*P2_al2*COS(RADIANS($A348))-P2_a*P2_w2^2*SIN(RADIANS($A348))+P2_b*E348^2*SIN(RADIANS(B348)))/(P2_b*COS(RADIANS(B348)))</f>
        <v>0.278930884754246</v>
      </c>
      <c r="H348" s="42" t="n">
        <f aca="false">-P2_a*P2_al2*SIN(RADIANS($A348))-P2_a*P2_w2^2*COS(RADIANS($A348))+P2_b*G348*SIN(RADIANS(B348))+P2_b*E348^2*COS(RADIANS(B348))</f>
        <v>257.225603291356</v>
      </c>
      <c r="I348" s="45" t="n">
        <v>45</v>
      </c>
    </row>
    <row r="349" customFormat="false" ht="15" hidden="false" customHeight="false" outlineLevel="0" collapsed="false">
      <c r="A349" s="41" t="n">
        <v>171.5</v>
      </c>
      <c r="B349" s="42" t="n">
        <f aca="false">180-DEGREES(ASIN((P2_a*SIN(RADIANS($A349))-P2_c)/P2_b))</f>
        <v>169.005950839965</v>
      </c>
      <c r="C349" s="42" t="n">
        <f aca="false">P2_a*COS(RADIANS($A349))-P2_b*COS(RADIANS(B349))</f>
        <v>94.9618482423726</v>
      </c>
      <c r="D349" s="43" t="n">
        <f aca="false">90-DEGREES(ASIN(ABS((P2_a*SIN(RADIANS($A349))-P2_c)/P2_b)))</f>
        <v>79.0059508399648</v>
      </c>
      <c r="E349" s="44" t="n">
        <f aca="false">P2_a*P2_w2*COS(RADIANS($A349))/(P2_b*COS(RADIANS(B349)))</f>
        <v>0.839251065910512</v>
      </c>
      <c r="F349" s="42" t="n">
        <f aca="false">-P2_a*P2_w2*SIN(RADIANS($A349))+P2_b*E349*SIN(RADIANS(B349))</f>
        <v>4.87424991791717</v>
      </c>
      <c r="G349" s="44" t="n">
        <f aca="false">(P2_a*P2_al2*COS(RADIANS($A349))-P2_a*P2_w2^2*SIN(RADIANS($A349))+P2_b*E349^2*SIN(RADIANS(B349)))/(P2_b*COS(RADIANS(B349)))</f>
        <v>0.257205898564714</v>
      </c>
      <c r="H349" s="42" t="n">
        <f aca="false">-P2_a*P2_al2*SIN(RADIANS($A349))-P2_a*P2_w2^2*COS(RADIANS($A349))+P2_b*G349*SIN(RADIANS(B349))+P2_b*E349^2*COS(RADIANS(B349))</f>
        <v>256.849711856536</v>
      </c>
      <c r="I349" s="45" t="n">
        <v>45</v>
      </c>
    </row>
    <row r="350" customFormat="false" ht="15" hidden="false" customHeight="false" outlineLevel="0" collapsed="false">
      <c r="A350" s="41" t="n">
        <v>172</v>
      </c>
      <c r="B350" s="42" t="n">
        <f aca="false">180-DEGREES(ASIN((P2_a*SIN(RADIANS($A350))-P2_c)/P2_b))</f>
        <v>169.139577050826</v>
      </c>
      <c r="C350" s="42" t="n">
        <f aca="false">P2_a*COS(RADIANS($A350))-P2_b*COS(RADIANS(B350))</f>
        <v>94.9763782753406</v>
      </c>
      <c r="D350" s="43" t="n">
        <f aca="false">90-DEGREES(ASIN(ABS((P2_a*SIN(RADIANS($A350))-P2_c)/P2_b)))</f>
        <v>79.1395770508256</v>
      </c>
      <c r="E350" s="44" t="n">
        <f aca="false">P2_a*P2_w2*COS(RADIANS($A350))/(P2_b*COS(RADIANS(B350)))</f>
        <v>0.839935374099425</v>
      </c>
      <c r="F350" s="42" t="n">
        <f aca="false">-P2_a*P2_w2*SIN(RADIANS($A350))+P2_b*E350*SIN(RADIANS(B350))</f>
        <v>5.58720014929916</v>
      </c>
      <c r="G350" s="44" t="n">
        <f aca="false">(P2_a*P2_al2*COS(RADIANS($A350))-P2_a*P2_w2^2*SIN(RADIANS($A350))+P2_b*E350^2*SIN(RADIANS(B350)))/(P2_b*COS(RADIANS(B350)))</f>
        <v>0.235499077291873</v>
      </c>
      <c r="H350" s="42" t="n">
        <f aca="false">-P2_a*P2_al2*SIN(RADIANS($A350))-P2_a*P2_w2^2*COS(RADIANS($A350))+P2_b*G350*SIN(RADIANS(B350))+P2_b*E350^2*COS(RADIANS(B350))</f>
        <v>256.474585941313</v>
      </c>
      <c r="I350" s="45" t="n">
        <v>45</v>
      </c>
    </row>
    <row r="351" customFormat="false" ht="15" hidden="false" customHeight="false" outlineLevel="0" collapsed="false">
      <c r="A351" s="41" t="n">
        <v>172.5</v>
      </c>
      <c r="B351" s="42" t="n">
        <f aca="false">180-DEGREES(ASIN((P2_a*SIN(RADIANS($A351))-P2_c)/P2_b))</f>
        <v>169.273307375829</v>
      </c>
      <c r="C351" s="42" t="n">
        <f aca="false">P2_a*COS(RADIANS($A351))-P2_b*COS(RADIANS(B351))</f>
        <v>94.9928872793983</v>
      </c>
      <c r="D351" s="43" t="n">
        <f aca="false">90-DEGREES(ASIN(ABS((P2_a*SIN(RADIANS($A351))-P2_c)/P2_b)))</f>
        <v>79.2733073758293</v>
      </c>
      <c r="E351" s="44" t="n">
        <f aca="false">P2_a*P2_w2*COS(RADIANS($A351))/(P2_b*COS(RADIANS(B351)))</f>
        <v>0.840559411515049</v>
      </c>
      <c r="F351" s="42" t="n">
        <f aca="false">-P2_a*P2_w2*SIN(RADIANS($A351))+P2_b*E351*SIN(RADIANS(B351))</f>
        <v>6.29910947620883</v>
      </c>
      <c r="G351" s="44" t="n">
        <f aca="false">(P2_a*P2_al2*COS(RADIANS($A351))-P2_a*P2_w2^2*SIN(RADIANS($A351))+P2_b*E351^2*SIN(RADIANS(B351)))/(P2_b*COS(RADIANS(B351)))</f>
        <v>0.213811044777857</v>
      </c>
      <c r="H351" s="42" t="n">
        <f aca="false">-P2_a*P2_al2*SIN(RADIANS($A351))-P2_a*P2_w2^2*COS(RADIANS($A351))+P2_b*G351*SIN(RADIANS(B351))+P2_b*E351^2*COS(RADIANS(B351))</f>
        <v>256.100267172959</v>
      </c>
      <c r="I351" s="45" t="n">
        <v>45</v>
      </c>
    </row>
    <row r="352" customFormat="false" ht="15" hidden="false" customHeight="false" outlineLevel="0" collapsed="false">
      <c r="A352" s="41" t="n">
        <v>173</v>
      </c>
      <c r="B352" s="42" t="n">
        <f aca="false">180-DEGREES(ASIN((P2_a*SIN(RADIANS($A352))-P2_c)/P2_b))</f>
        <v>169.407132226783</v>
      </c>
      <c r="C352" s="42" t="n">
        <f aca="false">P2_a*COS(RADIANS($A352))-P2_b*COS(RADIANS(B352))</f>
        <v>95.0113723663072</v>
      </c>
      <c r="D352" s="43" t="n">
        <f aca="false">90-DEGREES(ASIN(ABS((P2_a*SIN(RADIANS($A352))-P2_c)/P2_b)))</f>
        <v>79.4071322267829</v>
      </c>
      <c r="E352" s="44" t="n">
        <f aca="false">P2_a*P2_w2*COS(RADIANS($A352))/(P2_b*COS(RADIANS(B352)))</f>
        <v>0.841123231201223</v>
      </c>
      <c r="F352" s="42" t="n">
        <f aca="false">-P2_a*P2_w2*SIN(RADIANS($A352))+P2_b*E352*SIN(RADIANS(B352))</f>
        <v>7.0099801929705</v>
      </c>
      <c r="G352" s="44" t="n">
        <f aca="false">(P2_a*P2_al2*COS(RADIANS($A352))-P2_a*P2_w2^2*SIN(RADIANS($A352))+P2_b*E352^2*SIN(RADIANS(B352)))/(P2_b*COS(RADIANS(B352)))</f>
        <v>0.192142413169046</v>
      </c>
      <c r="H352" s="42" t="n">
        <f aca="false">-P2_a*P2_al2*SIN(RADIANS($A352))-P2_a*P2_w2^2*COS(RADIANS($A352))+P2_b*G352*SIN(RADIANS(B352))+P2_b*E352^2*COS(RADIANS(B352))</f>
        <v>255.726792372781</v>
      </c>
      <c r="I352" s="45" t="n">
        <v>45</v>
      </c>
    </row>
    <row r="353" customFormat="false" ht="15" hidden="false" customHeight="false" outlineLevel="0" collapsed="false">
      <c r="A353" s="41" t="n">
        <v>173.5</v>
      </c>
      <c r="B353" s="42" t="n">
        <f aca="false">180-DEGREES(ASIN((P2_a*SIN(RADIANS($A353))-P2_c)/P2_b))</f>
        <v>169.54104202407</v>
      </c>
      <c r="C353" s="42" t="n">
        <f aca="false">P2_a*COS(RADIANS($A353))-P2_b*COS(RADIANS(B353))</f>
        <v>95.0318306543379</v>
      </c>
      <c r="D353" s="43" t="n">
        <f aca="false">90-DEGREES(ASIN(ABS((P2_a*SIN(RADIANS($A353))-P2_c)/P2_b)))</f>
        <v>79.5410420240702</v>
      </c>
      <c r="E353" s="44" t="n">
        <f aca="false">P2_a*P2_w2*COS(RADIANS($A353))/(P2_b*COS(RADIANS(B353)))</f>
        <v>0.84162688788664</v>
      </c>
      <c r="F353" s="42" t="n">
        <f aca="false">-P2_a*P2_w2*SIN(RADIANS($A353))+P2_b*E353*SIN(RADIANS(B353))</f>
        <v>7.71981468955116</v>
      </c>
      <c r="G353" s="44" t="n">
        <f aca="false">(P2_a*P2_al2*COS(RADIANS($A353))-P2_a*P2_w2^2*SIN(RADIANS($A353))+P2_b*E353^2*SIN(RADIANS(B353)))/(P2_b*COS(RADIANS(B353)))</f>
        <v>0.170493783514716</v>
      </c>
      <c r="H353" s="42" t="n">
        <f aca="false">-P2_a*P2_al2*SIN(RADIANS($A353))-P2_a*P2_w2^2*COS(RADIANS($A353))+P2_b*G353*SIN(RADIANS(B353))+P2_b*E353^2*COS(RADIANS(B353))</f>
        <v>255.354193587565</v>
      </c>
      <c r="I353" s="45" t="n">
        <v>45</v>
      </c>
    </row>
    <row r="354" customFormat="false" ht="15" hidden="false" customHeight="false" outlineLevel="0" collapsed="false">
      <c r="A354" s="41" t="n">
        <v>174</v>
      </c>
      <c r="B354" s="42" t="n">
        <f aca="false">180-DEGREES(ASIN((P2_a*SIN(RADIANS($A354))-P2_c)/P2_b))</f>
        <v>169.675027196917</v>
      </c>
      <c r="C354" s="42" t="n">
        <f aca="false">P2_a*COS(RADIANS($A354))-P2_b*COS(RADIANS(B354))</f>
        <v>95.0542592685175</v>
      </c>
      <c r="D354" s="43" t="n">
        <f aca="false">90-DEGREES(ASIN(ABS((P2_a*SIN(RADIANS($A354))-P2_c)/P2_b)))</f>
        <v>79.6750271969174</v>
      </c>
      <c r="E354" s="44" t="n">
        <f aca="false">P2_a*P2_w2*COS(RADIANS($A354))/(P2_b*COS(RADIANS(B354)))</f>
        <v>0.842070437954855</v>
      </c>
      <c r="F354" s="42" t="n">
        <f aca="false">-P2_a*P2_w2*SIN(RADIANS($A354))+P2_b*E354*SIN(RADIANS(B354))</f>
        <v>8.42861543834184</v>
      </c>
      <c r="G354" s="44" t="n">
        <f aca="false">(P2_a*P2_al2*COS(RADIANS($A354))-P2_a*P2_w2^2*SIN(RADIANS($A354))+P2_b*E354^2*SIN(RADIANS(B354)))/(P2_b*COS(RADIANS(B354)))</f>
        <v>0.148865746364189</v>
      </c>
      <c r="H354" s="42" t="n">
        <f aca="false">-P2_a*P2_al2*SIN(RADIANS($A354))-P2_a*P2_w2^2*COS(RADIANS($A354))+P2_b*G354*SIN(RADIANS(B354))+P2_b*E354^2*COS(RADIANS(B354))</f>
        <v>254.982498120991</v>
      </c>
      <c r="I354" s="45" t="n">
        <v>45</v>
      </c>
    </row>
    <row r="355" customFormat="false" ht="15" hidden="false" customHeight="false" outlineLevel="0" collapsed="false">
      <c r="A355" s="41" t="n">
        <v>174.5</v>
      </c>
      <c r="B355" s="42" t="n">
        <f aca="false">180-DEGREES(ASIN((P2_a*SIN(RADIANS($A355))-P2_c)/P2_b))</f>
        <v>169.809078183654</v>
      </c>
      <c r="C355" s="42" t="n">
        <f aca="false">P2_a*COS(RADIANS($A355))-P2_b*COS(RADIANS(B355))</f>
        <v>95.0786553408398</v>
      </c>
      <c r="D355" s="43" t="n">
        <f aca="false">90-DEGREES(ASIN(ABS((P2_a*SIN(RADIANS($A355))-P2_c)/P2_b)))</f>
        <v>79.809078183654</v>
      </c>
      <c r="E355" s="44" t="n">
        <f aca="false">P2_a*P2_w2*COS(RADIANS($A355))/(P2_b*COS(RADIANS(B355)))</f>
        <v>0.84245393941594</v>
      </c>
      <c r="F355" s="42" t="n">
        <f aca="false">-P2_a*P2_w2*SIN(RADIANS($A355))+P2_b*E355*SIN(RADIANS(B355))</f>
        <v>9.1363849810258</v>
      </c>
      <c r="G355" s="44" t="n">
        <f aca="false">(P2_a*P2_al2*COS(RADIANS($A355))-P2_a*P2_w2^2*SIN(RADIANS($A355))+P2_b*E355^2*SIN(RADIANS(B355)))/(P2_b*COS(RADIANS(B355)))</f>
        <v>0.127258882362237</v>
      </c>
      <c r="H355" s="42" t="n">
        <f aca="false">-P2_a*P2_al2*SIN(RADIANS($A355))-P2_a*P2_w2^2*COS(RADIANS($A355))+P2_b*G355*SIN(RADIANS(B355))+P2_b*E355^2*COS(RADIANS(B355))</f>
        <v>254.61172856501</v>
      </c>
      <c r="I355" s="45" t="n">
        <v>45</v>
      </c>
    </row>
    <row r="356" customFormat="false" ht="15" hidden="false" customHeight="false" outlineLevel="0" collapsed="false">
      <c r="A356" s="41" t="n">
        <v>175</v>
      </c>
      <c r="B356" s="42" t="n">
        <f aca="false">180-DEGREES(ASIN((P2_a*SIN(RADIANS($A356))-P2_c)/P2_b))</f>
        <v>169.94318543197</v>
      </c>
      <c r="C356" s="42" t="n">
        <f aca="false">P2_a*COS(RADIANS($A356))-P2_b*COS(RADIANS(B356))</f>
        <v>95.1050160104403</v>
      </c>
      <c r="D356" s="43" t="n">
        <f aca="false">90-DEGREES(ASIN(ABS((P2_a*SIN(RADIANS($A356))-P2_c)/P2_b)))</f>
        <v>79.94318543197</v>
      </c>
      <c r="E356" s="44" t="n">
        <f aca="false">P2_a*P2_w2*COS(RADIANS($A356))/(P2_b*COS(RADIANS(B356)))</f>
        <v>0.842777451879805</v>
      </c>
      <c r="F356" s="42" t="n">
        <f aca="false">-P2_a*P2_w2*SIN(RADIANS($A356))+P2_b*E356*SIN(RADIANS(B356))</f>
        <v>9.84312591553366</v>
      </c>
      <c r="G356" s="44" t="n">
        <f aca="false">(P2_a*P2_al2*COS(RADIANS($A356))-P2_a*P2_w2^2*SIN(RADIANS($A356))+P2_b*E356^2*SIN(RADIANS(B356)))/(P2_b*COS(RADIANS(B356)))</f>
        <v>0.105673762842508</v>
      </c>
      <c r="H356" s="42" t="n">
        <f aca="false">-P2_a*P2_al2*SIN(RADIANS($A356))-P2_a*P2_w2^2*COS(RADIANS($A356))+P2_b*G356*SIN(RADIANS(B356))+P2_b*E356^2*COS(RADIANS(B356))</f>
        <v>254.241902831129</v>
      </c>
      <c r="I356" s="45" t="n">
        <v>45</v>
      </c>
    </row>
    <row r="357" customFormat="false" ht="15" hidden="false" customHeight="false" outlineLevel="0" collapsed="false">
      <c r="A357" s="41" t="n">
        <v>175.5</v>
      </c>
      <c r="B357" s="42" t="n">
        <f aca="false">180-DEGREES(ASIN((P2_a*SIN(RADIANS($A357))-P2_c)/P2_b))</f>
        <v>170.077339399168</v>
      </c>
      <c r="C357" s="42" t="n">
        <f aca="false">P2_a*COS(RADIANS($A357))-P2_b*COS(RADIANS(B357))</f>
        <v>95.1333384237336</v>
      </c>
      <c r="D357" s="43" t="n">
        <f aca="false">90-DEGREES(ASIN(ABS((P2_a*SIN(RADIANS($A357))-P2_c)/P2_b)))</f>
        <v>80.0773393991682</v>
      </c>
      <c r="E357" s="44" t="n">
        <f aca="false">P2_a*P2_w2*COS(RADIANS($A357))/(P2_b*COS(RADIANS(B357)))</f>
        <v>0.843041036531146</v>
      </c>
      <c r="F357" s="42" t="n">
        <f aca="false">-P2_a*P2_w2*SIN(RADIANS($A357))+P2_b*E357*SIN(RADIANS(B357))</f>
        <v>10.548840883086</v>
      </c>
      <c r="G357" s="44" t="n">
        <f aca="false">(P2_a*P2_al2*COS(RADIANS($A357))-P2_a*P2_w2^2*SIN(RADIANS($A357))+P2_b*E357^2*SIN(RADIANS(B357)))/(P2_b*COS(RADIANS(B357)))</f>
        <v>0.0841109504187371</v>
      </c>
      <c r="H357" s="42" t="n">
        <f aca="false">-P2_a*P2_al2*SIN(RADIANS($A357))-P2_a*P2_w2^2*COS(RADIANS($A357))+P2_b*G357*SIN(RADIANS(B357))+P2_b*E357^2*COS(RADIANS(B357))</f>
        <v>253.873034181628</v>
      </c>
      <c r="I357" s="45" t="n">
        <v>45</v>
      </c>
    </row>
    <row r="358" customFormat="false" ht="15" hidden="false" customHeight="false" outlineLevel="0" collapsed="false">
      <c r="A358" s="41" t="n">
        <v>176</v>
      </c>
      <c r="B358" s="42" t="n">
        <f aca="false">180-DEGREES(ASIN((P2_a*SIN(RADIANS($A358))-P2_c)/P2_b))</f>
        <v>170.211530552413</v>
      </c>
      <c r="C358" s="42" t="n">
        <f aca="false">P2_a*COS(RADIANS($A358))-P2_b*COS(RADIANS(B358))</f>
        <v>95.1636197345167</v>
      </c>
      <c r="D358" s="43" t="n">
        <f aca="false">90-DEGREES(ASIN(ABS((P2_a*SIN(RADIANS($A358))-P2_c)/P2_b)))</f>
        <v>80.2115305524129</v>
      </c>
      <c r="E358" s="44" t="n">
        <f aca="false">P2_a*P2_w2*COS(RADIANS($A358))/(P2_b*COS(RADIANS(B358)))</f>
        <v>0.843244756106048</v>
      </c>
      <c r="F358" s="42" t="n">
        <f aca="false">-P2_a*P2_w2*SIN(RADIANS($A358))+P2_b*E358*SIN(RADIANS(B358))</f>
        <v>11.2535325553218</v>
      </c>
      <c r="G358" s="44" t="n">
        <f aca="false">(P2_a*P2_al2*COS(RADIANS($A358))-P2_a*P2_w2^2*SIN(RADIANS($A358))+P2_b*E358^2*SIN(RADIANS(B358)))/(P2_b*COS(RADIANS(B358)))</f>
        <v>0.0625709995735232</v>
      </c>
      <c r="H358" s="42" t="n">
        <f aca="false">-P2_a*P2_al2*SIN(RADIANS($A358))-P2_a*P2_w2^2*COS(RADIANS($A358))+P2_b*G358*SIN(RADIANS(B358))+P2_b*E358^2*COS(RADIANS(B358))</f>
        <v>253.505131260661</v>
      </c>
      <c r="I358" s="45" t="n">
        <v>45</v>
      </c>
    </row>
    <row r="359" customFormat="false" ht="15" hidden="false" customHeight="false" outlineLevel="0" collapsed="false">
      <c r="A359" s="41" t="n">
        <v>176.5</v>
      </c>
      <c r="B359" s="42" t="n">
        <f aca="false">180-DEGREES(ASIN((P2_a*SIN(RADIANS($A359))-P2_c)/P2_b))</f>
        <v>170.345749368975</v>
      </c>
      <c r="C359" s="42" t="n">
        <f aca="false">P2_a*COS(RADIANS($A359))-P2_b*COS(RADIANS(B359))</f>
        <v>95.1958571040352</v>
      </c>
      <c r="D359" s="43" t="n">
        <f aca="false">90-DEGREES(ASIN(ABS((P2_a*SIN(RADIANS($A359))-P2_c)/P2_b)))</f>
        <v>80.3457493689752</v>
      </c>
      <c r="E359" s="44" t="n">
        <f aca="false">P2_a*P2_w2*COS(RADIANS($A359))/(P2_b*COS(RADIANS(B359)))</f>
        <v>0.84338867487021</v>
      </c>
      <c r="F359" s="42" t="n">
        <f aca="false">-P2_a*P2_w2*SIN(RADIANS($A359))+P2_b*E359*SIN(RADIANS(B359))</f>
        <v>11.9572036215132</v>
      </c>
      <c r="G359" s="44" t="n">
        <f aca="false">(P2_a*P2_al2*COS(RADIANS($A359))-P2_a*P2_w2^2*SIN(RADIANS($A359))+P2_b*E359^2*SIN(RADIANS(B359)))/(P2_b*COS(RADIANS(B359)))</f>
        <v>0.0410544572444544</v>
      </c>
      <c r="H359" s="42" t="n">
        <f aca="false">-P2_a*P2_al2*SIN(RADIANS($A359))-P2_a*P2_w2^2*COS(RADIANS($A359))+P2_b*G359*SIN(RADIANS(B359))+P2_b*E359^2*COS(RADIANS(B359))</f>
        <v>253.138198125242</v>
      </c>
      <c r="I359" s="45" t="n">
        <v>45</v>
      </c>
    </row>
    <row r="360" customFormat="false" ht="15" hidden="false" customHeight="false" outlineLevel="0" collapsed="false">
      <c r="A360" s="41" t="n">
        <v>177</v>
      </c>
      <c r="B360" s="42" t="n">
        <f aca="false">180-DEGREES(ASIN((P2_a*SIN(RADIANS($A360))-P2_c)/P2_b))</f>
        <v>170.479986336475</v>
      </c>
      <c r="C360" s="42" t="n">
        <f aca="false">P2_a*COS(RADIANS($A360))-P2_b*COS(RADIANS(B360))</f>
        <v>95.2300477010144</v>
      </c>
      <c r="D360" s="43" t="n">
        <f aca="false">90-DEGREES(ASIN(ABS((P2_a*SIN(RADIANS($A360))-P2_c)/P2_b)))</f>
        <v>80.4799863364748</v>
      </c>
      <c r="E360" s="44" t="n">
        <f aca="false">P2_a*P2_w2*COS(RADIANS($A360))/(P2_b*COS(RADIANS(B360)))</f>
        <v>0.843472858598799</v>
      </c>
      <c r="F360" s="42" t="n">
        <f aca="false">-P2_a*P2_w2*SIN(RADIANS($A360))+P2_b*E360*SIN(RADIANS(B360))</f>
        <v>12.6598567758668</v>
      </c>
      <c r="G360" s="44" t="n">
        <f aca="false">(P2_a*P2_al2*COS(RADIANS($A360))-P2_a*P2_w2^2*SIN(RADIANS($A360))+P2_b*E360^2*SIN(RADIANS(B360)))/(P2_b*COS(RADIANS(B360)))</f>
        <v>0.0195618634073623</v>
      </c>
      <c r="H360" s="42" t="n">
        <f aca="false">-P2_a*P2_al2*SIN(RADIANS($A360))-P2_a*P2_w2^2*COS(RADIANS($A360))+P2_b*G360*SIN(RADIANS(B360))+P2_b*E360^2*COS(RADIANS(B360))</f>
        <v>252.7722342761</v>
      </c>
      <c r="I360" s="45" t="n">
        <v>45</v>
      </c>
    </row>
    <row r="361" customFormat="false" ht="15" hidden="false" customHeight="false" outlineLevel="0" collapsed="false">
      <c r="A361" s="41" t="n">
        <v>177.5</v>
      </c>
      <c r="B361" s="42" t="n">
        <f aca="false">180-DEGREES(ASIN((P2_a*SIN(RADIANS($A361))-P2_c)/P2_b))</f>
        <v>170.614231953119</v>
      </c>
      <c r="C361" s="42" t="n">
        <f aca="false">P2_a*COS(RADIANS($A361))-P2_b*COS(RADIANS(B361))</f>
        <v>95.2661887016561</v>
      </c>
      <c r="D361" s="43" t="n">
        <f aca="false">90-DEGREES(ASIN(ABS((P2_a*SIN(RADIANS($A361))-P2_c)/P2_b)))</f>
        <v>80.6142319531188</v>
      </c>
      <c r="E361" s="44" t="n">
        <f aca="false">P2_a*P2_w2*COS(RADIANS($A361))/(P2_b*COS(RADIANS(B361)))</f>
        <v>0.843497374557917</v>
      </c>
      <c r="F361" s="42" t="n">
        <f aca="false">-P2_a*P2_w2*SIN(RADIANS($A361))+P2_b*E361*SIN(RADIANS(B361))</f>
        <v>13.3614947049094</v>
      </c>
      <c r="G361" s="44" t="n">
        <f aca="false">(P2_a*P2_al2*COS(RADIANS($A361))-P2_a*P2_w2^2*SIN(RADIANS($A361))+P2_b*E361^2*SIN(RADIANS(B361)))/(P2_b*COS(RADIANS(B361)))</f>
        <v>-0.00190624834349089</v>
      </c>
      <c r="H361" s="42" t="n">
        <f aca="false">-P2_a*P2_al2*SIN(RADIANS($A361))-P2_a*P2_w2^2*COS(RADIANS($A361))+P2_b*G361*SIN(RADIANS(B361))+P2_b*E361^2*COS(RADIANS(B361))</f>
        <v>252.407234688392</v>
      </c>
      <c r="I361" s="45" t="n">
        <v>45</v>
      </c>
    </row>
    <row r="362" customFormat="false" ht="15" hidden="false" customHeight="false" outlineLevel="0" collapsed="false">
      <c r="A362" s="41" t="n">
        <v>178</v>
      </c>
      <c r="B362" s="42" t="n">
        <f aca="false">180-DEGREES(ASIN((P2_a*SIN(RADIANS($A362))-P2_c)/P2_b))</f>
        <v>170.748476727937</v>
      </c>
      <c r="C362" s="42" t="n">
        <f aca="false">P2_a*COS(RADIANS($A362))-P2_b*COS(RADIANS(B362))</f>
        <v>95.3042772895992</v>
      </c>
      <c r="D362" s="43" t="n">
        <f aca="false">90-DEGREES(ASIN(ABS((P2_a*SIN(RADIANS($A362))-P2_c)/P2_b)))</f>
        <v>80.7484767279374</v>
      </c>
      <c r="E362" s="44" t="n">
        <f aca="false">P2_a*P2_w2*COS(RADIANS($A362))/(P2_b*COS(RADIANS(B362)))</f>
        <v>0.843462291487678</v>
      </c>
      <c r="F362" s="42" t="n">
        <f aca="false">-P2_a*P2_w2*SIN(RADIANS($A362))+P2_b*E362*SIN(RADIANS(B362))</f>
        <v>14.0621200749601</v>
      </c>
      <c r="G362" s="44" t="n">
        <f aca="false">(P2_a*P2_al2*COS(RADIANS($A362))-P2_a*P2_w2^2*SIN(RADIANS($A362))+P2_b*E362^2*SIN(RADIANS(B362)))/(P2_b*COS(RADIANS(B362)))</f>
        <v>-0.0233493502184995</v>
      </c>
      <c r="H362" s="42" t="n">
        <f aca="false">-P2_a*P2_al2*SIN(RADIANS($A362))-P2_a*P2_w2^2*COS(RADIANS($A362))+P2_b*G362*SIN(RADIANS(B362))+P2_b*E362^2*COS(RADIANS(B362))</f>
        <v>252.04318984226</v>
      </c>
      <c r="I362" s="45" t="n">
        <v>45</v>
      </c>
    </row>
    <row r="363" customFormat="false" ht="15" hidden="false" customHeight="false" outlineLevel="0" collapsed="false">
      <c r="A363" s="41" t="n">
        <v>178.5</v>
      </c>
      <c r="B363" s="42" t="n">
        <f aca="false">180-DEGREES(ASIN((P2_a*SIN(RADIANS($A363))-P2_c)/P2_b))</f>
        <v>170.882711181017</v>
      </c>
      <c r="C363" s="42" t="n">
        <f aca="false">P2_a*COS(RADIANS($A363))-P2_b*COS(RADIANS(B363))</f>
        <v>95.3443106558468</v>
      </c>
      <c r="D363" s="43" t="n">
        <f aca="false">90-DEGREES(ASIN(ABS((P2_a*SIN(RADIANS($A363))-P2_c)/P2_b)))</f>
        <v>80.8827111810174</v>
      </c>
      <c r="E363" s="44" t="n">
        <f aca="false">P2_a*P2_w2*COS(RADIANS($A363))/(P2_b*COS(RADIANS(B363)))</f>
        <v>0.843367679586879</v>
      </c>
      <c r="F363" s="42" t="n">
        <f aca="false">-P2_a*P2_w2*SIN(RADIANS($A363))+P2_b*E363*SIN(RADIANS(B363))</f>
        <v>14.7617355196858</v>
      </c>
      <c r="G363" s="44" t="n">
        <f aca="false">(P2_a*P2_al2*COS(RADIANS($A363))-P2_a*P2_w2^2*SIN(RADIANS($A363))+P2_b*E363^2*SIN(RADIANS(B363)))/(P2_b*COS(RADIANS(B363)))</f>
        <v>-0.0447669196592754</v>
      </c>
      <c r="H363" s="42" t="n">
        <f aca="false">-P2_a*P2_al2*SIN(RADIANS($A363))-P2_a*P2_w2^2*COS(RADIANS($A363))+P2_b*G363*SIN(RADIANS(B363))+P2_b*E363^2*COS(RADIANS(B363))</f>
        <v>251.680085753236</v>
      </c>
      <c r="I363" s="45" t="n">
        <v>45</v>
      </c>
    </row>
    <row r="364" customFormat="false" ht="15" hidden="false" customHeight="false" outlineLevel="0" collapsed="false">
      <c r="A364" s="41" t="n">
        <v>179</v>
      </c>
      <c r="B364" s="42" t="n">
        <f aca="false">180-DEGREES(ASIN((P2_a*SIN(RADIANS($A364))-P2_c)/P2_b))</f>
        <v>171.016925843733</v>
      </c>
      <c r="C364" s="42" t="n">
        <f aca="false">P2_a*COS(RADIANS($A364))-P2_b*COS(RADIANS(B364))</f>
        <v>95.3862859986579</v>
      </c>
      <c r="D364" s="43" t="n">
        <f aca="false">90-DEGREES(ASIN(ABS((P2_a*SIN(RADIANS($A364))-P2_c)/P2_b)))</f>
        <v>81.0169258437335</v>
      </c>
      <c r="E364" s="44" t="n">
        <f aca="false">P2_a*P2_w2*COS(RADIANS($A364))/(P2_b*COS(RADIANS(B364)))</f>
        <v>0.843213610499263</v>
      </c>
      <c r="F364" s="42" t="n">
        <f aca="false">-P2_a*P2_w2*SIN(RADIANS($A364))+P2_b*E364*SIN(RADIANS(B364))</f>
        <v>15.460343627742</v>
      </c>
      <c r="G364" s="44" t="n">
        <f aca="false">(P2_a*P2_al2*COS(RADIANS($A364))-P2_a*P2_w2^2*SIN(RADIANS($A364))+P2_b*E364^2*SIN(RADIANS(B364)))/(P2_b*COS(RADIANS(B364)))</f>
        <v>-0.0661584387688571</v>
      </c>
      <c r="H364" s="42" t="n">
        <f aca="false">-P2_a*P2_al2*SIN(RADIANS($A364))-P2_a*P2_w2^2*COS(RADIANS($A364))+P2_b*G364*SIN(RADIANS(B364))+P2_b*E364^2*COS(RADIANS(B364))</f>
        <v>251.317904002475</v>
      </c>
      <c r="I364" s="45" t="n">
        <v>45</v>
      </c>
    </row>
    <row r="365" customFormat="false" ht="15" hidden="false" customHeight="false" outlineLevel="0" collapsed="false">
      <c r="A365" s="41" t="n">
        <v>179.5</v>
      </c>
      <c r="B365" s="42" t="n">
        <f aca="false">180-DEGREES(ASIN((P2_a*SIN(RADIANS($A365))-P2_c)/P2_b))</f>
        <v>171.151111258977</v>
      </c>
      <c r="C365" s="42" t="n">
        <f aca="false">P2_a*COS(RADIANS($A365))-P2_b*COS(RADIANS(B365))</f>
        <v>95.4302005234055</v>
      </c>
      <c r="D365" s="43" t="n">
        <f aca="false">90-DEGREES(ASIN(ABS((P2_a*SIN(RADIANS($A365))-P2_c)/P2_b)))</f>
        <v>81.1511112589767</v>
      </c>
      <c r="E365" s="44" t="n">
        <f aca="false">P2_a*P2_w2*COS(RADIANS($A365))/(P2_b*COS(RADIANS(B365)))</f>
        <v>0.843000157301358</v>
      </c>
      <c r="F365" s="42" t="n">
        <f aca="false">-P2_a*P2_w2*SIN(RADIANS($A365))+P2_b*E365*SIN(RADIANS(B365))</f>
        <v>16.1579469304968</v>
      </c>
      <c r="G365" s="44" t="n">
        <f aca="false">(P2_a*P2_al2*COS(RADIANS($A365))-P2_a*P2_w2^2*SIN(RADIANS($A365))+P2_b*E365^2*SIN(RADIANS(B365)))/(P2_b*COS(RADIANS(B365)))</f>
        <v>-0.0875233937457776</v>
      </c>
      <c r="H365" s="42" t="n">
        <f aca="false">-P2_a*P2_al2*SIN(RADIANS($A365))-P2_a*P2_w2^2*COS(RADIANS($A365))+P2_b*G365*SIN(RADIANS(B365))+P2_b*E365^2*COS(RADIANS(B365))</f>
        <v>250.956621766816</v>
      </c>
      <c r="I365" s="45" t="n">
        <v>45</v>
      </c>
    </row>
    <row r="366" customFormat="false" ht="15" hidden="false" customHeight="false" outlineLevel="0" collapsed="false">
      <c r="A366" s="41" t="n">
        <v>180</v>
      </c>
      <c r="B366" s="42" t="n">
        <f aca="false">180-DEGREES(ASIN((P2_a*SIN(RADIANS($A366))-P2_c)/P2_b))</f>
        <v>171.285257981382</v>
      </c>
      <c r="C366" s="42" t="n">
        <f aca="false">P2_a*COS(RADIANS($A366))-P2_b*COS(RADIANS(B366))</f>
        <v>95.4760514424007</v>
      </c>
      <c r="D366" s="43" t="n">
        <f aca="false">90-DEGREES(ASIN(ABS((P2_a*SIN(RADIANS($A366))-P2_c)/P2_b)))</f>
        <v>81.2852579813819</v>
      </c>
      <c r="E366" s="44" t="n">
        <f aca="false">P2_a*P2_w2*COS(RADIANS($A366))/(P2_b*COS(RADIANS(B366)))</f>
        <v>0.842727394491879</v>
      </c>
      <c r="F366" s="42" t="n">
        <f aca="false">-P2_a*P2_w2*SIN(RADIANS($A366))+P2_b*E366*SIN(RADIANS(B366))</f>
        <v>16.8545478898376</v>
      </c>
      <c r="G366" s="44" t="n">
        <f aca="false">(P2_a*P2_al2*COS(RADIANS($A366))-P2_a*P2_w2^2*SIN(RADIANS($A366))+P2_b*E366^2*SIN(RADIANS(B366)))/(P2_b*COS(RADIANS(B366)))</f>
        <v>-0.108861274322144</v>
      </c>
      <c r="H366" s="42" t="n">
        <f aca="false">-P2_a*P2_al2*SIN(RADIANS($A366))-P2_a*P2_w2^2*COS(RADIANS($A366))+P2_b*G366*SIN(RADIANS(B366))+P2_b*E366^2*COS(RADIANS(B366))</f>
        <v>250.596211848675</v>
      </c>
      <c r="I366" s="45" t="n">
        <v>45</v>
      </c>
    </row>
    <row r="367" customFormat="false" ht="15" hidden="false" customHeight="false" outlineLevel="0" collapsed="false">
      <c r="A367" s="41" t="n">
        <v>180.5</v>
      </c>
      <c r="B367" s="42" t="n">
        <f aca="false">180-DEGREES(ASIN((P2_a*SIN(RADIANS($A367))-P2_c)/P2_b))</f>
        <v>171.419356577553</v>
      </c>
      <c r="C367" s="42" t="n">
        <f aca="false">P2_a*COS(RADIANS($A367))-P2_b*COS(RADIANS(B367))</f>
        <v>95.5238359746824</v>
      </c>
      <c r="D367" s="43" t="n">
        <f aca="false">90-DEGREES(ASIN(ABS((P2_a*SIN(RADIANS($A367))-P2_c)/P2_b)))</f>
        <v>81.4193565775535</v>
      </c>
      <c r="E367" s="44" t="n">
        <f aca="false">P2_a*P2_w2*COS(RADIANS($A367))/(P2_b*COS(RADIANS(B367)))</f>
        <v>0.842395397982692</v>
      </c>
      <c r="F367" s="42" t="n">
        <f aca="false">-P2_a*P2_w2*SIN(RADIANS($A367))+P2_b*E367*SIN(RADIANS(B367))</f>
        <v>17.5501488860625</v>
      </c>
      <c r="G367" s="44" t="n">
        <f aca="false">(P2_a*P2_al2*COS(RADIANS($A367))-P2_a*P2_w2^2*SIN(RADIANS($A367))+P2_b*E367^2*SIN(RADIANS(B367)))/(P2_b*COS(RADIANS(B367)))</f>
        <v>-0.130171573205937</v>
      </c>
      <c r="H367" s="42" t="n">
        <f aca="false">-P2_a*P2_al2*SIN(RADIANS($A367))-P2_a*P2_w2^2*COS(RADIANS($A367))+P2_b*G367*SIN(RADIANS(B367))+P2_b*E367^2*COS(RADIANS(B367))</f>
        <v>250.236642705757</v>
      </c>
      <c r="I367" s="45" t="n">
        <v>45</v>
      </c>
    </row>
    <row r="368" customFormat="false" ht="15" hidden="false" customHeight="false" outlineLevel="0" collapsed="false">
      <c r="A368" s="41" t="n">
        <v>181</v>
      </c>
      <c r="B368" s="42" t="n">
        <f aca="false">180-DEGREES(ASIN((P2_a*SIN(RADIANS($A368))-P2_c)/P2_b))</f>
        <v>171.553397626289</v>
      </c>
      <c r="C368" s="42" t="n">
        <f aca="false">P2_a*COS(RADIANS($A368))-P2_b*COS(RADIANS(B368))</f>
        <v>95.5735513457743</v>
      </c>
      <c r="D368" s="43" t="n">
        <f aca="false">90-DEGREES(ASIN(ABS((P2_a*SIN(RADIANS($A368))-P2_c)/P2_b)))</f>
        <v>81.5533976262895</v>
      </c>
      <c r="E368" s="44" t="n">
        <f aca="false">P2_a*P2_w2*COS(RADIANS($A368))/(P2_b*COS(RADIANS(B368)))</f>
        <v>0.842004245091313</v>
      </c>
      <c r="F368" s="42" t="n">
        <f aca="false">-P2_a*P2_w2*SIN(RADIANS($A368))+P2_b*E368*SIN(RADIANS(B368))</f>
        <v>18.2447522058516</v>
      </c>
      <c r="G368" s="44" t="n">
        <f aca="false">(P2_a*P2_al2*COS(RADIANS($A368))-P2_a*P2_w2^2*SIN(RADIANS($A368))+P2_b*E368^2*SIN(RADIANS(B368)))/(P2_b*COS(RADIANS(B368)))</f>
        <v>-0.151453785527669</v>
      </c>
      <c r="H368" s="42" t="n">
        <f aca="false">-P2_a*P2_al2*SIN(RADIANS($A368))-P2_a*P2_w2^2*COS(RADIANS($A368))+P2_b*G368*SIN(RADIANS(B368))+P2_b*E368^2*COS(RADIANS(B368))</f>
        <v>249.877878480592</v>
      </c>
      <c r="I368" s="45" t="n">
        <v>45</v>
      </c>
    </row>
    <row r="369" customFormat="false" ht="15" hidden="false" customHeight="false" outlineLevel="0" collapsed="false">
      <c r="A369" s="41" t="n">
        <v>181.5</v>
      </c>
      <c r="B369" s="42" t="n">
        <f aca="false">180-DEGREES(ASIN((P2_a*SIN(RADIANS($A369))-P2_c)/P2_b))</f>
        <v>171.687371718805</v>
      </c>
      <c r="C369" s="42" t="n">
        <f aca="false">P2_a*COS(RADIANS($A369))-P2_b*COS(RADIANS(B369))</f>
        <v>95.6251947874081</v>
      </c>
      <c r="D369" s="43" t="n">
        <f aca="false">90-DEGREES(ASIN(ABS((P2_a*SIN(RADIANS($A369))-P2_c)/P2_b)))</f>
        <v>81.6873717188048</v>
      </c>
      <c r="E369" s="44" t="n">
        <f aca="false">P2_a*P2_w2*COS(RADIANS($A369))/(P2_b*COS(RADIANS(B369)))</f>
        <v>0.841554014534947</v>
      </c>
      <c r="F369" s="42" t="n">
        <f aca="false">-P2_a*P2_w2*SIN(RADIANS($A369))+P2_b*E369*SIN(RADIANS(B369))</f>
        <v>18.9383600303216</v>
      </c>
      <c r="G369" s="44" t="n">
        <f aca="false">(P2_a*P2_al2*COS(RADIANS($A369))-P2_a*P2_w2^2*SIN(RADIANS($A369))+P2_b*E369^2*SIN(RADIANS(B369)))/(P2_b*COS(RADIANS(B369)))</f>
        <v>-0.172707408291611</v>
      </c>
      <c r="H369" s="42" t="n">
        <f aca="false">-P2_a*P2_al2*SIN(RADIANS($A369))-P2_a*P2_w2^2*COS(RADIANS($A369))+P2_b*G369*SIN(RADIANS(B369))+P2_b*E369^2*COS(RADIANS(B369))</f>
        <v>249.519879029896</v>
      </c>
      <c r="I369" s="45" t="n">
        <v>45</v>
      </c>
    </row>
    <row r="370" customFormat="false" ht="15" hidden="false" customHeight="false" outlineLevel="0" collapsed="false">
      <c r="A370" s="41" t="n">
        <v>182</v>
      </c>
      <c r="B370" s="42" t="n">
        <f aca="false">180-DEGREES(ASIN((P2_a*SIN(RADIANS($A370))-P2_c)/P2_b))</f>
        <v>171.821269458954</v>
      </c>
      <c r="C370" s="42" t="n">
        <f aca="false">P2_a*COS(RADIANS($A370))-P2_b*COS(RADIANS(B370))</f>
        <v>95.6787635372137</v>
      </c>
      <c r="D370" s="43" t="n">
        <f aca="false">90-DEGREES(ASIN(ABS((P2_a*SIN(RADIANS($A370))-P2_c)/P2_b)))</f>
        <v>81.8212694589538</v>
      </c>
      <c r="E370" s="44" t="n">
        <f aca="false">P2_a*P2_w2*COS(RADIANS($A370))/(P2_b*COS(RADIANS(B370)))</f>
        <v>0.841044786426036</v>
      </c>
      <c r="F370" s="42" t="n">
        <f aca="false">-P2_a*P2_w2*SIN(RADIANS($A370))+P2_b*E370*SIN(RADIANS(B370))</f>
        <v>19.6309744231617</v>
      </c>
      <c r="G370" s="44" t="n">
        <f aca="false">(P2_a*P2_al2*COS(RADIANS($A370))-P2_a*P2_w2^2*SIN(RADIANS($A370))+P2_b*E370^2*SIN(RADIANS(B370)))/(P2_b*COS(RADIANS(B370)))</f>
        <v>-0.193931939831716</v>
      </c>
      <c r="H370" s="42" t="n">
        <f aca="false">-P2_a*P2_al2*SIN(RADIANS($A370))-P2_a*P2_w2^2*COS(RADIANS($A370))+P2_b*G370*SIN(RADIANS(B370))+P2_b*E370^2*COS(RADIANS(B370))</f>
        <v>249.162599953763</v>
      </c>
      <c r="I370" s="45" t="n">
        <v>45</v>
      </c>
    </row>
    <row r="371" customFormat="false" ht="15" hidden="false" customHeight="false" outlineLevel="0" collapsed="false">
      <c r="A371" s="41" t="n">
        <v>182.5</v>
      </c>
      <c r="B371" s="42" t="n">
        <f aca="false">180-DEGREES(ASIN((P2_a*SIN(RADIANS($A371))-P2_c)/P2_b))</f>
        <v>171.955081463452</v>
      </c>
      <c r="C371" s="42" t="n">
        <f aca="false">P2_a*COS(RADIANS($A371))-P2_b*COS(RADIANS(B371))</f>
        <v>95.7342548383771</v>
      </c>
      <c r="D371" s="43" t="n">
        <f aca="false">90-DEGREES(ASIN(ABS((P2_a*SIN(RADIANS($A371))-P2_c)/P2_b)))</f>
        <v>81.9550814634517</v>
      </c>
      <c r="E371" s="44" t="n">
        <f aca="false">P2_a*P2_w2*COS(RADIANS($A371))/(P2_b*COS(RADIANS(B371)))</f>
        <v>0.840476642269315</v>
      </c>
      <c r="F371" s="42" t="n">
        <f aca="false">-P2_a*P2_w2*SIN(RADIANS($A371))+P2_b*E371*SIN(RADIANS(B371))</f>
        <v>20.3225973188491</v>
      </c>
      <c r="G371" s="44" t="n">
        <f aca="false">(P2_a*P2_al2*COS(RADIANS($A371))-P2_a*P2_w2^2*SIN(RADIANS($A371))+P2_b*E371^2*SIN(RADIANS(B371)))/(P2_b*COS(RADIANS(B371)))</f>
        <v>-0.215126879272421</v>
      </c>
      <c r="H371" s="42" t="n">
        <f aca="false">-P2_a*P2_al2*SIN(RADIANS($A371))-P2_a*P2_w2^2*COS(RADIANS($A371))+P2_b*G371*SIN(RADIANS(B371))+P2_b*E371^2*COS(RADIANS(B371))</f>
        <v>248.80599262468</v>
      </c>
      <c r="I371" s="45" t="n">
        <v>45</v>
      </c>
    </row>
    <row r="372" customFormat="false" ht="15" hidden="false" customHeight="false" outlineLevel="0" collapsed="false">
      <c r="A372" s="41" t="n">
        <v>183</v>
      </c>
      <c r="B372" s="42" t="n">
        <f aca="false">180-DEGREES(ASIN((P2_a*SIN(RADIANS($A372))-P2_c)/P2_b))</f>
        <v>172.088798362097</v>
      </c>
      <c r="C372" s="42" t="n">
        <f aca="false">P2_a*COS(RADIANS($A372))-P2_b*COS(RADIANS(B372))</f>
        <v>95.7916659392643</v>
      </c>
      <c r="D372" s="43" t="n">
        <f aca="false">90-DEGREES(ASIN(ABS((P2_a*SIN(RADIANS($A372))-P2_c)/P2_b)))</f>
        <v>82.0887983620965</v>
      </c>
      <c r="E372" s="44" t="n">
        <f aca="false">P2_a*P2_w2*COS(RADIANS($A372))/(P2_b*COS(RADIANS(B372)))</f>
        <v>0.839849664960365</v>
      </c>
      <c r="F372" s="42" t="n">
        <f aca="false">-P2_a*P2_w2*SIN(RADIANS($A372))+P2_b*E372*SIN(RADIANS(B372))</f>
        <v>21.0132305109467</v>
      </c>
      <c r="G372" s="44" t="n">
        <f aca="false">(P2_a*P2_al2*COS(RADIANS($A372))-P2_a*P2_w2^2*SIN(RADIANS($A372))+P2_b*E372^2*SIN(RADIANS(B372)))/(P2_b*COS(RADIANS(B372)))</f>
        <v>-0.236291725994501</v>
      </c>
      <c r="H372" s="42" t="n">
        <f aca="false">-P2_a*P2_al2*SIN(RADIANS($A372))-P2_a*P2_w2^2*COS(RADIANS($A372))+P2_b*G372*SIN(RADIANS(B372))+P2_b*E372^2*COS(RADIANS(B372))</f>
        <v>248.450004216382</v>
      </c>
      <c r="I372" s="45" t="n">
        <v>45</v>
      </c>
    </row>
    <row r="373" customFormat="false" ht="15" hidden="false" customHeight="false" outlineLevel="0" collapsed="false">
      <c r="A373" s="41" t="n">
        <v>183.5</v>
      </c>
      <c r="B373" s="42" t="n">
        <f aca="false">180-DEGREES(ASIN((P2_a*SIN(RADIANS($A373))-P2_c)/P2_b))</f>
        <v>172.22241079799</v>
      </c>
      <c r="C373" s="42" t="n">
        <f aca="false">P2_a*COS(RADIANS($A373))-P2_b*COS(RADIANS(B373))</f>
        <v>95.8509940930146</v>
      </c>
      <c r="D373" s="43" t="n">
        <f aca="false">90-DEGREES(ASIN(ABS((P2_a*SIN(RADIANS($A373))-P2_c)/P2_b)))</f>
        <v>82.2224107979901</v>
      </c>
      <c r="E373" s="44" t="n">
        <f aca="false">P2_a*P2_w2*COS(RADIANS($A373))/(P2_b*COS(RADIANS(B373)))</f>
        <v>0.839163938785628</v>
      </c>
      <c r="F373" s="42" t="n">
        <f aca="false">-P2_a*P2_w2*SIN(RADIANS($A373))+P2_b*E373*SIN(RADIANS(B373))</f>
        <v>21.7028756404795</v>
      </c>
      <c r="G373" s="44" t="n">
        <f aca="false">(P2_a*P2_al2*COS(RADIANS($A373))-P2_a*P2_w2^2*SIN(RADIANS($A373))+P2_b*E373^2*SIN(RADIANS(B373)))/(P2_b*COS(RADIANS(B373)))</f>
        <v>-0.257425979106103</v>
      </c>
      <c r="H373" s="42" t="n">
        <f aca="false">-P2_a*P2_al2*SIN(RADIANS($A373))-P2_a*P2_w2^2*COS(RADIANS($A373))+P2_b*G373*SIN(RADIANS(B373))+P2_b*E373^2*COS(RADIANS(B373))</f>
        <v>248.094577732555</v>
      </c>
      <c r="I373" s="45" t="n">
        <v>45</v>
      </c>
    </row>
    <row r="374" customFormat="false" ht="15" hidden="false" customHeight="false" outlineLevel="0" collapsed="false">
      <c r="A374" s="41" t="n">
        <v>184</v>
      </c>
      <c r="B374" s="42" t="n">
        <f aca="false">180-DEGREES(ASIN((P2_a*SIN(RADIANS($A374))-P2_c)/P2_b))</f>
        <v>172.35590942776</v>
      </c>
      <c r="C374" s="42" t="n">
        <f aca="false">P2_a*COS(RADIANS($A374))-P2_b*COS(RADIANS(B374))</f>
        <v>95.9122365571005</v>
      </c>
      <c r="D374" s="43" t="n">
        <f aca="false">90-DEGREES(ASIN(ABS((P2_a*SIN(RADIANS($A374))-P2_c)/P2_b)))</f>
        <v>82.3559094277597</v>
      </c>
      <c r="E374" s="44" t="n">
        <f aca="false">P2_a*P2_w2*COS(RADIANS($A374))/(P2_b*COS(RADIANS(B374)))</f>
        <v>0.8384195494239</v>
      </c>
      <c r="F374" s="42" t="n">
        <f aca="false">-P2_a*P2_w2*SIN(RADIANS($A374))+P2_b*E374*SIN(RADIANS(B374))</f>
        <v>22.3915341843903</v>
      </c>
      <c r="G374" s="44" t="n">
        <f aca="false">(P2_a*P2_al2*COS(RADIANS($A374))-P2_a*P2_w2^2*SIN(RADIANS($A374))+P2_b*E374^2*SIN(RADIANS(B374)))/(P2_b*COS(RADIANS(B374)))</f>
        <v>-0.278529136919134</v>
      </c>
      <c r="H374" s="42" t="n">
        <f aca="false">-P2_a*P2_al2*SIN(RADIANS($A374))-P2_a*P2_w2^2*COS(RADIANS($A374))+P2_b*G374*SIN(RADIANS(B374))+P2_b*E374^2*COS(RADIANS(B374))</f>
        <v>247.739652035378</v>
      </c>
      <c r="I374" s="45" t="n">
        <v>45</v>
      </c>
    </row>
    <row r="375" customFormat="false" ht="15" hidden="false" customHeight="false" outlineLevel="0" collapsed="false">
      <c r="A375" s="41" t="n">
        <v>184.5</v>
      </c>
      <c r="B375" s="42" t="n">
        <f aca="false">180-DEGREES(ASIN((P2_a*SIN(RADIANS($A375))-P2_c)/P2_b))</f>
        <v>172.48928492178</v>
      </c>
      <c r="C375" s="42" t="n">
        <f aca="false">P2_a*COS(RADIANS($A375))-P2_b*COS(RADIANS(B375))</f>
        <v>95.9753905928557</v>
      </c>
      <c r="D375" s="43" t="n">
        <f aca="false">90-DEGREES(ASIN(ABS((P2_a*SIN(RADIANS($A375))-P2_c)/P2_b)))</f>
        <v>82.4892849217797</v>
      </c>
      <c r="E375" s="44" t="n">
        <f aca="false">P2_a*P2_w2*COS(RADIANS($A375))/(P2_b*COS(RADIANS(B375)))</f>
        <v>0.837616583949262</v>
      </c>
      <c r="F375" s="42" t="n">
        <f aca="false">-P2_a*P2_w2*SIN(RADIANS($A375))+P2_b*E375*SIN(RADIANS(B375))</f>
        <v>23.0792074440759</v>
      </c>
      <c r="G375" s="44" t="n">
        <f aca="false">(P2_a*P2_al2*COS(RADIANS($A375))-P2_a*P2_w2^2*SIN(RADIANS($A375))+P2_b*E375^2*SIN(RADIANS(B375)))/(P2_b*COS(RADIANS(B375)))</f>
        <v>-0.299600696431153</v>
      </c>
      <c r="H375" s="42" t="n">
        <f aca="false">-P2_a*P2_al2*SIN(RADIANS($A375))-P2_a*P2_w2^2*COS(RADIANS($A375))+P2_b*G375*SIN(RADIANS(B375))+P2_b*E375^2*COS(RADIANS(B375))</f>
        <v>247.38516187393</v>
      </c>
      <c r="I375" s="45" t="n">
        <v>45</v>
      </c>
    </row>
    <row r="376" customFormat="false" ht="15" hidden="false" customHeight="false" outlineLevel="0" collapsed="false">
      <c r="A376" s="41" t="n">
        <v>185</v>
      </c>
      <c r="B376" s="42" t="n">
        <f aca="false">180-DEGREES(ASIN((P2_a*SIN(RADIANS($A376))-P2_c)/P2_b))</f>
        <v>172.622527964394</v>
      </c>
      <c r="C376" s="42" t="n">
        <f aca="false">P2_a*COS(RADIANS($A376))-P2_b*COS(RADIANS(B376))</f>
        <v>96.0404534649721</v>
      </c>
      <c r="D376" s="43" t="n">
        <f aca="false">90-DEGREES(ASIN(ABS((P2_a*SIN(RADIANS($A376))-P2_c)/P2_b)))</f>
        <v>82.6225279643942</v>
      </c>
      <c r="E376" s="44" t="n">
        <f aca="false">P2_a*P2_w2*COS(RADIANS($A376))/(P2_b*COS(RADIANS(B376)))</f>
        <v>0.836755130835442</v>
      </c>
      <c r="F376" s="42" t="n">
        <f aca="false">-P2_a*P2_w2*SIN(RADIANS($A376))+P2_b*E376*SIN(RADIANS(B376))</f>
        <v>23.7658965340003</v>
      </c>
      <c r="G376" s="44" t="n">
        <f aca="false">(P2_a*P2_al2*COS(RADIANS($A376))-P2_a*P2_w2^2*SIN(RADIANS($A376))+P2_b*E376^2*SIN(RADIANS(B376)))/(P2_b*COS(RADIANS(B376)))</f>
        <v>-0.320640152812923</v>
      </c>
      <c r="H376" s="42" t="n">
        <f aca="false">-P2_a*P2_al2*SIN(RADIANS($A376))-P2_a*P2_w2^2*COS(RADIANS($A376))+P2_b*G376*SIN(RADIANS(B376))+P2_b*E376^2*COS(RADIANS(B376))</f>
        <v>247.031037912472</v>
      </c>
      <c r="I376" s="45" t="n">
        <v>45</v>
      </c>
    </row>
    <row r="377" customFormat="false" ht="15" hidden="false" customHeight="false" outlineLevel="0" collapsed="false">
      <c r="A377" s="41" t="n">
        <v>185.5</v>
      </c>
      <c r="B377" s="42" t="n">
        <f aca="false">180-DEGREES(ASIN((P2_a*SIN(RADIANS($A377))-P2_c)/P2_b))</f>
        <v>172.75562925414</v>
      </c>
      <c r="C377" s="42" t="n">
        <f aca="false">P2_a*COS(RADIANS($A377))-P2_b*COS(RADIANS(B377))</f>
        <v>96.1074224409644</v>
      </c>
      <c r="D377" s="43" t="n">
        <f aca="false">90-DEGREES(ASIN(ABS((P2_a*SIN(RADIANS($A377))-P2_c)/P2_b)))</f>
        <v>82.7556292541398</v>
      </c>
      <c r="E377" s="44" t="n">
        <f aca="false">P2_a*P2_w2*COS(RADIANS($A377))/(P2_b*COS(RADIANS(B377)))</f>
        <v>0.835835279961596</v>
      </c>
      <c r="F377" s="42" t="n">
        <f aca="false">-P2_a*P2_w2*SIN(RADIANS($A377))+P2_b*E377*SIN(RADIANS(B377))</f>
        <v>24.4516023703877</v>
      </c>
      <c r="G377" s="44" t="n">
        <f aca="false">(P2_a*P2_al2*COS(RADIANS($A377))-P2_a*P2_w2^2*SIN(RADIANS($A377))+P2_b*E377^2*SIN(RADIANS(B377)))/(P2_b*COS(RADIANS(B377)))</f>
        <v>-0.341646998901751</v>
      </c>
      <c r="H377" s="42" t="n">
        <f aca="false">-P2_a*P2_al2*SIN(RADIANS($A377))-P2_a*P2_w2^2*COS(RADIANS($A377))+P2_b*G377*SIN(RADIANS(B377))+P2_b*E377^2*COS(RADIANS(B377))</f>
        <v>246.677206758599</v>
      </c>
      <c r="I377" s="45" t="n">
        <v>45</v>
      </c>
    </row>
    <row r="378" customFormat="false" ht="15" hidden="false" customHeight="false" outlineLevel="0" collapsed="false">
      <c r="A378" s="41" t="n">
        <v>186</v>
      </c>
      <c r="B378" s="42" t="n">
        <f aca="false">180-DEGREES(ASIN((P2_a*SIN(RADIANS($A378))-P2_c)/P2_b))</f>
        <v>172.88857950397</v>
      </c>
      <c r="C378" s="42" t="n">
        <f aca="false">P2_a*COS(RADIANS($A378))-P2_b*COS(RADIANS(B378))</f>
        <v>96.1762947906044</v>
      </c>
      <c r="D378" s="43" t="n">
        <f aca="false">90-DEGREES(ASIN(ABS((P2_a*SIN(RADIANS($A378))-P2_c)/P2_b)))</f>
        <v>82.8885795039704</v>
      </c>
      <c r="E378" s="44" t="n">
        <f aca="false">P2_a*P2_w2*COS(RADIANS($A378))/(P2_b*COS(RADIANS(B378)))</f>
        <v>0.834857122619487</v>
      </c>
      <c r="F378" s="42" t="n">
        <f aca="false">-P2_a*P2_w2*SIN(RADIANS($A378))+P2_b*E378*SIN(RADIANS(B378))</f>
        <v>25.1363256599925</v>
      </c>
      <c r="G378" s="44" t="n">
        <f aca="false">(P2_a*P2_al2*COS(RADIANS($A378))-P2_a*P2_w2^2*SIN(RADIANS($A378))+P2_b*E378^2*SIN(RADIANS(B378)))/(P2_b*COS(RADIANS(B378)))</f>
        <v>-0.362620724700801</v>
      </c>
      <c r="H378" s="42" t="n">
        <f aca="false">-P2_a*P2_al2*SIN(RADIANS($A378))-P2_a*P2_w2^2*COS(RADIANS($A378))+P2_b*G378*SIN(RADIANS(B378))+P2_b*E378^2*COS(RADIANS(B378))</f>
        <v>246.323590991292</v>
      </c>
      <c r="I378" s="45" t="n">
        <v>45</v>
      </c>
    </row>
    <row r="379" customFormat="false" ht="15" hidden="false" customHeight="false" outlineLevel="0" collapsed="false">
      <c r="A379" s="41" t="n">
        <v>186.5</v>
      </c>
      <c r="B379" s="42" t="n">
        <f aca="false">180-DEGREES(ASIN((P2_a*SIN(RADIANS($A379))-P2_c)/P2_b))</f>
        <v>173.021369441482</v>
      </c>
      <c r="C379" s="42" t="n">
        <f aca="false">P2_a*COS(RADIANS($A379))-P2_b*COS(RADIANS(B379))</f>
        <v>96.2470677853228</v>
      </c>
      <c r="D379" s="43" t="n">
        <f aca="false">90-DEGREES(ASIN(ABS((P2_a*SIN(RADIANS($A379))-P2_c)/P2_b)))</f>
        <v>83.0213694414824</v>
      </c>
      <c r="E379" s="44" t="n">
        <f aca="false">P2_a*P2_w2*COS(RADIANS($A379))/(P2_b*COS(RADIANS(B379)))</f>
        <v>0.833820751522044</v>
      </c>
      <c r="F379" s="42" t="n">
        <f aca="false">-P2_a*P2_w2*SIN(RADIANS($A379))+P2_b*E379*SIN(RADIANS(B379))</f>
        <v>25.8200668889479</v>
      </c>
      <c r="G379" s="44" t="n">
        <f aca="false">(P2_a*P2_al2*COS(RADIANS($A379))-P2_a*P2_w2^2*SIN(RADIANS($A379))+P2_b*E379^2*SIN(RADIANS(B379)))/(P2_b*COS(RADIANS(B379)))</f>
        <v>-0.383560816884482</v>
      </c>
      <c r="H379" s="42" t="n">
        <f aca="false">-P2_a*P2_al2*SIN(RADIANS($A379))-P2_a*P2_w2^2*COS(RADIANS($A379))+P2_b*G379*SIN(RADIANS(B379))+P2_b*E379^2*COS(RADIANS(B379))</f>
        <v>245.970109188879</v>
      </c>
      <c r="I379" s="45" t="n">
        <v>45</v>
      </c>
    </row>
    <row r="380" customFormat="false" ht="15" hidden="false" customHeight="false" outlineLevel="0" collapsed="false">
      <c r="A380" s="41" t="n">
        <v>187</v>
      </c>
      <c r="B380" s="42" t="n">
        <f aca="false">180-DEGREES(ASIN((P2_a*SIN(RADIANS($A380))-P2_c)/P2_b))</f>
        <v>173.153989809141</v>
      </c>
      <c r="C380" s="42" t="n">
        <f aca="false">P2_a*COS(RADIANS($A380))-P2_b*COS(RADIANS(B380))</f>
        <v>96.3197386975818</v>
      </c>
      <c r="D380" s="43" t="n">
        <f aca="false">90-DEGREES(ASIN(ABS((P2_a*SIN(RADIANS($A380))-P2_c)/P2_b)))</f>
        <v>83.1539898091414</v>
      </c>
      <c r="E380" s="44" t="n">
        <f aca="false">P2_a*P2_w2*COS(RADIANS($A380))/(P2_b*COS(RADIANS(B380)))</f>
        <v>0.83272626081329</v>
      </c>
      <c r="F380" s="42" t="n">
        <f aca="false">-P2_a*P2_w2*SIN(RADIANS($A380))+P2_b*E380*SIN(RADIANS(B380))</f>
        <v>26.5028263116918</v>
      </c>
      <c r="G380" s="44" t="n">
        <f aca="false">(P2_a*P2_al2*COS(RADIANS($A380))-P2_a*P2_w2^2*SIN(RADIANS($A380))+P2_b*E380^2*SIN(RADIANS(B380)))/(P2_b*COS(RADIANS(B380)))</f>
        <v>-0.404466758310095</v>
      </c>
      <c r="H380" s="42" t="n">
        <f aca="false">-P2_a*P2_al2*SIN(RADIANS($A380))-P2_a*P2_w2^2*COS(RADIANS($A380))+P2_b*G380*SIN(RADIANS(B380))+P2_b*E380^2*COS(RADIANS(B380))</f>
        <v>245.616675956911</v>
      </c>
      <c r="I380" s="45" t="n">
        <v>45</v>
      </c>
    </row>
    <row r="381" customFormat="false" ht="15" hidden="false" customHeight="false" outlineLevel="0" collapsed="false">
      <c r="A381" s="41" t="n">
        <v>187.5</v>
      </c>
      <c r="B381" s="42" t="n">
        <f aca="false">180-DEGREES(ASIN((P2_a*SIN(RADIANS($A381))-P2_c)/P2_b))</f>
        <v>173.286431364511</v>
      </c>
      <c r="C381" s="42" t="n">
        <f aca="false">P2_a*COS(RADIANS($A381))-P2_b*COS(RADIANS(B381))</f>
        <v>96.3943048002155</v>
      </c>
      <c r="D381" s="43" t="n">
        <f aca="false">90-DEGREES(ASIN(ABS((P2_a*SIN(RADIANS($A381))-P2_c)/P2_b)))</f>
        <v>83.2864313645114</v>
      </c>
      <c r="E381" s="44" t="n">
        <f aca="false">P2_a*P2_w2*COS(RADIANS($A381))/(P2_b*COS(RADIANS(B381)))</f>
        <v>0.831573746079618</v>
      </c>
      <c r="F381" s="42" t="n">
        <f aca="false">-P2_a*P2_w2*SIN(RADIANS($A381))+P2_b*E381*SIN(RADIANS(B381))</f>
        <v>27.1846039399693</v>
      </c>
      <c r="G381" s="44" t="n">
        <f aca="false">(P2_a*P2_al2*COS(RADIANS($A381))-P2_a*P2_w2^2*SIN(RADIANS($A381))+P2_b*E381^2*SIN(RADIANS(B381)))/(P2_b*COS(RADIANS(B381)))</f>
        <v>-0.425338027535857</v>
      </c>
      <c r="H381" s="42" t="n">
        <f aca="false">-P2_a*P2_al2*SIN(RADIANS($A381))-P2_a*P2_w2^2*COS(RADIANS($A381))+P2_b*G381*SIN(RADIANS(B381))+P2_b*E381^2*COS(RADIANS(B381))</f>
        <v>245.263201955987</v>
      </c>
      <c r="I381" s="45" t="n">
        <v>45</v>
      </c>
    </row>
    <row r="382" customFormat="false" ht="15" hidden="false" customHeight="false" outlineLevel="0" collapsed="false">
      <c r="A382" s="41" t="n">
        <v>188</v>
      </c>
      <c r="B382" s="42" t="n">
        <f aca="false">180-DEGREES(ASIN((P2_a*SIN(RADIANS($A382))-P2_c)/P2_b))</f>
        <v>173.418684880485</v>
      </c>
      <c r="C382" s="42" t="n">
        <f aca="false">P2_a*COS(RADIANS($A382))-P2_b*COS(RADIANS(B382))</f>
        <v>96.4707633657413</v>
      </c>
      <c r="D382" s="43" t="n">
        <f aca="false">90-DEGREES(ASIN(ABS((P2_a*SIN(RADIANS($A382))-P2_c)/P2_b)))</f>
        <v>83.4186848804849</v>
      </c>
      <c r="E382" s="44" t="n">
        <f aca="false">P2_a*P2_w2*COS(RADIANS($A382))/(P2_b*COS(RADIANS(B382)))</f>
        <v>0.830363304362389</v>
      </c>
      <c r="F382" s="42" t="n">
        <f aca="false">-P2_a*P2_w2*SIN(RADIANS($A382))+P2_b*E382*SIN(RADIANS(B382))</f>
        <v>27.865399531914</v>
      </c>
      <c r="G382" s="44" t="n">
        <f aca="false">(P2_a*P2_al2*COS(RADIANS($A382))-P2_a*P2_w2^2*SIN(RADIANS($A382))+P2_b*E382^2*SIN(RADIANS(B382)))/(P2_b*COS(RADIANS(B382)))</f>
        <v>-0.446174098345459</v>
      </c>
      <c r="H382" s="42" t="n">
        <f aca="false">-P2_a*P2_al2*SIN(RADIANS($A382))-P2_a*P2_w2^2*COS(RADIANS($A382))+P2_b*G382*SIN(RADIANS(B382))+P2_b*E382^2*COS(RADIANS(B382))</f>
        <v>244.909593929524</v>
      </c>
      <c r="I382" s="45" t="n">
        <v>45</v>
      </c>
    </row>
    <row r="383" customFormat="false" ht="15" hidden="false" customHeight="false" outlineLevel="0" collapsed="false">
      <c r="A383" s="41" t="n">
        <v>188.5</v>
      </c>
      <c r="B383" s="42" t="n">
        <f aca="false">180-DEGREES(ASIN((P2_a*SIN(RADIANS($A383))-P2_c)/P2_b))</f>
        <v>173.550741145516</v>
      </c>
      <c r="C383" s="42" t="n">
        <f aca="false">P2_a*COS(RADIANS($A383))-P2_b*COS(RADIANS(B383))</f>
        <v>96.5491116656396</v>
      </c>
      <c r="D383" s="43" t="n">
        <f aca="false">90-DEGREES(ASIN(ABS((P2_a*SIN(RADIANS($A383))-P2_c)/P2_b)))</f>
        <v>83.5507411455157</v>
      </c>
      <c r="E383" s="44" t="n">
        <f aca="false">P2_a*P2_w2*COS(RADIANS($A383))/(P2_b*COS(RADIANS(B383)))</f>
        <v>0.829095034171852</v>
      </c>
      <c r="F383" s="42" t="n">
        <f aca="false">-P2_a*P2_w2*SIN(RADIANS($A383))+P2_b*E383*SIN(RADIANS(B383))</f>
        <v>28.5452125812048</v>
      </c>
      <c r="G383" s="44" t="n">
        <f aca="false">(P2_a*P2_al2*COS(RADIANS($A383))-P2_a*P2_w2^2*SIN(RADIANS($A383))+P2_b*E383^2*SIN(RADIANS(B383)))/(P2_b*COS(RADIANS(B383)))</f>
        <v>-0.466974439279292</v>
      </c>
      <c r="H383" s="42" t="n">
        <f aca="false">-P2_a*P2_al2*SIN(RADIANS($A383))-P2_a*P2_w2^2*COS(RADIANS($A383))+P2_b*G383*SIN(RADIANS(B383))+P2_b*E383^2*COS(RADIANS(B383))</f>
        <v>244.555754731507</v>
      </c>
      <c r="I383" s="45" t="n">
        <v>45</v>
      </c>
    </row>
    <row r="384" customFormat="false" ht="15" hidden="false" customHeight="false" outlineLevel="0" collapsed="false">
      <c r="A384" s="41" t="n">
        <v>189</v>
      </c>
      <c r="B384" s="42" t="n">
        <f aca="false">180-DEGREES(ASIN((P2_a*SIN(RADIANS($A384))-P2_c)/P2_b))</f>
        <v>173.682590963854</v>
      </c>
      <c r="C384" s="42" t="n">
        <f aca="false">P2_a*COS(RADIANS($A384))-P2_b*COS(RADIANS(B384))</f>
        <v>96.6293469696048</v>
      </c>
      <c r="D384" s="43" t="n">
        <f aca="false">90-DEGREES(ASIN(ABS((P2_a*SIN(RADIANS($A384))-P2_c)/P2_b)))</f>
        <v>83.6825909638541</v>
      </c>
      <c r="E384" s="44" t="n">
        <f aca="false">P2_a*P2_w2*COS(RADIANS($A384))/(P2_b*COS(RADIANS(B384)))</f>
        <v>0.827769035502351</v>
      </c>
      <c r="F384" s="42" t="n">
        <f aca="false">-P2_a*P2_w2*SIN(RADIANS($A384))+P2_b*E384*SIN(RADIANS(B384))</f>
        <v>29.2240423063006</v>
      </c>
      <c r="G384" s="44" t="n">
        <f aca="false">(P2_a*P2_al2*COS(RADIANS($A384))-P2_a*P2_w2^2*SIN(RADIANS($A384))+P2_b*E384^2*SIN(RADIANS(B384)))/(P2_b*COS(RADIANS(B384)))</f>
        <v>-0.487738513172486</v>
      </c>
      <c r="H384" s="42" t="n">
        <f aca="false">-P2_a*P2_al2*SIN(RADIANS($A384))-P2_a*P2_w2^2*COS(RADIANS($A384))+P2_b*G384*SIN(RADIANS(B384))+P2_b*E384^2*COS(RADIANS(B384))</f>
        <v>244.20158335423</v>
      </c>
      <c r="I384" s="45" t="n">
        <v>45</v>
      </c>
    </row>
    <row r="385" customFormat="false" ht="15" hidden="false" customHeight="false" outlineLevel="0" collapsed="false">
      <c r="A385" s="41" t="n">
        <v>189.5</v>
      </c>
      <c r="B385" s="42" t="n">
        <f aca="false">180-DEGREES(ASIN((P2_a*SIN(RADIANS($A385))-P2_c)/P2_b))</f>
        <v>173.814225155784</v>
      </c>
      <c r="C385" s="42" t="n">
        <f aca="false">P2_a*COS(RADIANS($A385))-P2_b*COS(RADIANS(B385))</f>
        <v>96.7114665447656</v>
      </c>
      <c r="D385" s="43" t="n">
        <f aca="false">90-DEGREES(ASIN(ABS((P2_a*SIN(RADIANS($A385))-P2_c)/P2_b)))</f>
        <v>83.8142251557838</v>
      </c>
      <c r="E385" s="44" t="n">
        <f aca="false">P2_a*P2_w2*COS(RADIANS($A385))/(P2_b*COS(RADIANS(B385)))</f>
        <v>0.826385409848806</v>
      </c>
      <c r="F385" s="42" t="n">
        <f aca="false">-P2_a*P2_w2*SIN(RADIANS($A385))+P2_b*E385*SIN(RADIANS(B385))</f>
        <v>29.9018876397523</v>
      </c>
      <c r="G385" s="44" t="n">
        <f aca="false">(P2_a*P2_al2*COS(RADIANS($A385))-P2_a*P2_w2^2*SIN(RADIANS($A385))+P2_b*E385^2*SIN(RADIANS(B385)))/(P2_b*COS(RADIANS(B385)))</f>
        <v>-0.508465776699914</v>
      </c>
      <c r="H385" s="42" t="n">
        <f aca="false">-P2_a*P2_al2*SIN(RADIANS($A385))-P2_a*P2_w2^2*COS(RADIANS($A385))+P2_b*G385*SIN(RADIANS(B385))+P2_b*E385^2*COS(RADIANS(B385))</f>
        <v>243.846974956049</v>
      </c>
      <c r="I385" s="45" t="n">
        <v>45</v>
      </c>
    </row>
    <row r="386" customFormat="false" ht="15" hidden="false" customHeight="false" outlineLevel="0" collapsed="false">
      <c r="A386" s="41" t="n">
        <v>190</v>
      </c>
      <c r="B386" s="42" t="n">
        <f aca="false">180-DEGREES(ASIN((P2_a*SIN(RADIANS($A386))-P2_c)/P2_b))</f>
        <v>173.945634557863</v>
      </c>
      <c r="C386" s="42" t="n">
        <f aca="false">P2_a*COS(RADIANS($A386))-P2_b*COS(RADIANS(B386))</f>
        <v>96.7954676548762</v>
      </c>
      <c r="D386" s="43" t="n">
        <f aca="false">90-DEGREES(ASIN(ABS((P2_a*SIN(RADIANS($A386))-P2_c)/P2_b)))</f>
        <v>83.9456345578629</v>
      </c>
      <c r="E386" s="44" t="n">
        <f aca="false">P2_a*P2_w2*COS(RADIANS($A386))/(P2_b*COS(RADIANS(B386)))</f>
        <v>0.824944260224448</v>
      </c>
      <c r="F386" s="42" t="n">
        <f aca="false">-P2_a*P2_w2*SIN(RADIANS($A386))+P2_b*E386*SIN(RADIANS(B386))</f>
        <v>30.578747217591</v>
      </c>
      <c r="G386" s="44" t="n">
        <f aca="false">(P2_a*P2_al2*COS(RADIANS($A386))-P2_a*P2_w2^2*SIN(RADIANS($A386))+P2_b*E386^2*SIN(RADIANS(B386)))/(P2_b*COS(RADIANS(B386)))</f>
        <v>-0.529155679928279</v>
      </c>
      <c r="H386" s="42" t="n">
        <f aca="false">-P2_a*P2_al2*SIN(RADIANS($A386))-P2_a*P2_w2^2*COS(RADIANS($A386))+P2_b*G386*SIN(RADIANS(B386))+P2_b*E386^2*COS(RADIANS(B386))</f>
        <v>243.491820889174</v>
      </c>
      <c r="I386" s="45" t="n">
        <v>45</v>
      </c>
    </row>
    <row r="387" customFormat="false" ht="15" hidden="false" customHeight="false" outlineLevel="0" collapsed="false">
      <c r="A387" s="41" t="n">
        <v>190.5</v>
      </c>
      <c r="B387" s="42" t="n">
        <f aca="false">180-DEGREES(ASIN((P2_a*SIN(RADIANS($A387))-P2_c)/P2_b))</f>
        <v>174.076810023166</v>
      </c>
      <c r="C387" s="42" t="n">
        <f aca="false">P2_a*COS(RADIANS($A387))-P2_b*COS(RADIANS(B387))</f>
        <v>96.8813475594781</v>
      </c>
      <c r="D387" s="43" t="n">
        <f aca="false">90-DEGREES(ASIN(ABS((P2_a*SIN(RADIANS($A387))-P2_c)/P2_b)))</f>
        <v>84.0768100231662</v>
      </c>
      <c r="E387" s="44" t="n">
        <f aca="false">P2_a*P2_w2*COS(RADIANS($A387))/(P2_b*COS(RADIANS(B387)))</f>
        <v>0.82344569117979</v>
      </c>
      <c r="F387" s="42" t="n">
        <f aca="false">-P2_a*P2_w2*SIN(RADIANS($A387))+P2_b*E387*SIN(RADIANS(B387))</f>
        <v>31.2546193687943</v>
      </c>
      <c r="G387" s="44" t="n">
        <f aca="false">(P2_a*P2_al2*COS(RADIANS($A387))-P2_a*P2_w2^2*SIN(RADIANS($A387))+P2_b*E387^2*SIN(RADIANS(B387)))/(P2_b*COS(RADIANS(B387)))</f>
        <v>-0.549807665875445</v>
      </c>
      <c r="H387" s="42" t="n">
        <f aca="false">-P2_a*P2_al2*SIN(RADIANS($A387))-P2_a*P2_w2^2*COS(RADIANS($A387))+P2_b*G387*SIN(RADIANS(B387))+P2_b*E387^2*COS(RADIANS(B387))</f>
        <v>243.136008727508</v>
      </c>
      <c r="I387" s="45" t="n">
        <v>45</v>
      </c>
    </row>
    <row r="388" customFormat="false" ht="15" hidden="false" customHeight="false" outlineLevel="0" collapsed="false">
      <c r="A388" s="41" t="n">
        <v>191</v>
      </c>
      <c r="B388" s="42" t="n">
        <f aca="false">180-DEGREES(ASIN((P2_a*SIN(RADIANS($A388))-P2_c)/P2_b))</f>
        <v>174.207742421532</v>
      </c>
      <c r="C388" s="42" t="n">
        <f aca="false">P2_a*COS(RADIANS($A388))-P2_b*COS(RADIANS(B388))</f>
        <v>96.9691035130323</v>
      </c>
      <c r="D388" s="43" t="n">
        <f aca="false">90-DEGREES(ASIN(ABS((P2_a*SIN(RADIANS($A388))-P2_c)/P2_b)))</f>
        <v>84.2077424215324</v>
      </c>
      <c r="E388" s="44" t="n">
        <f aca="false">P2_a*P2_w2*COS(RADIANS($A388))/(P2_b*COS(RADIANS(B388)))</f>
        <v>0.821889808822808</v>
      </c>
      <c r="F388" s="42" t="n">
        <f aca="false">-P2_a*P2_w2*SIN(RADIANS($A388))+P2_b*E388*SIN(RADIANS(B388))</f>
        <v>31.9295021048297</v>
      </c>
      <c r="G388" s="44" t="n">
        <f aca="false">(P2_a*P2_al2*COS(RADIANS($A388))-P2_a*P2_w2^2*SIN(RADIANS($A388))+P2_b*E388^2*SIN(RADIANS(B388)))/(P2_b*COS(RADIANS(B388)))</f>
        <v>-0.570421170077151</v>
      </c>
      <c r="H388" s="42" t="n">
        <f aca="false">-P2_a*P2_al2*SIN(RADIANS($A388))-P2_a*P2_w2^2*COS(RADIANS($A388))+P2_b*G388*SIN(RADIANS(B388))+P2_b*E388^2*COS(RADIANS(B388))</f>
        <v>242.779422294576</v>
      </c>
      <c r="I388" s="45" t="n">
        <v>45</v>
      </c>
    </row>
    <row r="389" customFormat="false" ht="15" hidden="false" customHeight="false" outlineLevel="0" collapsed="false">
      <c r="A389" s="41" t="n">
        <v>191.5</v>
      </c>
      <c r="B389" s="42" t="n">
        <f aca="false">180-DEGREES(ASIN((P2_a*SIN(RADIANS($A389))-P2_c)/P2_b))</f>
        <v>174.338422639813</v>
      </c>
      <c r="C389" s="42" t="n">
        <f aca="false">P2_a*COS(RADIANS($A389))-P2_b*COS(RADIANS(B389))</f>
        <v>97.0587327640232</v>
      </c>
      <c r="D389" s="43" t="n">
        <f aca="false">90-DEGREES(ASIN(ABS((P2_a*SIN(RADIANS($A389))-P2_c)/P2_b)))</f>
        <v>84.3384226398127</v>
      </c>
      <c r="E389" s="44" t="n">
        <f aca="false">P2_a*P2_w2*COS(RADIANS($A389))/(P2_b*COS(RADIANS(B389)))</f>
        <v>0.820276720840324</v>
      </c>
      <c r="F389" s="42" t="n">
        <f aca="false">-P2_a*P2_w2*SIN(RADIANS($A389))+P2_b*E389*SIN(RADIANS(B389))</f>
        <v>32.6033931092762</v>
      </c>
      <c r="G389" s="44" t="n">
        <f aca="false">(P2_a*P2_al2*COS(RADIANS($A389))-P2_a*P2_w2^2*SIN(RADIANS($A389))+P2_b*E389^2*SIN(RADIANS(B389)))/(P2_b*COS(RADIANS(B389)))</f>
        <v>-0.590995620161245</v>
      </c>
      <c r="H389" s="42" t="n">
        <f aca="false">-P2_a*P2_al2*SIN(RADIANS($A389))-P2_a*P2_w2^2*COS(RADIANS($A389))+P2_b*G389*SIN(RADIANS(B389))+P2_b*E389^2*COS(RADIANS(B389))</f>
        <v>242.421941691545</v>
      </c>
      <c r="I389" s="45" t="n">
        <v>45</v>
      </c>
    </row>
    <row r="390" customFormat="false" ht="15" hidden="false" customHeight="false" outlineLevel="0" collapsed="false">
      <c r="A390" s="41" t="n">
        <v>192</v>
      </c>
      <c r="B390" s="42" t="n">
        <f aca="false">180-DEGREES(ASIN((P2_a*SIN(RADIANS($A390))-P2_c)/P2_b))</f>
        <v>174.468841582125</v>
      </c>
      <c r="C390" s="42" t="n">
        <f aca="false">P2_a*COS(RADIANS($A390))-P2_b*COS(RADIANS(B390))</f>
        <v>97.1502325540333</v>
      </c>
      <c r="D390" s="43" t="n">
        <f aca="false">90-DEGREES(ASIN(ABS((P2_a*SIN(RADIANS($A390))-P2_c)/P2_b)))</f>
        <v>84.4688415821246</v>
      </c>
      <c r="E390" s="44" t="n">
        <f aca="false">P2_a*P2_w2*COS(RADIANS($A390))/(P2_b*COS(RADIANS(B390)))</f>
        <v>0.818606536520546</v>
      </c>
      <c r="F390" s="42" t="n">
        <f aca="false">-P2_a*P2_w2*SIN(RADIANS($A390))+P2_b*E390*SIN(RADIANS(B390))</f>
        <v>33.2762897275226</v>
      </c>
      <c r="G390" s="44" t="n">
        <f aca="false">(P2_a*P2_al2*COS(RADIANS($A390))-P2_a*P2_w2^2*SIN(RADIANS($A390))+P2_b*E390^2*SIN(RADIANS(B390)))/(P2_b*COS(RADIANS(B390)))</f>
        <v>-0.611530435429568</v>
      </c>
      <c r="H390" s="42" t="n">
        <f aca="false">-P2_a*P2_al2*SIN(RADIANS($A390))-P2_a*P2_w2^2*COS(RADIANS($A390))+P2_b*G390*SIN(RADIANS(B390))+P2_b*E390^2*COS(RADIANS(B390))</f>
        <v>242.063443325387</v>
      </c>
      <c r="I390" s="45" t="n">
        <v>45</v>
      </c>
    </row>
    <row r="391" customFormat="false" ht="15" hidden="false" customHeight="false" outlineLevel="0" collapsed="false">
      <c r="A391" s="41" t="n">
        <v>192.5</v>
      </c>
      <c r="B391" s="42" t="n">
        <f aca="false">180-DEGREES(ASIN((P2_a*SIN(RADIANS($A391))-P2_c)/P2_b))</f>
        <v>174.598990170108</v>
      </c>
      <c r="C391" s="42" t="n">
        <f aca="false">P2_a*COS(RADIANS($A391))-P2_b*COS(RADIANS(B391))</f>
        <v>97.2436001167897</v>
      </c>
      <c r="D391" s="43" t="n">
        <f aca="false">90-DEGREES(ASIN(ABS((P2_a*SIN(RADIANS($A391))-P2_c)/P2_b)))</f>
        <v>84.5989901701083</v>
      </c>
      <c r="E391" s="44" t="n">
        <f aca="false">P2_a*P2_w2*COS(RADIANS($A391))/(P2_b*COS(RADIANS(B391)))</f>
        <v>0.816879366776776</v>
      </c>
      <c r="F391" s="42" t="n">
        <f aca="false">-P2_a*P2_w2*SIN(RADIANS($A391))+P2_b*E391*SIN(RADIANS(B391))</f>
        <v>33.948188956546</v>
      </c>
      <c r="G391" s="44" t="n">
        <f aca="false">(P2_a*P2_al2*COS(RADIANS($A391))-P2_a*P2_w2^2*SIN(RADIANS($A391))+P2_b*E391^2*SIN(RADIANS(B391)))/(P2_b*COS(RADIANS(B391)))</f>
        <v>-0.63202502644766</v>
      </c>
      <c r="H391" s="42" t="n">
        <f aca="false">-P2_a*P2_al2*SIN(RADIANS($A391))-P2_a*P2_w2^2*COS(RADIANS($A391))+P2_b*G391*SIN(RADIANS(B391))+P2_b*E391^2*COS(RADIANS(B391))</f>
        <v>241.703799937175</v>
      </c>
      <c r="I391" s="45" t="n">
        <v>45</v>
      </c>
    </row>
    <row r="392" customFormat="false" ht="15" hidden="false" customHeight="false" outlineLevel="0" collapsed="false">
      <c r="A392" s="41" t="n">
        <v>193</v>
      </c>
      <c r="B392" s="42" t="n">
        <f aca="false">180-DEGREES(ASIN((P2_a*SIN(RADIANS($A392))-P2_c)/P2_b))</f>
        <v>174.728859343187</v>
      </c>
      <c r="C392" s="42" t="n">
        <f aca="false">P2_a*COS(RADIANS($A392))-P2_b*COS(RADIANS(B392))</f>
        <v>97.3388326771821</v>
      </c>
      <c r="D392" s="43" t="n">
        <f aca="false">90-DEGREES(ASIN(ABS((P2_a*SIN(RADIANS($A392))-P2_c)/P2_b)))</f>
        <v>84.7288593431873</v>
      </c>
      <c r="E392" s="44" t="n">
        <f aca="false">P2_a*P2_w2*COS(RADIANS($A392))/(P2_b*COS(RADIANS(B392)))</f>
        <v>0.815095324172231</v>
      </c>
      <c r="F392" s="42" t="n">
        <f aca="false">-P2_a*P2_w2*SIN(RADIANS($A392))+P2_b*E392*SIN(RADIANS(B392))</f>
        <v>34.619087434768</v>
      </c>
      <c r="G392" s="44" t="n">
        <f aca="false">(P2_a*P2_al2*COS(RADIANS($A392))-P2_a*P2_w2^2*SIN(RADIANS($A392))+P2_b*E392^2*SIN(RADIANS(B392)))/(P2_b*COS(RADIANS(B392)))</f>
        <v>-0.652478794642404</v>
      </c>
      <c r="H392" s="42" t="n">
        <f aca="false">-P2_a*P2_al2*SIN(RADIANS($A392))-P2_a*P2_w2^2*COS(RADIANS($A392))+P2_b*G392*SIN(RADIANS(B392))+P2_b*E392^2*COS(RADIANS(B392))</f>
        <v>241.342880630582</v>
      </c>
      <c r="I392" s="45" t="n">
        <v>45</v>
      </c>
    </row>
    <row r="393" customFormat="false" ht="15" hidden="false" customHeight="false" outlineLevel="0" collapsed="false">
      <c r="A393" s="41" t="n">
        <v>193.5</v>
      </c>
      <c r="B393" s="42" t="n">
        <f aca="false">180-DEGREES(ASIN((P2_a*SIN(RADIANS($A393))-P2_c)/P2_b))</f>
        <v>174.858440058833</v>
      </c>
      <c r="C393" s="42" t="n">
        <f aca="false">P2_a*COS(RADIANS($A393))-P2_b*COS(RADIANS(B393))</f>
        <v>97.4359274502529</v>
      </c>
      <c r="D393" s="43" t="n">
        <f aca="false">90-DEGREES(ASIN(ABS((P2_a*SIN(RADIANS($A393))-P2_c)/P2_b)))</f>
        <v>84.8584400588331</v>
      </c>
      <c r="E393" s="44" t="n">
        <f aca="false">P2_a*P2_w2*COS(RADIANS($A393))/(P2_b*COS(RADIANS(B393)))</f>
        <v>0.813254522945984</v>
      </c>
      <c r="F393" s="42" t="n">
        <f aca="false">-P2_a*P2_w2*SIN(RADIANS($A393))+P2_b*E393*SIN(RADIANS(B393))</f>
        <v>35.28898143199</v>
      </c>
      <c r="G393" s="44" t="n">
        <f aca="false">(P2_a*P2_al2*COS(RADIANS($A393))-P2_a*P2_w2^2*SIN(RADIANS($A393))+P2_b*E393^2*SIN(RADIANS(B393)))/(P2_b*COS(RADIANS(B393)))</f>
        <v>-0.672891131907757</v>
      </c>
      <c r="H393" s="42" t="n">
        <f aca="false">-P2_a*P2_al2*SIN(RADIANS($A393))-P2_a*P2_w2^2*COS(RADIANS($A393))+P2_b*G393*SIN(RADIANS(B393))+P2_b*E393^2*COS(RADIANS(B393))</f>
        <v>240.980550900562</v>
      </c>
      <c r="I393" s="45" t="n">
        <v>45</v>
      </c>
    </row>
    <row r="394" customFormat="false" ht="15" hidden="false" customHeight="false" outlineLevel="0" collapsed="false">
      <c r="A394" s="41" t="n">
        <v>194</v>
      </c>
      <c r="B394" s="42" t="n">
        <f aca="false">180-DEGREES(ASIN((P2_a*SIN(RADIANS($A394))-P2_c)/P2_b))</f>
        <v>174.987723292834</v>
      </c>
      <c r="C394" s="42" t="n">
        <f aca="false">P2_a*COS(RADIANS($A394))-P2_b*COS(RADIANS(B394))</f>
        <v>97.534881640159</v>
      </c>
      <c r="D394" s="43" t="n">
        <f aca="false">90-DEGREES(ASIN(ABS((P2_a*SIN(RADIANS($A394))-P2_c)/P2_b)))</f>
        <v>84.9877232928341</v>
      </c>
      <c r="E394" s="44" t="n">
        <f aca="false">P2_a*P2_w2*COS(RADIANS($A394))/(P2_b*COS(RADIANS(B394)))</f>
        <v>0.811357079039976</v>
      </c>
      <c r="F394" s="42" t="n">
        <f aca="false">-P2_a*P2_w2*SIN(RADIANS($A394))+P2_b*E394*SIN(RADIANS(B394))</f>
        <v>35.9578668394101</v>
      </c>
      <c r="G394" s="44" t="n">
        <f aca="false">(P2_a*P2_al2*COS(RADIANS($A394))-P2_a*P2_w2^2*SIN(RADIANS($A394))+P2_b*E394^2*SIN(RADIANS(B394)))/(P2_b*COS(RADIANS(B394)))</f>
        <v>-0.69326142021873</v>
      </c>
      <c r="H394" s="42" t="n">
        <f aca="false">-P2_a*P2_al2*SIN(RADIANS($A394))-P2_a*P2_w2^2*COS(RADIANS($A394))+P2_b*G394*SIN(RADIANS(B394))+P2_b*E394^2*COS(RADIANS(B394))</f>
        <v>240.616672662286</v>
      </c>
      <c r="I394" s="45" t="n">
        <v>45</v>
      </c>
    </row>
    <row r="395" customFormat="false" ht="15" hidden="false" customHeight="false" outlineLevel="0" collapsed="false">
      <c r="A395" s="41" t="n">
        <v>194.5</v>
      </c>
      <c r="B395" s="42" t="n">
        <f aca="false">180-DEGREES(ASIN((P2_a*SIN(RADIANS($A395))-P2_c)/P2_b))</f>
        <v>175.116700039569</v>
      </c>
      <c r="C395" s="42" t="n">
        <f aca="false">P2_a*COS(RADIANS($A395))-P2_b*COS(RADIANS(B395))</f>
        <v>97.6356924391071</v>
      </c>
      <c r="D395" s="43" t="n">
        <f aca="false">90-DEGREES(ASIN(ABS((P2_a*SIN(RADIANS($A395))-P2_c)/P2_b)))</f>
        <v>85.1167000395689</v>
      </c>
      <c r="E395" s="44" t="n">
        <f aca="false">P2_a*P2_w2*COS(RADIANS($A395))/(P2_b*COS(RADIANS(B395)))</f>
        <v>0.809403110127102</v>
      </c>
      <c r="F395" s="42" t="n">
        <f aca="false">-P2_a*P2_w2*SIN(RADIANS($A395))+P2_b*E395*SIN(RADIANS(B395))</f>
        <v>36.625739159719</v>
      </c>
      <c r="G395" s="44" t="n">
        <f aca="false">(P2_a*P2_al2*COS(RADIANS($A395))-P2_a*P2_w2^2*SIN(RADIANS($A395))+P2_b*E395^2*SIN(RADIANS(B395)))/(P2_b*COS(RADIANS(B395)))</f>
        <v>-0.713589031253727</v>
      </c>
      <c r="H395" s="42" t="n">
        <f aca="false">-P2_a*P2_al2*SIN(RADIANS($A395))-P2_a*P2_w2^2*COS(RADIANS($A395))+P2_b*G395*SIN(RADIANS(B395))+P2_b*E395^2*COS(RADIANS(B395))</f>
        <v>240.251104280328</v>
      </c>
      <c r="I395" s="45" t="n">
        <v>45</v>
      </c>
    </row>
    <row r="396" customFormat="false" ht="15" hidden="false" customHeight="false" outlineLevel="0" collapsed="false">
      <c r="A396" s="41" t="n">
        <v>195</v>
      </c>
      <c r="B396" s="42" t="n">
        <f aca="false">180-DEGREES(ASIN((P2_a*SIN(RADIANS($A396))-P2_c)/P2_b))</f>
        <v>175.245361312284</v>
      </c>
      <c r="C396" s="42" t="n">
        <f aca="false">P2_a*COS(RADIANS($A396))-P2_b*COS(RADIANS(B396))</f>
        <v>97.7383570262601</v>
      </c>
      <c r="D396" s="43" t="n">
        <f aca="false">90-DEGREES(ASIN(ABS((P2_a*SIN(RADIANS($A396))-P2_c)/P2_b)))</f>
        <v>85.2453613122837</v>
      </c>
      <c r="E396" s="44" t="n">
        <f aca="false">P2_a*P2_w2*COS(RADIANS($A396))/(P2_b*COS(RADIANS(B396)))</f>
        <v>0.807392735640322</v>
      </c>
      <c r="F396" s="42" t="n">
        <f aca="false">-P2_a*P2_w2*SIN(RADIANS($A396))+P2_b*E396*SIN(RADIANS(B396))</f>
        <v>37.2925934972787</v>
      </c>
      <c r="G396" s="44" t="n">
        <f aca="false">(P2_a*P2_al2*COS(RADIANS($A396))-P2_a*P2_w2^2*SIN(RADIANS($A396))+P2_b*E396^2*SIN(RADIANS(B396)))/(P2_b*COS(RADIANS(B396)))</f>
        <v>-0.733873326025424</v>
      </c>
      <c r="H396" s="42" t="n">
        <f aca="false">-P2_a*P2_al2*SIN(RADIANS($A396))-P2_a*P2_w2^2*COS(RADIANS($A396))+P2_b*G396*SIN(RADIANS(B396))+P2_b*E396^2*COS(RADIANS(B396))</f>
        <v>239.883700598145</v>
      </c>
      <c r="I396" s="45" t="n">
        <v>45</v>
      </c>
    </row>
    <row r="397" customFormat="false" ht="15" hidden="false" customHeight="false" outlineLevel="0" collapsed="false">
      <c r="A397" s="41" t="n">
        <v>195.5</v>
      </c>
      <c r="B397" s="42" t="n">
        <f aca="false">180-DEGREES(ASIN((P2_a*SIN(RADIANS($A397))-P2_c)/P2_b))</f>
        <v>175.373698143375</v>
      </c>
      <c r="C397" s="42" t="n">
        <f aca="false">P2_a*COS(RADIANS($A397))-P2_b*COS(RADIANS(B397))</f>
        <v>97.8428725666174</v>
      </c>
      <c r="D397" s="43" t="n">
        <f aca="false">90-DEGREES(ASIN(ABS((P2_a*SIN(RADIANS($A397))-P2_c)/P2_b)))</f>
        <v>85.3736981433754</v>
      </c>
      <c r="E397" s="44" t="n">
        <f aca="false">P2_a*P2_w2*COS(RADIANS($A397))/(P2_b*COS(RADIANS(B397)))</f>
        <v>0.805326076802792</v>
      </c>
      <c r="F397" s="42" t="n">
        <f aca="false">-P2_a*P2_w2*SIN(RADIANS($A397))+P2_b*E397*SIN(RADIANS(B397))</f>
        <v>37.9584245483821</v>
      </c>
      <c r="G397" s="44" t="n">
        <f aca="false">(P2_a*P2_al2*COS(RADIANS($A397))-P2_a*P2_w2^2*SIN(RADIANS($A397))+P2_b*E397^2*SIN(RADIANS(B397)))/(P2_b*COS(RADIANS(B397)))</f>
        <v>-0.754113654520309</v>
      </c>
      <c r="H397" s="42" t="n">
        <f aca="false">-P2_a*P2_al2*SIN(RADIANS($A397))-P2_a*P2_w2^2*COS(RADIANS($A397))+P2_b*G397*SIN(RADIANS(B397))+P2_b*E397^2*COS(RADIANS(B397))</f>
        <v>239.514312967883</v>
      </c>
      <c r="I397" s="45" t="n">
        <v>45</v>
      </c>
    </row>
    <row r="398" customFormat="false" ht="15" hidden="false" customHeight="false" outlineLevel="0" collapsed="false">
      <c r="A398" s="41" t="n">
        <v>196</v>
      </c>
      <c r="B398" s="42" t="n">
        <f aca="false">180-DEGREES(ASIN((P2_a*SIN(RADIANS($A398))-P2_c)/P2_b))</f>
        <v>175.501701584679</v>
      </c>
      <c r="C398" s="42" t="n">
        <f aca="false">P2_a*COS(RADIANS($A398))-P2_b*COS(RADIANS(B398))</f>
        <v>97.9492362098681</v>
      </c>
      <c r="D398" s="43" t="n">
        <f aca="false">90-DEGREES(ASIN(ABS((P2_a*SIN(RADIANS($A398))-P2_c)/P2_b)))</f>
        <v>85.5017015846785</v>
      </c>
      <c r="E398" s="44" t="n">
        <f aca="false">P2_a*P2_w2*COS(RADIANS($A398))/(P2_b*COS(RADIANS(B398)))</f>
        <v>0.803203256658985</v>
      </c>
      <c r="F398" s="42" t="n">
        <f aca="false">-P2_a*P2_w2*SIN(RADIANS($A398))+P2_b*E398*SIN(RADIANS(B398))</f>
        <v>38.6232265915977</v>
      </c>
      <c r="G398" s="44" t="n">
        <f aca="false">(P2_a*P2_al2*COS(RADIANS($A398))-P2_a*P2_w2^2*SIN(RADIANS($A398))+P2_b*E398^2*SIN(RADIANS(B398)))/(P2_b*COS(RADIANS(B398)))</f>
        <v>-0.774309355347041</v>
      </c>
      <c r="H398" s="42" t="n">
        <f aca="false">-P2_a*P2_al2*SIN(RADIANS($A398))-P2_a*P2_w2^2*COS(RADIANS($A398))+P2_b*G398*SIN(RADIANS(B398))+P2_b*E398^2*COS(RADIANS(B398))</f>
        <v>239.142789280528</v>
      </c>
      <c r="I398" s="45" t="n">
        <v>45</v>
      </c>
    </row>
    <row r="399" customFormat="false" ht="15" hidden="false" customHeight="false" outlineLevel="0" collapsed="false">
      <c r="A399" s="41" t="n">
        <v>196.5</v>
      </c>
      <c r="B399" s="42" t="n">
        <f aca="false">180-DEGREES(ASIN((P2_a*SIN(RADIANS($A399))-P2_c)/P2_b))</f>
        <v>175.629362707758</v>
      </c>
      <c r="C399" s="42" t="n">
        <f aca="false">P2_a*COS(RADIANS($A399))-P2_b*COS(RADIANS(B399))</f>
        <v>98.057445089217</v>
      </c>
      <c r="D399" s="43" t="n">
        <f aca="false">90-DEGREES(ASIN(ABS((P2_a*SIN(RADIANS($A399))-P2_c)/P2_b)))</f>
        <v>85.6293627077578</v>
      </c>
      <c r="E399" s="44" t="n">
        <f aca="false">P2_a*P2_w2*COS(RADIANS($A399))/(P2_b*COS(RADIANS(B399)))</f>
        <v>0.80102440010677</v>
      </c>
      <c r="F399" s="42" t="n">
        <f aca="false">-P2_a*P2_w2*SIN(RADIANS($A399))+P2_b*E399*SIN(RADIANS(B399))</f>
        <v>39.2869934781967</v>
      </c>
      <c r="G399" s="44" t="n">
        <f aca="false">(P2_a*P2_al2*COS(RADIANS($A399))-P2_a*P2_w2^2*SIN(RADIANS($A399))+P2_b*E399^2*SIN(RADIANS(B399)))/(P2_b*COS(RADIANS(B399)))</f>
        <v>-0.794459755393778</v>
      </c>
      <c r="H399" s="42" t="n">
        <f aca="false">-P2_a*P2_al2*SIN(RADIANS($A399))-P2_a*P2_w2^2*COS(RADIANS($A399))+P2_b*G399*SIN(RADIANS(B399))+P2_b*E399^2*COS(RADIANS(B399))</f>
        <v>238.768973996446</v>
      </c>
      <c r="I399" s="45" t="n">
        <v>45</v>
      </c>
    </row>
    <row r="400" customFormat="false" ht="15" hidden="false" customHeight="false" outlineLevel="0" collapsed="false">
      <c r="A400" s="41" t="n">
        <v>197</v>
      </c>
      <c r="B400" s="42" t="n">
        <f aca="false">180-DEGREES(ASIN((P2_a*SIN(RADIANS($A400))-P2_c)/P2_b))</f>
        <v>175.756672604206</v>
      </c>
      <c r="C400" s="42" t="n">
        <f aca="false">P2_a*COS(RADIANS($A400))-P2_b*COS(RADIANS(B400))</f>
        <v>98.1674963201847</v>
      </c>
      <c r="D400" s="43" t="n">
        <f aca="false">90-DEGREES(ASIN(ABS((P2_a*SIN(RADIANS($A400))-P2_c)/P2_b)))</f>
        <v>85.7566726042059</v>
      </c>
      <c r="E400" s="44" t="n">
        <f aca="false">P2_a*P2_w2*COS(RADIANS($A400))/(P2_b*COS(RADIANS(B400)))</f>
        <v>0.798789633930439</v>
      </c>
      <c r="F400" s="42" t="n">
        <f aca="false">-P2_a*P2_w2*SIN(RADIANS($A400))+P2_b*E400*SIN(RADIANS(B400))</f>
        <v>39.9497186226672</v>
      </c>
      <c r="G400" s="44" t="n">
        <f aca="false">(P2_a*P2_al2*COS(RADIANS($A400))-P2_a*P2_w2^2*SIN(RADIANS($A400))+P2_b*E400^2*SIN(RADIANS(B400)))/(P2_b*COS(RADIANS(B400)))</f>
        <v>-0.814564169494611</v>
      </c>
      <c r="H400" s="42" t="n">
        <f aca="false">-P2_a*P2_al2*SIN(RADIANS($A400))-P2_a*P2_w2^2*COS(RADIANS($A400))+P2_b*G400*SIN(RADIANS(B400))+P2_b*E400^2*COS(RADIANS(B400))</f>
        <v>238.392708176331</v>
      </c>
      <c r="I400" s="45" t="n">
        <v>45</v>
      </c>
    </row>
    <row r="401" customFormat="false" ht="15" hidden="false" customHeight="false" outlineLevel="0" collapsed="false">
      <c r="A401" s="41" t="n">
        <v>197.5</v>
      </c>
      <c r="B401" s="42" t="n">
        <f aca="false">180-DEGREES(ASIN((P2_a*SIN(RADIANS($A401))-P2_c)/P2_b))</f>
        <v>175.883622385946</v>
      </c>
      <c r="C401" s="42" t="n">
        <f aca="false">P2_a*COS(RADIANS($A401))-P2_b*COS(RADIANS(B401))</f>
        <v>98.2793869993812</v>
      </c>
      <c r="D401" s="43" t="n">
        <f aca="false">90-DEGREES(ASIN(ABS((P2_a*SIN(RADIANS($A401))-P2_c)/P2_b)))</f>
        <v>85.8836223859459</v>
      </c>
      <c r="E401" s="44" t="n">
        <f aca="false">P2_a*P2_w2*COS(RADIANS($A401))/(P2_b*COS(RADIANS(B401)))</f>
        <v>0.796499086834639</v>
      </c>
      <c r="F401" s="42" t="n">
        <f aca="false">-P2_a*P2_w2*SIN(RADIANS($A401))+P2_b*E401*SIN(RADIANS(B401))</f>
        <v>40.6113949933131</v>
      </c>
      <c r="G401" s="44" t="n">
        <f aca="false">(P2_a*P2_al2*COS(RADIANS($A401))-P2_a*P2_w2^2*SIN(RADIANS($A401))+P2_b*E401^2*SIN(RADIANS(B401)))/(P2_b*COS(RADIANS(B401)))</f>
        <v>-0.834621900105261</v>
      </c>
      <c r="H401" s="42" t="n">
        <f aca="false">-P2_a*P2_al2*SIN(RADIANS($A401))-P2_a*P2_w2^2*COS(RADIANS($A401))+P2_b*G401*SIN(RADIANS(B401))+P2_b*E401^2*COS(RADIANS(B401))</f>
        <v>238.013829512605</v>
      </c>
      <c r="I401" s="45" t="n">
        <v>45</v>
      </c>
    </row>
    <row r="402" customFormat="false" ht="15" hidden="false" customHeight="false" outlineLevel="0" collapsed="false">
      <c r="A402" s="41" t="n">
        <v>198</v>
      </c>
      <c r="B402" s="42" t="n">
        <f aca="false">180-DEGREES(ASIN((P2_a*SIN(RADIANS($A402))-P2_c)/P2_b))</f>
        <v>176.01020318554</v>
      </c>
      <c r="C402" s="42" t="n">
        <f aca="false">P2_a*COS(RADIANS($A402))-P2_b*COS(RADIANS(B402))</f>
        <v>98.3931142032536</v>
      </c>
      <c r="D402" s="43" t="n">
        <f aca="false">90-DEGREES(ASIN(ABS((P2_a*SIN(RADIANS($A402))-P2_c)/P2_b)))</f>
        <v>86.0102031855402</v>
      </c>
      <c r="E402" s="44" t="n">
        <f aca="false">P2_a*P2_w2*COS(RADIANS($A402))/(P2_b*COS(RADIANS(B402)))</f>
        <v>0.794152889479201</v>
      </c>
      <c r="F402" s="42" t="n">
        <f aca="false">-P2_a*P2_w2*SIN(RADIANS($A402))+P2_b*E402*SIN(RADIANS(B402))</f>
        <v>41.2720151029432</v>
      </c>
      <c r="G402" s="44" t="n">
        <f aca="false">(P2_a*P2_al2*COS(RADIANS($A402))-P2_a*P2_w2^2*SIN(RADIANS($A402))+P2_b*E402^2*SIN(RADIANS(B402)))/(P2_b*COS(RADIANS(B402)))</f>
        <v>-0.854632236988201</v>
      </c>
      <c r="H402" s="42" t="n">
        <f aca="false">-P2_a*P2_al2*SIN(RADIANS($A402))-P2_a*P2_w2^2*COS(RADIANS($A402))+P2_b*G402*SIN(RADIANS(B402))+P2_b*E402^2*COS(RADIANS(B402))</f>
        <v>237.632172361291</v>
      </c>
      <c r="I402" s="45" t="n">
        <v>45</v>
      </c>
    </row>
    <row r="403" customFormat="false" ht="15" hidden="false" customHeight="false" outlineLevel="0" collapsed="false">
      <c r="A403" s="41" t="n">
        <v>198.5</v>
      </c>
      <c r="B403" s="42" t="n">
        <f aca="false">180-DEGREES(ASIN((P2_a*SIN(RADIANS($A403))-P2_c)/P2_b))</f>
        <v>176.136406156504</v>
      </c>
      <c r="C403" s="42" t="n">
        <f aca="false">P2_a*COS(RADIANS($A403))-P2_b*COS(RADIANS(B403))</f>
        <v>98.5086749868077</v>
      </c>
      <c r="D403" s="43" t="n">
        <f aca="false">90-DEGREES(ASIN(ABS((P2_a*SIN(RADIANS($A403))-P2_c)/P2_b)))</f>
        <v>86.1364061565043</v>
      </c>
      <c r="E403" s="44" t="n">
        <f aca="false">P2_a*P2_w2*COS(RADIANS($A403))/(P2_b*COS(RADIANS(B403)))</f>
        <v>0.791751174514817</v>
      </c>
      <c r="F403" s="42" t="n">
        <f aca="false">-P2_a*P2_w2*SIN(RADIANS($A403))+P2_b*E403*SIN(RADIANS(B403))</f>
        <v>41.9315709996475</v>
      </c>
      <c r="G403" s="44" t="n">
        <f aca="false">(P2_a*P2_al2*COS(RADIANS($A403))-P2_a*P2_w2^2*SIN(RADIANS($A403))+P2_b*E403^2*SIN(RADIANS(B403)))/(P2_b*COS(RADIANS(B403)))</f>
        <v>-0.874594456907321</v>
      </c>
      <c r="H403" s="42" t="n">
        <f aca="false">-P2_a*P2_al2*SIN(RADIANS($A403))-P2_a*P2_w2^2*COS(RADIANS($A403))+P2_b*G403*SIN(RADIANS(B403))+P2_b*E403^2*COS(RADIANS(B403))</f>
        <v>237.247567774396</v>
      </c>
      <c r="I403" s="45" t="n">
        <v>45</v>
      </c>
    </row>
    <row r="404" customFormat="false" ht="15" hidden="false" customHeight="false" outlineLevel="0" collapsed="false">
      <c r="A404" s="41" t="n">
        <v>199</v>
      </c>
      <c r="B404" s="42" t="n">
        <f aca="false">180-DEGREES(ASIN((P2_a*SIN(RADIANS($A404))-P2_c)/P2_b))</f>
        <v>176.262222473627</v>
      </c>
      <c r="C404" s="42" t="n">
        <f aca="false">P2_a*COS(RADIANS($A404))-P2_b*COS(RADIANS(B404))</f>
        <v>98.6260663823048</v>
      </c>
      <c r="D404" s="43" t="n">
        <f aca="false">90-DEGREES(ASIN(ABS((P2_a*SIN(RADIANS($A404))-P2_c)/P2_b)))</f>
        <v>86.2622224736265</v>
      </c>
      <c r="E404" s="44" t="n">
        <f aca="false">P2_a*P2_w2*COS(RADIANS($A404))/(P2_b*COS(RADIANS(B404)))</f>
        <v>0.789294076619568</v>
      </c>
      <c r="F404" s="42" t="n">
        <f aca="false">-P2_a*P2_w2*SIN(RADIANS($A404))+P2_b*E404*SIN(RADIANS(B404))</f>
        <v>42.5900542576651</v>
      </c>
      <c r="G404" s="44" t="n">
        <f aca="false">(P2_a*P2_al2*COS(RADIANS($A404))-P2_a*P2_w2^2*SIN(RADIANS($A404))+P2_b*E404^2*SIN(RADIANS(B404)))/(P2_b*COS(RADIANS(B404)))</f>
        <v>-0.894507823332334</v>
      </c>
      <c r="H404" s="42" t="n">
        <f aca="false">-P2_a*P2_al2*SIN(RADIANS($A404))-P2_a*P2_w2^2*COS(RADIANS($A404))+P2_b*G404*SIN(RADIANS(B404))+P2_b*E404^2*COS(RADIANS(B404))</f>
        <v>236.85984353285</v>
      </c>
      <c r="I404" s="45" t="n">
        <v>45</v>
      </c>
    </row>
    <row r="405" customFormat="false" ht="15" hidden="false" customHeight="false" outlineLevel="0" collapsed="false">
      <c r="A405" s="41" t="n">
        <v>199.5</v>
      </c>
      <c r="B405" s="42" t="n">
        <f aca="false">180-DEGREES(ASIN((P2_a*SIN(RADIANS($A405))-P2_c)/P2_b))</f>
        <v>176.387643333294</v>
      </c>
      <c r="C405" s="42" t="n">
        <f aca="false">P2_a*COS(RADIANS($A405))-P2_b*COS(RADIANS(B405))</f>
        <v>98.7452853979327</v>
      </c>
      <c r="D405" s="43" t="n">
        <f aca="false">90-DEGREES(ASIN(ABS((P2_a*SIN(RADIANS($A405))-P2_c)/P2_b)))</f>
        <v>86.3876433332936</v>
      </c>
      <c r="E405" s="44" t="n">
        <f aca="false">P2_a*P2_w2*COS(RADIANS($A405))/(P2_b*COS(RADIANS(B405)))</f>
        <v>0.786781732536251</v>
      </c>
      <c r="F405" s="42" t="n">
        <f aca="false">-P2_a*P2_w2*SIN(RADIANS($A405))+P2_b*E405*SIN(RADIANS(B405))</f>
        <v>43.2474559683443</v>
      </c>
      <c r="G405" s="44" t="n">
        <f aca="false">(P2_a*P2_al2*COS(RADIANS($A405))-P2_a*P2_w2^2*SIN(RADIANS($A405))+P2_b*E405^2*SIN(RADIANS(B405)))/(P2_b*COS(RADIANS(B405)))</f>
        <v>-0.914371586153024</v>
      </c>
      <c r="H405" s="42" t="n">
        <f aca="false">-P2_a*P2_al2*SIN(RADIANS($A405))-P2_a*P2_w2^2*COS(RADIANS($A405))+P2_b*G405*SIN(RADIANS(B405))+P2_b*E405^2*COS(RADIANS(B405))</f>
        <v>236.468824180004</v>
      </c>
      <c r="I405" s="45" t="n">
        <v>45</v>
      </c>
    </row>
    <row r="406" customFormat="false" ht="15" hidden="false" customHeight="false" outlineLevel="0" collapsed="false">
      <c r="A406" s="41" t="n">
        <v>200</v>
      </c>
      <c r="B406" s="42" t="n">
        <f aca="false">180-DEGREES(ASIN((P2_a*SIN(RADIANS($A406))-P2_c)/P2_b))</f>
        <v>176.512659953823</v>
      </c>
      <c r="C406" s="42" t="n">
        <f aca="false">P2_a*COS(RADIANS($A406))-P2_b*COS(RADIANS(B406))</f>
        <v>98.8663290164519</v>
      </c>
      <c r="D406" s="43" t="n">
        <f aca="false">90-DEGREES(ASIN(ABS((P2_a*SIN(RADIANS($A406))-P2_c)/P2_b)))</f>
        <v>86.5126599538225</v>
      </c>
      <c r="E406" s="44" t="n">
        <f aca="false">P2_a*P2_w2*COS(RADIANS($A406))/(P2_b*COS(RADIANS(B406)))</f>
        <v>0.784214281110477</v>
      </c>
      <c r="F406" s="42" t="n">
        <f aca="false">-P2_a*P2_w2*SIN(RADIANS($A406))+P2_b*E406*SIN(RADIANS(B406))</f>
        <v>43.9037667311968</v>
      </c>
      <c r="G406" s="44" t="n">
        <f aca="false">(P2_a*P2_al2*COS(RADIANS($A406))-P2_a*P2_w2^2*SIN(RADIANS($A406))+P2_b*E406^2*SIN(RADIANS(B406)))/(P2_b*COS(RADIANS(B406)))</f>
        <v>-0.93418498140354</v>
      </c>
      <c r="H406" s="42" t="n">
        <f aca="false">-P2_a*P2_al2*SIN(RADIANS($A406))-P2_a*P2_w2^2*COS(RADIANS($A406))+P2_b*G406*SIN(RADIANS(B406))+P2_b*E406^2*COS(RADIANS(B406))</f>
        <v>236.074331055757</v>
      </c>
      <c r="I406" s="45" t="n">
        <v>45</v>
      </c>
    </row>
    <row r="407" customFormat="false" ht="15" hidden="false" customHeight="false" outlineLevel="0" collapsed="false">
      <c r="A407" s="41" t="n">
        <v>200.5</v>
      </c>
      <c r="B407" s="42" t="n">
        <f aca="false">180-DEGREES(ASIN((P2_a*SIN(RADIANS($A407))-P2_c)/P2_b))</f>
        <v>176.637263575798</v>
      </c>
      <c r="C407" s="42" t="n">
        <f aca="false">P2_a*COS(RADIANS($A407))-P2_b*COS(RADIANS(B407))</f>
        <v>98.9891941938171</v>
      </c>
      <c r="D407" s="43" t="n">
        <f aca="false">90-DEGREES(ASIN(ABS((P2_a*SIN(RADIANS($A407))-P2_c)/P2_b)))</f>
        <v>86.637263575798</v>
      </c>
      <c r="E407" s="44" t="n">
        <f aca="false">P2_a*P2_w2*COS(RADIANS($A407))/(P2_b*COS(RADIANS(B407)))</f>
        <v>0.781591863329544</v>
      </c>
      <c r="F407" s="42" t="n">
        <f aca="false">-P2_a*P2_w2*SIN(RADIANS($A407))+P2_b*E407*SIN(RADIANS(B407))</f>
        <v>44.5589766450469</v>
      </c>
      <c r="G407" s="44" t="n">
        <f aca="false">(P2_a*P2_al2*COS(RADIANS($A407))-P2_a*P2_w2^2*SIN(RADIANS($A407))+P2_b*E407^2*SIN(RADIANS(B407)))/(P2_b*COS(RADIANS(B407)))</f>
        <v>-0.953947230996848</v>
      </c>
      <c r="H407" s="42" t="n">
        <f aca="false">-P2_a*P2_al2*SIN(RADIANS($A407))-P2_a*P2_w2^2*COS(RADIANS($A407))+P2_b*G407*SIN(RADIANS(B407))+P2_b*E407^2*COS(RADIANS(B407))</f>
        <v>235.676182331319</v>
      </c>
      <c r="I407" s="45" t="n">
        <v>45</v>
      </c>
    </row>
    <row r="408" customFormat="false" ht="15" hidden="false" customHeight="false" outlineLevel="0" collapsed="false">
      <c r="A408" s="41" t="n">
        <v>201</v>
      </c>
      <c r="B408" s="42" t="n">
        <f aca="false">180-DEGREES(ASIN((P2_a*SIN(RADIANS($A408))-P2_c)/P2_b))</f>
        <v>176.761445462417</v>
      </c>
      <c r="C408" s="42" t="n">
        <f aca="false">P2_a*COS(RADIANS($A408))-P2_b*COS(RADIANS(B408))</f>
        <v>99.1138778577741</v>
      </c>
      <c r="D408" s="43" t="n">
        <f aca="false">90-DEGREES(ASIN(ABS((P2_a*SIN(RADIANS($A408))-P2_c)/P2_b)))</f>
        <v>86.7614454624168</v>
      </c>
      <c r="E408" s="44" t="n">
        <f aca="false">P2_a*P2_w2*COS(RADIANS($A408))/(P2_b*COS(RADIANS(B408)))</f>
        <v>0.778914622362007</v>
      </c>
      <c r="F408" s="42" t="n">
        <f aca="false">-P2_a*P2_w2*SIN(RADIANS($A408))+P2_b*E408*SIN(RADIANS(B408))</f>
        <v>45.2130752992792</v>
      </c>
      <c r="G408" s="44" t="n">
        <f aca="false">(P2_a*P2_al2*COS(RADIANS($A408))-P2_a*P2_w2^2*SIN(RADIANS($A408))+P2_b*E408^2*SIN(RADIANS(B408)))/(P2_b*COS(RADIANS(B408)))</f>
        <v>-0.973657542469529</v>
      </c>
      <c r="H408" s="42" t="n">
        <f aca="false">-P2_a*P2_al2*SIN(RADIANS($A408))-P2_a*P2_w2^2*COS(RADIANS($A408))+P2_b*G408*SIN(RADIANS(B408))+P2_b*E408^2*COS(RADIANS(B408))</f>
        <v>235.274193044655</v>
      </c>
      <c r="I408" s="45" t="n">
        <v>45</v>
      </c>
    </row>
    <row r="409" customFormat="false" ht="15" hidden="false" customHeight="false" outlineLevel="0" collapsed="false">
      <c r="A409" s="41" t="n">
        <v>201.5</v>
      </c>
      <c r="B409" s="42" t="n">
        <f aca="false">180-DEGREES(ASIN((P2_a*SIN(RADIANS($A409))-P2_c)/P2_b))</f>
        <v>176.885196899838</v>
      </c>
      <c r="C409" s="42" t="n">
        <f aca="false">P2_a*COS(RADIANS($A409))-P2_b*COS(RADIANS(B409))</f>
        <v>99.2403769064328</v>
      </c>
      <c r="D409" s="43" t="n">
        <f aca="false">90-DEGREES(ASIN(ABS((P2_a*SIN(RADIANS($A409))-P2_c)/P2_b)))</f>
        <v>86.8851968998378</v>
      </c>
      <c r="E409" s="44" t="n">
        <f aca="false">P2_a*P2_w2*COS(RADIANS($A409))/(P2_b*COS(RADIANS(B409)))</f>
        <v>0.776182703597963</v>
      </c>
      <c r="F409" s="42" t="n">
        <f aca="false">-P2_a*P2_w2*SIN(RADIANS($A409))+P2_b*E409*SIN(RADIANS(B409))</f>
        <v>45.8660517651845</v>
      </c>
      <c r="G409" s="44" t="n">
        <f aca="false">(P2_a*P2_al2*COS(RADIANS($A409))-P2_a*P2_w2^2*SIN(RADIANS($A409))+P2_b*E409^2*SIN(RADIANS(B409)))/(P2_b*COS(RADIANS(B409)))</f>
        <v>-0.993315108737049</v>
      </c>
      <c r="H409" s="42" t="n">
        <f aca="false">-P2_a*P2_al2*SIN(RADIANS($A409))-P2_a*P2_w2^2*COS(RADIANS($A409))+P2_b*G409*SIN(RADIANS(B409))+P2_b*E409^2*COS(RADIANS(B409))</f>
        <v>234.868175136649</v>
      </c>
      <c r="I409" s="45" t="n">
        <v>45</v>
      </c>
    </row>
    <row r="410" customFormat="false" ht="15" hidden="false" customHeight="false" outlineLevel="0" collapsed="false">
      <c r="A410" s="41" t="n">
        <v>202</v>
      </c>
      <c r="B410" s="42" t="n">
        <f aca="false">180-DEGREES(ASIN((P2_a*SIN(RADIANS($A410))-P2_c)/P2_b))</f>
        <v>177.008509197539</v>
      </c>
      <c r="C410" s="42" t="n">
        <f aca="false">P2_a*COS(RADIANS($A410))-P2_b*COS(RADIANS(B410))</f>
        <v>99.368688206816</v>
      </c>
      <c r="D410" s="43" t="n">
        <f aca="false">90-DEGREES(ASIN(ABS((P2_a*SIN(RADIANS($A410))-P2_c)/P2_b)))</f>
        <v>87.0085091975388</v>
      </c>
      <c r="E410" s="44" t="n">
        <f aca="false">P2_a*P2_w2*COS(RADIANS($A410))/(P2_b*COS(RADIANS(B410)))</f>
        <v>0.773396254689988</v>
      </c>
      <c r="F410" s="42" t="n">
        <f aca="false">-P2_a*P2_w2*SIN(RADIANS($A410))+P2_b*E410*SIN(RADIANS(B410))</f>
        <v>46.5178945874088</v>
      </c>
      <c r="G410" s="44" t="n">
        <f aca="false">(P2_a*P2_al2*COS(RADIANS($A410))-P2_a*P2_w2^2*SIN(RADIANS($A410))+P2_b*E410^2*SIN(RADIANS(B410)))/(P2_b*COS(RADIANS(B410)))</f>
        <v>-1.01291910785969</v>
      </c>
      <c r="H410" s="42" t="n">
        <f aca="false">-P2_a*P2_al2*SIN(RADIANS($A410))-P2_a*P2_w2^2*COS(RADIANS($A410))+P2_b*G410*SIN(RADIANS(B410))+P2_b*E410^2*COS(RADIANS(B410))</f>
        <v>234.457937488009</v>
      </c>
      <c r="I410" s="45" t="n">
        <v>45</v>
      </c>
    </row>
    <row r="411" customFormat="false" ht="15" hidden="false" customHeight="false" outlineLevel="0" collapsed="false">
      <c r="A411" s="41" t="n">
        <v>202.5</v>
      </c>
      <c r="B411" s="42" t="n">
        <f aca="false">180-DEGREES(ASIN((P2_a*SIN(RADIANS($A411))-P2_c)/P2_b))</f>
        <v>177.13137368868</v>
      </c>
      <c r="C411" s="42" t="n">
        <f aca="false">P2_a*COS(RADIANS($A411))-P2_b*COS(RADIANS(B411))</f>
        <v>99.498808593385</v>
      </c>
      <c r="D411" s="43" t="n">
        <f aca="false">90-DEGREES(ASIN(ABS((P2_a*SIN(RADIANS($A411))-P2_c)/P2_b)))</f>
        <v>87.1313736886804</v>
      </c>
      <c r="E411" s="44" t="n">
        <f aca="false">P2_a*P2_w2*COS(RADIANS($A411))/(P2_b*COS(RADIANS(B411)))</f>
        <v>0.770555425594718</v>
      </c>
      <c r="F411" s="42" t="n">
        <f aca="false">-P2_a*P2_w2*SIN(RADIANS($A411))+P2_b*E411*SIN(RADIANS(B411))</f>
        <v>47.1685917755041</v>
      </c>
      <c r="G411" s="44" t="n">
        <f aca="false">(P2_a*P2_al2*COS(RADIANS($A411))-P2_a*P2_w2^2*SIN(RADIANS($A411))+P2_b*E411^2*SIN(RADIANS(B411)))/(P2_b*COS(RADIANS(B411)))</f>
        <v>-1.03246870281925</v>
      </c>
      <c r="H411" s="42" t="n">
        <f aca="false">-P2_a*P2_al2*SIN(RADIANS($A411))-P2_a*P2_w2^2*COS(RADIANS($A411))+P2_b*G411*SIN(RADIANS(B411))+P2_b*E411^2*COS(RADIANS(B411))</f>
        <v>234.043285956968</v>
      </c>
      <c r="I411" s="45" t="n">
        <v>45</v>
      </c>
    </row>
    <row r="412" customFormat="false" ht="15" hidden="false" customHeight="false" outlineLevel="0" collapsed="false">
      <c r="A412" s="41" t="n">
        <v>203</v>
      </c>
      <c r="B412" s="42" t="n">
        <f aca="false">180-DEGREES(ASIN((P2_a*SIN(RADIANS($A412))-P2_c)/P2_b))</f>
        <v>177.253781730475</v>
      </c>
      <c r="C412" s="42" t="n">
        <f aca="false">P2_a*COS(RADIANS($A412))-P2_b*COS(RADIANS(B412))</f>
        <v>99.6307348665414</v>
      </c>
      <c r="D412" s="43" t="n">
        <f aca="false">90-DEGREES(ASIN(ABS((P2_a*SIN(RADIANS($A412))-P2_c)/P2_b)))</f>
        <v>87.2537817304754</v>
      </c>
      <c r="E412" s="44" t="n">
        <f aca="false">P2_a*P2_w2*COS(RADIANS($A412))/(P2_b*COS(RADIANS(B412)))</f>
        <v>0.767660368615026</v>
      </c>
      <c r="F412" s="42" t="n">
        <f aca="false">-P2_a*P2_w2*SIN(RADIANS($A412))+P2_b*E412*SIN(RADIANS(B412))</f>
        <v>47.8181307955864</v>
      </c>
      <c r="G412" s="44" t="n">
        <f aca="false">(P2_a*P2_al2*COS(RADIANS($A412))-P2_a*P2_w2^2*SIN(RADIANS($A412))+P2_b*E412^2*SIN(RADIANS(B412)))/(P2_b*COS(RADIANS(B412)))</f>
        <v>-1.05196304130673</v>
      </c>
      <c r="H412" s="42" t="n">
        <f aca="false">-P2_a*P2_al2*SIN(RADIANS($A412))-P2_a*P2_w2^2*COS(RADIANS($A412))+P2_b*G412*SIN(RADIANS(B412))+P2_b*E412^2*COS(RADIANS(B412))</f>
        <v>233.624023417789</v>
      </c>
      <c r="I412" s="45" t="n">
        <v>45</v>
      </c>
    </row>
    <row r="413" customFormat="false" ht="15" hidden="false" customHeight="false" outlineLevel="0" collapsed="false">
      <c r="A413" s="41" t="n">
        <v>203.5</v>
      </c>
      <c r="B413" s="42" t="n">
        <f aca="false">180-DEGREES(ASIN((P2_a*SIN(RADIANS($A413))-P2_c)/P2_b))</f>
        <v>177.375724704566</v>
      </c>
      <c r="C413" s="42" t="n">
        <f aca="false">P2_a*COS(RADIANS($A413))-P2_b*COS(RADIANS(B413))</f>
        <v>99.7644637911059</v>
      </c>
      <c r="D413" s="43" t="n">
        <f aca="false">90-DEGREES(ASIN(ABS((P2_a*SIN(RADIANS($A413))-P2_c)/P2_b)))</f>
        <v>87.3757247045658</v>
      </c>
      <c r="E413" s="44" t="n">
        <f aca="false">P2_a*P2_w2*COS(RADIANS($A413))/(P2_b*COS(RADIANS(B413)))</f>
        <v>0.764711238442783</v>
      </c>
      <c r="F413" s="42" t="n">
        <f aca="false">-P2_a*P2_w2*SIN(RADIANS($A413))+P2_b*E413*SIN(RADIANS(B413))</f>
        <v>48.4664985621014</v>
      </c>
      <c r="G413" s="44" t="n">
        <f aca="false">(P2_a*P2_al2*COS(RADIANS($A413))-P2_a*P2_w2^2*SIN(RADIANS($A413))+P2_b*E413^2*SIN(RADIANS(B413)))/(P2_b*COS(RADIANS(B413)))</f>
        <v>-1.07140125552112</v>
      </c>
      <c r="H413" s="42" t="n">
        <f aca="false">-P2_a*P2_al2*SIN(RADIANS($A413))-P2_a*P2_w2^2*COS(RADIANS($A413))+P2_b*G413*SIN(RADIANS(B413))+P2_b*E413^2*COS(RADIANS(B413))</f>
        <v>233.199949800143</v>
      </c>
      <c r="I413" s="45" t="n">
        <v>45</v>
      </c>
    </row>
    <row r="414" customFormat="false" ht="15" hidden="false" customHeight="false" outlineLevel="0" collapsed="false">
      <c r="A414" s="41" t="n">
        <v>204</v>
      </c>
      <c r="B414" s="42" t="n">
        <f aca="false">180-DEGREES(ASIN((P2_a*SIN(RADIANS($A414))-P2_c)/P2_b))</f>
        <v>177.497194017407</v>
      </c>
      <c r="C414" s="42" t="n">
        <f aca="false">P2_a*COS(RADIANS($A414))-P2_b*COS(RADIANS(B414))</f>
        <v>99.8999920947753</v>
      </c>
      <c r="D414" s="43" t="n">
        <f aca="false">90-DEGREES(ASIN(ABS((P2_a*SIN(RADIANS($A414))-P2_c)/P2_b)))</f>
        <v>87.4971940174069</v>
      </c>
      <c r="E414" s="44" t="n">
        <f aca="false">P2_a*P2_w2*COS(RADIANS($A414))/(P2_b*COS(RADIANS(B414)))</f>
        <v>0.761708192202156</v>
      </c>
      <c r="F414" s="42" t="n">
        <f aca="false">-P2_a*P2_w2*SIN(RADIANS($A414))+P2_b*E414*SIN(RADIANS(B414))</f>
        <v>49.1136814297004</v>
      </c>
      <c r="G414" s="44" t="n">
        <f aca="false">(P2_a*P2_al2*COS(RADIANS($A414))-P2_a*P2_w2^2*SIN(RADIANS($A414))+P2_b*E414^2*SIN(RADIANS(B414)))/(P2_b*COS(RADIANS(B414)))</f>
        <v>-1.09078246197942</v>
      </c>
      <c r="H414" s="42" t="n">
        <f aca="false">-P2_a*P2_al2*SIN(RADIANS($A414))-P2_a*P2_w2^2*COS(RADIANS($A414))+P2_b*G414*SIN(RADIANS(B414))+P2_b*E414^2*COS(RADIANS(B414))</f>
        <v>232.770862129358</v>
      </c>
      <c r="I414" s="45" t="n">
        <v>45</v>
      </c>
    </row>
    <row r="415" customFormat="false" ht="15" hidden="false" customHeight="false" outlineLevel="0" collapsed="false">
      <c r="A415" s="41" t="n">
        <v>204.5</v>
      </c>
      <c r="B415" s="42" t="n">
        <f aca="false">180-DEGREES(ASIN((P2_a*SIN(RADIANS($A415))-P2_c)/P2_b))</f>
        <v>177.618181100657</v>
      </c>
      <c r="C415" s="42" t="n">
        <f aca="false">P2_a*COS(RADIANS($A415))-P2_b*COS(RADIANS(B415))</f>
        <v>100.037316466555</v>
      </c>
      <c r="D415" s="43" t="n">
        <f aca="false">90-DEGREES(ASIN(ABS((P2_a*SIN(RADIANS($A415))-P2_c)/P2_b)))</f>
        <v>87.6181811006573</v>
      </c>
      <c r="E415" s="44" t="n">
        <f aca="false">P2_a*P2_w2*COS(RADIANS($A415))/(P2_b*COS(RADIANS(B415)))</f>
        <v>0.75865138949342</v>
      </c>
      <c r="F415" s="42" t="n">
        <f aca="false">-P2_a*P2_w2*SIN(RADIANS($A415))+P2_b*E415*SIN(RADIANS(B415))</f>
        <v>49.7596651852303</v>
      </c>
      <c r="G415" s="44" t="n">
        <f aca="false">(P2_a*P2_al2*COS(RADIANS($A415))-P2_a*P2_w2^2*SIN(RADIANS($A415))+P2_b*E415^2*SIN(RADIANS(B415)))/(P2_b*COS(RADIANS(B415)))</f>
        <v>-1.11010576133817</v>
      </c>
      <c r="H415" s="42" t="n">
        <f aca="false">-P2_a*P2_al2*SIN(RADIANS($A415))-P2_a*P2_w2^2*COS(RADIANS($A415))+P2_b*G415*SIN(RADIANS(B415))+P2_b*E415^2*COS(RADIANS(B415))</f>
        <v>232.336554567605</v>
      </c>
      <c r="I415" s="45" t="n">
        <v>45</v>
      </c>
    </row>
    <row r="416" customFormat="false" ht="15" hidden="false" customHeight="false" outlineLevel="0" collapsed="false">
      <c r="A416" s="41" t="n">
        <v>205</v>
      </c>
      <c r="B416" s="42" t="n">
        <f aca="false">180-DEGREES(ASIN((P2_a*SIN(RADIANS($A416))-P2_c)/P2_b))</f>
        <v>177.738677411577</v>
      </c>
      <c r="C416" s="42" t="n">
        <f aca="false">P2_a*COS(RADIANS($A416))-P2_b*COS(RADIANS(B416))</f>
        <v>100.176433555173</v>
      </c>
      <c r="D416" s="43" t="n">
        <f aca="false">90-DEGREES(ASIN(ABS((P2_a*SIN(RADIANS($A416))-P2_c)/P2_b)))</f>
        <v>87.7386774115768</v>
      </c>
      <c r="E416" s="44" t="n">
        <f aca="false">P2_a*P2_w2*COS(RADIANS($A416))/(P2_b*COS(RADIANS(B416)))</f>
        <v>0.75554099243725</v>
      </c>
      <c r="F416" s="42" t="n">
        <f aca="false">-P2_a*P2_w2*SIN(RADIANS($A416))+P2_b*E416*SIN(RADIANS(B416))</f>
        <v>50.4044350398379</v>
      </c>
      <c r="G416" s="44" t="n">
        <f aca="false">(P2_a*P2_al2*COS(RADIANS($A416))-P2_a*P2_w2^2*SIN(RADIANS($A416))+P2_b*E416^2*SIN(RADIANS(B416)))/(P2_b*COS(RADIANS(B416)))</f>
        <v>-1.12937023822642</v>
      </c>
      <c r="H416" s="42" t="n">
        <f aca="false">-P2_a*P2_al2*SIN(RADIANS($A416))-P2_a*P2_w2^2*COS(RADIANS($A416))+P2_b*G416*SIN(RADIANS(B416))+P2_b*E416^2*COS(RADIANS(B416))</f>
        <v>231.896818456039</v>
      </c>
      <c r="I416" s="45" t="n">
        <v>45</v>
      </c>
    </row>
    <row r="417" customFormat="false" ht="15" hidden="false" customHeight="false" outlineLevel="0" collapsed="false">
      <c r="A417" s="41" t="n">
        <v>205.5</v>
      </c>
      <c r="B417" s="42" t="n">
        <f aca="false">180-DEGREES(ASIN((P2_a*SIN(RADIANS($A417))-P2_c)/P2_b))</f>
        <v>177.858674433431</v>
      </c>
      <c r="C417" s="42" t="n">
        <f aca="false">P2_a*COS(RADIANS($A417))-P2_b*COS(RADIANS(B417))</f>
        <v>100.317339967468</v>
      </c>
      <c r="D417" s="43" t="n">
        <f aca="false">90-DEGREES(ASIN(ABS((P2_a*SIN(RADIANS($A417))-P2_c)/P2_b)))</f>
        <v>87.858674433431</v>
      </c>
      <c r="E417" s="44" t="n">
        <f aca="false">P2_a*P2_w2*COS(RADIANS($A417))/(P2_b*COS(RADIANS(B417)))</f>
        <v>0.752377165719459</v>
      </c>
      <c r="F417" s="42" t="n">
        <f aca="false">-P2_a*P2_w2*SIN(RADIANS($A417))+P2_b*E417*SIN(RADIANS(B417))</f>
        <v>51.047975621194</v>
      </c>
      <c r="G417" s="44" t="n">
        <f aca="false">(P2_a*P2_al2*COS(RADIANS($A417))-P2_a*P2_w2^2*SIN(RADIANS($A417))+P2_b*E417^2*SIN(RADIANS(B417)))/(P2_b*COS(RADIANS(B417)))</f>
        <v>-1.1485749610906</v>
      </c>
      <c r="H417" s="42" t="n">
        <f aca="false">-P2_a*P2_al2*SIN(RADIANS($A417))-P2_a*P2_w2^2*COS(RADIANS($A417))+P2_b*G417*SIN(RADIANS(B417))+P2_b*E417^2*COS(RADIANS(B417))</f>
        <v>231.45144235793</v>
      </c>
      <c r="I417" s="45" t="n">
        <v>45</v>
      </c>
    </row>
    <row r="418" customFormat="false" ht="15" hidden="false" customHeight="false" outlineLevel="0" collapsed="false">
      <c r="A418" s="41" t="n">
        <v>206</v>
      </c>
      <c r="B418" s="42" t="n">
        <f aca="false">180-DEGREES(ASIN((P2_a*SIN(RADIANS($A418))-P2_c)/P2_b))</f>
        <v>177.978163675903</v>
      </c>
      <c r="C418" s="42" t="n">
        <f aca="false">P2_a*COS(RADIANS($A418))-P2_b*COS(RADIANS(B418))</f>
        <v>100.460032266757</v>
      </c>
      <c r="D418" s="43" t="n">
        <f aca="false">90-DEGREES(ASIN(ABS((P2_a*SIN(RADIANS($A418))-P2_c)/P2_b)))</f>
        <v>87.9781636759033</v>
      </c>
      <c r="E418" s="44" t="n">
        <f aca="false">P2_a*P2_w2*COS(RADIANS($A418))/(P2_b*COS(RADIANS(B418)))</f>
        <v>0.74916007663615</v>
      </c>
      <c r="F418" s="42" t="n">
        <f aca="false">-P2_a*P2_w2*SIN(RADIANS($A418))+P2_b*E418*SIN(RADIANS(B418))</f>
        <v>51.6902709658381</v>
      </c>
      <c r="G418" s="44" t="n">
        <f aca="false">(P2_a*P2_al2*COS(RADIANS($A418))-P2_a*P2_w2^2*SIN(RADIANS($A418))+P2_b*E418^2*SIN(RADIANS(B418)))/(P2_b*COS(RADIANS(B418)))</f>
        <v>-1.16771898205114</v>
      </c>
      <c r="H418" s="42" t="n">
        <f aca="false">-P2_a*P2_al2*SIN(RADIANS($A418))-P2_a*P2_w2^2*COS(RADIANS($A418))+P2_b*G418*SIN(RADIANS(B418))+P2_b*E418^2*COS(RADIANS(B418))</f>
        <v>231.000212102836</v>
      </c>
      <c r="I418" s="45" t="n">
        <v>45</v>
      </c>
    </row>
    <row r="419" customFormat="false" ht="15" hidden="false" customHeight="false" outlineLevel="0" collapsed="false">
      <c r="A419" s="41" t="n">
        <v>206.5</v>
      </c>
      <c r="B419" s="42" t="n">
        <f aca="false">180-DEGREES(ASIN((P2_a*SIN(RADIANS($A419))-P2_c)/P2_b))</f>
        <v>178.097136675514</v>
      </c>
      <c r="C419" s="42" t="n">
        <f aca="false">P2_a*COS(RADIANS($A419))-P2_b*COS(RADIANS(B419))</f>
        <v>100.604506971187</v>
      </c>
      <c r="D419" s="43" t="n">
        <f aca="false">90-DEGREES(ASIN(ABS((P2_a*SIN(RADIANS($A419))-P2_c)/P2_b)))</f>
        <v>88.0971366755137</v>
      </c>
      <c r="E419" s="44" t="n">
        <f aca="false">P2_a*P2_w2*COS(RADIANS($A419))/(P2_b*COS(RADIANS(B419)))</f>
        <v>0.745889895139256</v>
      </c>
      <c r="F419" s="42" t="n">
        <f aca="false">-P2_a*P2_w2*SIN(RADIANS($A419))+P2_b*E419*SIN(RADIANS(B419))</f>
        <v>52.3313045116469</v>
      </c>
      <c r="G419" s="44" t="n">
        <f aca="false">(P2_a*P2_al2*COS(RADIANS($A419))-P2_a*P2_w2^2*SIN(RADIANS($A419))+P2_b*E419^2*SIN(RADIANS(B419)))/(P2_b*COS(RADIANS(B419)))</f>
        <v>-1.18680133677122</v>
      </c>
      <c r="H419" s="42" t="n">
        <f aca="false">-P2_a*P2_al2*SIN(RADIANS($A419))-P2_a*P2_w2^2*COS(RADIANS($A419))+P2_b*G419*SIN(RADIANS(B419))+P2_b*E419^2*COS(RADIANS(B419))</f>
        <v>230.542910831818</v>
      </c>
      <c r="I419" s="45" t="n">
        <v>45</v>
      </c>
    </row>
    <row r="420" customFormat="false" ht="15" hidden="false" customHeight="false" outlineLevel="0" collapsed="false">
      <c r="A420" s="41" t="n">
        <v>207</v>
      </c>
      <c r="B420" s="42" t="n">
        <f aca="false">180-DEGREES(ASIN((P2_a*SIN(RADIANS($A420))-P2_c)/P2_b))</f>
        <v>178.215584996045</v>
      </c>
      <c r="C420" s="42" t="n">
        <f aca="false">P2_a*COS(RADIANS($A420))-P2_b*COS(RADIANS(B420))</f>
        <v>100.750760552056</v>
      </c>
      <c r="D420" s="43" t="n">
        <f aca="false">90-DEGREES(ASIN(ABS((P2_a*SIN(RADIANS($A420))-P2_c)/P2_b)))</f>
        <v>88.2155849960453</v>
      </c>
      <c r="E420" s="44" t="n">
        <f aca="false">P2_a*P2_w2*COS(RADIANS($A420))/(P2_b*COS(RADIANS(B420)))</f>
        <v>0.742566793882419</v>
      </c>
      <c r="F420" s="42" t="n">
        <f aca="false">-P2_a*P2_w2*SIN(RADIANS($A420))+P2_b*E420*SIN(RADIANS(B420))</f>
        <v>52.971059090431</v>
      </c>
      <c r="G420" s="44" t="n">
        <f aca="false">(P2_a*P2_al2*COS(RADIANS($A420))-P2_a*P2_w2^2*SIN(RADIANS($A420))+P2_b*E420^2*SIN(RADIANS(B420)))/(P2_b*COS(RADIANS(B420)))</f>
        <v>-1.20582104433766</v>
      </c>
      <c r="H420" s="42" t="n">
        <f aca="false">-P2_a*P2_al2*SIN(RADIANS($A420))-P2_a*P2_w2^2*COS(RADIANS($A420))+P2_b*G420*SIN(RADIANS(B420))+P2_b*E420^2*COS(RADIANS(B420))</f>
        <v>230.079319043774</v>
      </c>
      <c r="I420" s="45" t="n">
        <v>45</v>
      </c>
    </row>
    <row r="421" customFormat="false" ht="15" hidden="false" customHeight="false" outlineLevel="0" collapsed="false">
      <c r="A421" s="41" t="n">
        <v>207.5</v>
      </c>
      <c r="B421" s="42" t="n">
        <f aca="false">180-DEGREES(ASIN((P2_a*SIN(RADIANS($A421))-P2_c)/P2_b))</f>
        <v>178.333500228978</v>
      </c>
      <c r="C421" s="42" t="n">
        <f aca="false">P2_a*COS(RADIANS($A421))-P2_b*COS(RADIANS(B421))</f>
        <v>100.898789432126</v>
      </c>
      <c r="D421" s="43" t="n">
        <f aca="false">90-DEGREES(ASIN(ABS((P2_a*SIN(RADIANS($A421))-P2_c)/P2_b)))</f>
        <v>88.3335002289782</v>
      </c>
      <c r="E421" s="44" t="n">
        <f aca="false">P2_a*P2_w2*COS(RADIANS($A421))/(P2_b*COS(RADIANS(B421)))</f>
        <v>0.739190948267186</v>
      </c>
      <c r="F421" s="42" t="n">
        <f aca="false">-P2_a*P2_w2*SIN(RADIANS($A421))+P2_b*E421*SIN(RADIANS(B421))</f>
        <v>53.6095169206605</v>
      </c>
      <c r="G421" s="44" t="n">
        <f aca="false">(P2_a*P2_al2*COS(RADIANS($A421))-P2_a*P2_w2^2*SIN(RADIANS($A421))+P2_b*E421^2*SIN(RADIANS(B421)))/(P2_b*COS(RADIANS(B421)))</f>
        <v>-1.22477710715421</v>
      </c>
      <c r="H421" s="42" t="n">
        <f aca="false">-P2_a*P2_al2*SIN(RADIANS($A421))-P2_a*P2_w2^2*COS(RADIANS($A421))+P2_b*G421*SIN(RADIANS(B421))+P2_b*E421^2*COS(RADIANS(B421))</f>
        <v>229.609214642888</v>
      </c>
      <c r="I421" s="45" t="n">
        <v>45</v>
      </c>
    </row>
    <row r="422" customFormat="false" ht="15" hidden="false" customHeight="false" outlineLevel="0" collapsed="false">
      <c r="A422" s="41" t="n">
        <v>208</v>
      </c>
      <c r="B422" s="42" t="n">
        <f aca="false">180-DEGREES(ASIN((P2_a*SIN(RADIANS($A422))-P2_c)/P2_b))</f>
        <v>178.45087399393</v>
      </c>
      <c r="C422" s="42" t="n">
        <f aca="false">P2_a*COS(RADIANS($A422))-P2_b*COS(RADIANS(B422))</f>
        <v>101.048589983903</v>
      </c>
      <c r="D422" s="43" t="n">
        <f aca="false">90-DEGREES(ASIN(ABS((P2_a*SIN(RADIANS($A422))-P2_c)/P2_b)))</f>
        <v>88.4508739939298</v>
      </c>
      <c r="E422" s="44" t="n">
        <f aca="false">P2_a*P2_w2*COS(RADIANS($A422))/(P2_b*COS(RADIANS(B422)))</f>
        <v>0.735762536489489</v>
      </c>
      <c r="F422" s="42" t="n">
        <f aca="false">-P2_a*P2_w2*SIN(RADIANS($A422))+P2_b*E422*SIN(RADIANS(B422))</f>
        <v>54.2466596003252</v>
      </c>
      <c r="G422" s="44" t="n">
        <f aca="false">(P2_a*P2_al2*COS(RADIANS($A422))-P2_a*P2_w2^2*SIN(RADIANS($A422))+P2_b*E422^2*SIN(RADIANS(B422)))/(P2_b*COS(RADIANS(B422)))</f>
        <v>-1.24366851084729</v>
      </c>
      <c r="H422" s="42" t="n">
        <f aca="false">-P2_a*P2_al2*SIN(RADIANS($A422))-P2_a*P2_w2^2*COS(RADIANS($A422))+P2_b*G422*SIN(RADIANS(B422))+P2_b*E422^2*COS(RADIANS(B422))</f>
        <v>229.132372987251</v>
      </c>
      <c r="I422" s="45" t="n">
        <v>45</v>
      </c>
    </row>
    <row r="423" customFormat="false" ht="15" hidden="false" customHeight="false" outlineLevel="0" collapsed="false">
      <c r="A423" s="41" t="n">
        <v>208.5</v>
      </c>
      <c r="B423" s="42" t="n">
        <f aca="false">180-DEGREES(ASIN((P2_a*SIN(RADIANS($A423))-P2_c)/P2_b))</f>
        <v>178.567697939104</v>
      </c>
      <c r="C423" s="42" t="n">
        <f aca="false">P2_a*COS(RADIANS($A423))-P2_b*COS(RADIANS(B423))</f>
        <v>101.200158527907</v>
      </c>
      <c r="D423" s="43" t="n">
        <f aca="false">90-DEGREES(ASIN(ABS((P2_a*SIN(RADIANS($A423))-P2_c)/P2_b)))</f>
        <v>88.5676979391041</v>
      </c>
      <c r="E423" s="44" t="n">
        <f aca="false">P2_a*P2_w2*COS(RADIANS($A423))/(P2_b*COS(RADIANS(B423)))</f>
        <v>0.73228173958636</v>
      </c>
      <c r="F423" s="42" t="n">
        <f aca="false">-P2_a*P2_w2*SIN(RADIANS($A423))+P2_b*E423*SIN(RADIANS(B423))</f>
        <v>54.882468099931</v>
      </c>
      <c r="G423" s="44" t="n">
        <f aca="false">(P2_a*P2_al2*COS(RADIANS($A423))-P2_a*P2_w2^2*SIN(RADIANS($A423))+P2_b*E423^2*SIN(RADIANS(B423)))/(P2_b*COS(RADIANS(B423)))</f>
        <v>-1.26249422418438</v>
      </c>
      <c r="H423" s="42" t="n">
        <f aca="false">-P2_a*P2_al2*SIN(RADIANS($A423))-P2_a*P2_w2^2*COS(RADIANS($A423))+P2_b*G423*SIN(RADIANS(B423))+P2_b*E423^2*COS(RADIANS(B423))</f>
        <v>228.648566938679</v>
      </c>
      <c r="I423" s="45" t="n">
        <v>45</v>
      </c>
    </row>
    <row r="424" customFormat="false" ht="15" hidden="false" customHeight="false" outlineLevel="0" collapsed="false">
      <c r="A424" s="41" t="n">
        <v>209</v>
      </c>
      <c r="B424" s="42" t="n">
        <f aca="false">180-DEGREES(ASIN((P2_a*SIN(RADIANS($A424))-P2_c)/P2_b))</f>
        <v>178.683963741747</v>
      </c>
      <c r="C424" s="42" t="n">
        <f aca="false">P2_a*COS(RADIANS($A424))-P2_b*COS(RADIANS(B424))</f>
        <v>101.353491330919</v>
      </c>
      <c r="D424" s="43" t="n">
        <f aca="false">90-DEGREES(ASIN(ABS((P2_a*SIN(RADIANS($A424))-P2_c)/P2_b)))</f>
        <v>88.6839637417471</v>
      </c>
      <c r="E424" s="44" t="n">
        <f aca="false">P2_a*P2_w2*COS(RADIANS($A424))/(P2_b*COS(RADIANS(B424)))</f>
        <v>0.728748741482863</v>
      </c>
      <c r="F424" s="42" t="n">
        <f aca="false">-P2_a*P2_w2*SIN(RADIANS($A424))+P2_b*E424*SIN(RADIANS(B424))</f>
        <v>55.5169227556359</v>
      </c>
      <c r="G424" s="44" t="n">
        <f aca="false">(P2_a*P2_al2*COS(RADIANS($A424))-P2_a*P2_w2^2*SIN(RADIANS($A424))+P2_b*E424^2*SIN(RADIANS(B424)))/(P2_b*COS(RADIANS(B424)))</f>
        <v>-1.28125319900527</v>
      </c>
      <c r="H424" s="42" t="n">
        <f aca="false">-P2_a*P2_al2*SIN(RADIANS($A424))-P2_a*P2_w2^2*COS(RADIANS($A424))+P2_b*G424*SIN(RADIANS(B424))+P2_b*E424^2*COS(RADIANS(B424))</f>
        <v>228.157566913756</v>
      </c>
      <c r="I424" s="45" t="n">
        <v>45</v>
      </c>
    </row>
    <row r="425" customFormat="false" ht="15" hidden="false" customHeight="false" outlineLevel="0" collapsed="false">
      <c r="A425" s="41" t="n">
        <v>209.5</v>
      </c>
      <c r="B425" s="42" t="n">
        <f aca="false">180-DEGREES(ASIN((P2_a*SIN(RADIANS($A425))-P2_c)/P2_b))</f>
        <v>178.79966310861</v>
      </c>
      <c r="C425" s="42" t="n">
        <f aca="false">P2_a*COS(RADIANS($A425))-P2_b*COS(RADIANS(B425))</f>
        <v>101.508584604209</v>
      </c>
      <c r="D425" s="43" t="n">
        <f aca="false">90-DEGREES(ASIN(ABS((P2_a*SIN(RADIANS($A425))-P2_c)/P2_b)))</f>
        <v>88.7996631086104</v>
      </c>
      <c r="E425" s="44" t="n">
        <f aca="false">P2_a*P2_w2*COS(RADIANS($A425))/(P2_b*COS(RADIANS(B425)))</f>
        <v>0.725163729039194</v>
      </c>
      <c r="F425" s="42" t="n">
        <f aca="false">-P2_a*P2_w2*SIN(RADIANS($A425))+P2_b*E425*SIN(RADIANS(B425))</f>
        <v>56.1500032625308</v>
      </c>
      <c r="G425" s="44" t="n">
        <f aca="false">(P2_a*P2_al2*COS(RADIANS($A425))-P2_a*P2_w2^2*SIN(RADIANS($A425))+P2_b*E425^2*SIN(RADIANS(B425)))/(P2_b*COS(RADIANS(B425)))</f>
        <v>-1.29994437016614</v>
      </c>
      <c r="H425" s="42" t="n">
        <f aca="false">-P2_a*P2_al2*SIN(RADIANS($A425))-P2_a*P2_w2^2*COS(RADIANS($A425))+P2_b*G425*SIN(RADIANS(B425))+P2_b*E425^2*COS(RADIANS(B425))</f>
        <v>227.659140936148</v>
      </c>
      <c r="I425" s="45" t="n">
        <v>45</v>
      </c>
    </row>
    <row r="426" customFormat="false" ht="15" hidden="false" customHeight="false" outlineLevel="0" collapsed="false">
      <c r="A426" s="41" t="n">
        <v>210</v>
      </c>
      <c r="B426" s="42" t="n">
        <f aca="false">180-DEGREES(ASIN((P2_a*SIN(RADIANS($A426))-P2_c)/P2_b))</f>
        <v>178.914787776422</v>
      </c>
      <c r="C426" s="42" t="n">
        <f aca="false">P2_a*COS(RADIANS($A426))-P2_b*COS(RADIANS(B426))</f>
        <v>101.665434501748</v>
      </c>
      <c r="D426" s="43" t="n">
        <f aca="false">90-DEGREES(ASIN(ABS((P2_a*SIN(RADIANS($A426))-P2_c)/P2_b)))</f>
        <v>88.9147877764219</v>
      </c>
      <c r="E426" s="44" t="n">
        <f aca="false">P2_a*P2_w2*COS(RADIANS($A426))/(P2_b*COS(RADIANS(B426)))</f>
        <v>0.721526892097923</v>
      </c>
      <c r="F426" s="42" t="n">
        <f aca="false">-P2_a*P2_w2*SIN(RADIANS($A426))+P2_b*E426*SIN(RADIANS(B426))</f>
        <v>56.7816886680662</v>
      </c>
      <c r="G426" s="44" t="n">
        <f aca="false">(P2_a*P2_al2*COS(RADIANS($A426))-P2_a*P2_w2^2*SIN(RADIANS($A426))+P2_b*E426^2*SIN(RADIANS(B426)))/(P2_b*COS(RADIANS(B426)))</f>
        <v>-1.3185666554968</v>
      </c>
      <c r="H426" s="42" t="n">
        <f aca="false">-P2_a*P2_al2*SIN(RADIANS($A426))-P2_a*P2_w2^2*COS(RADIANS($A426))+P2_b*G426*SIN(RADIANS(B426))+P2_b*E426^2*COS(RADIANS(B426))</f>
        <v>227.153054690203</v>
      </c>
      <c r="I426" s="45" t="n">
        <v>45</v>
      </c>
    </row>
    <row r="427" customFormat="false" ht="15" hidden="false" customHeight="false" outlineLevel="0" collapsed="false">
      <c r="A427" s="41" t="n">
        <v>210.5</v>
      </c>
      <c r="B427" s="42" t="n">
        <f aca="false">180-DEGREES(ASIN((P2_a*SIN(RADIANS($A427))-P2_c)/P2_b))</f>
        <v>179.029329512364</v>
      </c>
      <c r="C427" s="42" t="n">
        <f aca="false">P2_a*COS(RADIANS($A427))-P2_b*COS(RADIANS(B427))</f>
        <v>101.824037118397</v>
      </c>
      <c r="D427" s="43" t="n">
        <f aca="false">90-DEGREES(ASIN(ABS((P2_a*SIN(RADIANS($A427))-P2_c)/P2_b)))</f>
        <v>89.0293295123644</v>
      </c>
      <c r="E427" s="44" t="n">
        <f aca="false">P2_a*P2_w2*COS(RADIANS($A427))/(P2_b*COS(RADIANS(B427)))</f>
        <v>0.71783842353133</v>
      </c>
      <c r="F427" s="42" t="n">
        <f aca="false">-P2_a*P2_w2*SIN(RADIANS($A427))+P2_b*E427*SIN(RADIANS(B427))</f>
        <v>57.41195736563</v>
      </c>
      <c r="G427" s="44" t="n">
        <f aca="false">(P2_a*P2_al2*COS(RADIANS($A427))-P2_a*P2_w2^2*SIN(RADIANS($A427))+P2_b*E427^2*SIN(RADIANS(B427)))/(P2_b*COS(RADIANS(B427)))</f>
        <v>-1.33711895577113</v>
      </c>
      <c r="H427" s="42" t="n">
        <f aca="false">-P2_a*P2_al2*SIN(RADIANS($A427))-P2_a*P2_w2^2*COS(RADIANS($A427))+P2_b*G427*SIN(RADIANS(B427))+P2_b*E427^2*COS(RADIANS(B427))</f>
        <v>226.639071575876</v>
      </c>
      <c r="I427" s="45" t="n">
        <v>45</v>
      </c>
    </row>
    <row r="428" customFormat="false" ht="15" hidden="false" customHeight="false" outlineLevel="0" collapsed="false">
      <c r="A428" s="41" t="n">
        <v>211</v>
      </c>
      <c r="B428" s="42" t="n">
        <f aca="false">180-DEGREES(ASIN((P2_a*SIN(RADIANS($A428))-P2_c)/P2_b))</f>
        <v>179.143280114562</v>
      </c>
      <c r="C428" s="42" t="n">
        <f aca="false">P2_a*COS(RADIANS($A428))-P2_b*COS(RADIANS(B428))</f>
        <v>101.984388488082</v>
      </c>
      <c r="D428" s="43" t="n">
        <f aca="false">90-DEGREES(ASIN(ABS((P2_a*SIN(RADIANS($A428))-P2_c)/P2_b)))</f>
        <v>89.1432801145616</v>
      </c>
      <c r="E428" s="44" t="n">
        <f aca="false">P2_a*P2_w2*COS(RADIANS($A428))/(P2_b*COS(RADIANS(B428)))</f>
        <v>0.71409851928881</v>
      </c>
      <c r="F428" s="42" t="n">
        <f aca="false">-P2_a*P2_w2*SIN(RADIANS($A428))+P2_b*E428*SIN(RADIANS(B428))</f>
        <v>58.0407870882802</v>
      </c>
      <c r="G428" s="44" t="n">
        <f aca="false">(P2_a*P2_al2*COS(RADIANS($A428))-P2_a*P2_w2^2*SIN(RADIANS($A428))+P2_b*E428^2*SIN(RADIANS(B428)))/(P2_b*COS(RADIANS(B428)))</f>
        <v>-1.35560015469085</v>
      </c>
      <c r="H428" s="42" t="n">
        <f aca="false">-P2_a*P2_al2*SIN(RADIANS($A428))-P2_a*P2_w2^2*COS(RADIANS($A428))+P2_b*G428*SIN(RADIANS(B428))+P2_b*E428^2*COS(RADIANS(B428))</f>
        <v>226.116952765014</v>
      </c>
      <c r="I428" s="45" t="n">
        <v>45</v>
      </c>
    </row>
    <row r="429" customFormat="false" ht="15" hidden="false" customHeight="false" outlineLevel="0" collapsed="false">
      <c r="A429" s="41" t="n">
        <v>211.5</v>
      </c>
      <c r="B429" s="42" t="n">
        <f aca="false">180-DEGREES(ASIN((P2_a*SIN(RADIANS($A429))-P2_c)/P2_b))</f>
        <v>179.256631412571</v>
      </c>
      <c r="C429" s="42" t="n">
        <f aca="false">P2_a*COS(RADIANS($A429))-P2_b*COS(RADIANS(B429))</f>
        <v>102.146484581956</v>
      </c>
      <c r="D429" s="43" t="n">
        <f aca="false">90-DEGREES(ASIN(ABS((P2_a*SIN(RADIANS($A429))-P2_c)/P2_b)))</f>
        <v>89.2566314125714</v>
      </c>
      <c r="E429" s="44" t="n">
        <f aca="false">P2_a*P2_w2*COS(RADIANS($A429))/(P2_b*COS(RADIANS(B429)))</f>
        <v>0.710307378444305</v>
      </c>
      <c r="F429" s="42" t="n">
        <f aca="false">-P2_a*P2_w2*SIN(RADIANS($A429))+P2_b*E429*SIN(RADIANS(B429))</f>
        <v>58.6681549026349</v>
      </c>
      <c r="G429" s="44" t="n">
        <f aca="false">(P2_a*P2_al2*COS(RADIANS($A429))-P2_a*P2_w2^2*SIN(RADIANS($A429))+P2_b*E429^2*SIN(RADIANS(B429)))/(P2_b*COS(RADIANS(B429)))</f>
        <v>-1.37400911888279</v>
      </c>
      <c r="H429" s="42" t="n">
        <f aca="false">-P2_a*P2_al2*SIN(RADIANS($A429))-P2_a*P2_w2^2*COS(RADIANS($A429))+P2_b*G429*SIN(RADIANS(B429))+P2_b*E429^2*COS(RADIANS(B429))</f>
        <v>225.586457259022</v>
      </c>
      <c r="I429" s="45" t="n">
        <v>45</v>
      </c>
    </row>
    <row r="430" customFormat="false" ht="15" hidden="false" customHeight="false" outlineLevel="0" collapsed="false">
      <c r="A430" s="41" t="n">
        <v>212</v>
      </c>
      <c r="B430" s="42" t="n">
        <f aca="false">180-DEGREES(ASIN((P2_a*SIN(RADIANS($A430))-P2_c)/P2_b))</f>
        <v>179.369375267887</v>
      </c>
      <c r="C430" s="42" t="n">
        <f aca="false">P2_a*COS(RADIANS($A430))-P2_b*COS(RADIANS(B430))</f>
        <v>102.310321306531</v>
      </c>
      <c r="D430" s="43" t="n">
        <f aca="false">90-DEGREES(ASIN(ABS((P2_a*SIN(RADIANS($A430))-P2_c)/P2_b)))</f>
        <v>89.3693752678873</v>
      </c>
      <c r="E430" s="44" t="n">
        <f aca="false">P2_a*P2_w2*COS(RADIANS($A430))/(P2_b*COS(RADIANS(B430)))</f>
        <v>0.706465203243718</v>
      </c>
      <c r="F430" s="42" t="n">
        <f aca="false">-P2_a*P2_w2*SIN(RADIANS($A430))+P2_b*E430*SIN(RADIANS(B430))</f>
        <v>59.2940372029259</v>
      </c>
      <c r="G430" s="44" t="n">
        <f aca="false">(P2_a*P2_al2*COS(RADIANS($A430))-P2_a*P2_w2^2*SIN(RADIANS($A430))+P2_b*E430^2*SIN(RADIANS(B430)))/(P2_b*COS(RADIANS(B430)))</f>
        <v>-1.39234469790979</v>
      </c>
      <c r="H430" s="42" t="n">
        <f aca="false">-P2_a*P2_al2*SIN(RADIANS($A430))-P2_a*P2_w2^2*COS(RADIANS($A430))+P2_b*G430*SIN(RADIANS(B430))+P2_b*E430^2*COS(RADIANS(B430))</f>
        <v>225.047341947942</v>
      </c>
      <c r="I430" s="45" t="n">
        <v>45</v>
      </c>
    </row>
    <row r="431" customFormat="false" ht="15" hidden="false" customHeight="false" outlineLevel="0" collapsed="false">
      <c r="A431" s="41" t="n">
        <v>212.5</v>
      </c>
      <c r="B431" s="42" t="n">
        <f aca="false">180-DEGREES(ASIN((P2_a*SIN(RADIANS($A431))-P2_c)/P2_b))</f>
        <v>179.481503574447</v>
      </c>
      <c r="C431" s="42" t="n">
        <f aca="false">P2_a*COS(RADIANS($A431))-P2_b*COS(RADIANS(B431))</f>
        <v>102.47589450181</v>
      </c>
      <c r="D431" s="43" t="n">
        <f aca="false">90-DEGREES(ASIN(ABS((P2_a*SIN(RADIANS($A431))-P2_c)/P2_b)))</f>
        <v>89.4815035744466</v>
      </c>
      <c r="E431" s="44" t="n">
        <f aca="false">P2_a*P2_w2*COS(RADIANS($A431))/(P2_b*COS(RADIANS(B431)))</f>
        <v>0.702572199152283</v>
      </c>
      <c r="F431" s="42" t="n">
        <f aca="false">-P2_a*P2_w2*SIN(RADIANS($A431))+P2_b*E431*SIN(RADIANS(B431))</f>
        <v>59.9184097052165</v>
      </c>
      <c r="G431" s="44" t="n">
        <f aca="false">(P2_a*P2_al2*COS(RADIANS($A431))-P2_a*P2_w2^2*SIN(RADIANS($A431))+P2_b*E431^2*SIN(RADIANS(B431)))/(P2_b*COS(RADIANS(B431)))</f>
        <v>-1.41060572429535</v>
      </c>
      <c r="H431" s="42" t="n">
        <f aca="false">-P2_a*P2_al2*SIN(RADIANS($A431))-P2_a*P2_w2^2*COS(RADIANS($A431))+P2_b*G431*SIN(RADIANS(B431))+P2_b*E431^2*COS(RADIANS(B431))</f>
        <v>224.499361670974</v>
      </c>
      <c r="I431" s="45" t="n">
        <v>45</v>
      </c>
    </row>
    <row r="432" customFormat="false" ht="15" hidden="false" customHeight="false" outlineLevel="0" collapsed="false">
      <c r="A432" s="41" t="n">
        <v>213</v>
      </c>
      <c r="B432" s="42" t="n">
        <f aca="false">180-DEGREES(ASIN((P2_a*SIN(RADIANS($A432))-P2_c)/P2_b))</f>
        <v>179.593008259147</v>
      </c>
      <c r="C432" s="42" t="n">
        <f aca="false">P2_a*COS(RADIANS($A432))-P2_b*COS(RADIANS(B432))</f>
        <v>102.643199939391</v>
      </c>
      <c r="D432" s="43" t="n">
        <f aca="false">90-DEGREES(ASIN(ABS((P2_a*SIN(RADIANS($A432))-P2_c)/P2_b)))</f>
        <v>89.5930082591467</v>
      </c>
      <c r="E432" s="44" t="n">
        <f aca="false">P2_a*P2_w2*COS(RADIANS($A432))/(P2_b*COS(RADIANS(B432)))</f>
        <v>0.698628574901849</v>
      </c>
      <c r="F432" s="42" t="n">
        <f aca="false">-P2_a*P2_w2*SIN(RADIANS($A432))+P2_b*E432*SIN(RADIANS(B432))</f>
        <v>60.5412474417912</v>
      </c>
      <c r="G432" s="44" t="n">
        <f aca="false">(P2_a*P2_al2*COS(RADIANS($A432))-P2_a*P2_w2^2*SIN(RADIANS($A432))+P2_b*E432^2*SIN(RADIANS(B432)))/(P2_b*COS(RADIANS(B432)))</f>
        <v>-1.42879101356211</v>
      </c>
      <c r="H432" s="42" t="n">
        <f aca="false">-P2_a*P2_al2*SIN(RADIANS($A432))-P2_a*P2_w2^2*COS(RADIANS($A432))+P2_b*G432*SIN(RADIANS(B432))+P2_b*E432^2*COS(RADIANS(B432))</f>
        <v>223.942269278463</v>
      </c>
      <c r="I432" s="45" t="n">
        <v>45</v>
      </c>
    </row>
    <row r="433" customFormat="false" ht="15" hidden="false" customHeight="false" outlineLevel="0" collapsed="false">
      <c r="A433" s="41" t="n">
        <v>213.5</v>
      </c>
      <c r="B433" s="42" t="n">
        <f aca="false">180-DEGREES(ASIN((P2_a*SIN(RADIANS($A433))-P2_c)/P2_b))</f>
        <v>179.703881282369</v>
      </c>
      <c r="C433" s="42" t="n">
        <f aca="false">P2_a*COS(RADIANS($A433))-P2_b*COS(RADIANS(B433))</f>
        <v>102.812233320561</v>
      </c>
      <c r="D433" s="43" t="n">
        <f aca="false">90-DEGREES(ASIN(ABS((P2_a*SIN(RADIANS($A433))-P2_c)/P2_b)))</f>
        <v>89.7038812823689</v>
      </c>
      <c r="E433" s="44" t="n">
        <f aca="false">P2_a*P2_w2*COS(RADIANS($A433))/(P2_b*COS(RADIANS(B433)))</f>
        <v>0.694634542538032</v>
      </c>
      <c r="F433" s="42" t="n">
        <f aca="false">-P2_a*P2_w2*SIN(RADIANS($A433))+P2_b*E433*SIN(RADIANS(B433))</f>
        <v>61.1625247557186</v>
      </c>
      <c r="G433" s="44" t="n">
        <f aca="false">(P2_a*P2_al2*COS(RADIANS($A433))-P2_a*P2_w2^2*SIN(RADIANS($A433))+P2_b*E433^2*SIN(RADIANS(B433)))/(P2_b*COS(RADIANS(B433)))</f>
        <v>-1.44689936428432</v>
      </c>
      <c r="H433" s="42" t="n">
        <f aca="false">-P2_a*P2_al2*SIN(RADIANS($A433))-P2_a*P2_w2^2*COS(RADIANS($A433))+P2_b*G433*SIN(RADIANS(B433))+P2_b*E433^2*COS(RADIANS(B433))</f>
        <v>223.375815695387</v>
      </c>
      <c r="I433" s="45" t="n">
        <v>45</v>
      </c>
    </row>
    <row r="434" customFormat="false" ht="15" hidden="false" customHeight="false" outlineLevel="0" collapsed="false">
      <c r="A434" s="41" t="n">
        <v>214</v>
      </c>
      <c r="B434" s="42" t="n">
        <f aca="false">180-DEGREES(ASIN((P2_a*SIN(RADIANS($A434))-P2_c)/P2_b))</f>
        <v>179.814114638509</v>
      </c>
      <c r="C434" s="42" t="n">
        <f aca="false">P2_a*COS(RADIANS($A434))-P2_b*COS(RADIANS(B434))</f>
        <v>102.982990274375</v>
      </c>
      <c r="D434" s="43" t="n">
        <f aca="false">90-DEGREES(ASIN(ABS((P2_a*SIN(RADIANS($A434))-P2_c)/P2_b)))</f>
        <v>89.8141146385095</v>
      </c>
      <c r="E434" s="44" t="n">
        <f aca="false">P2_a*P2_w2*COS(RADIANS($A434))/(P2_b*COS(RADIANS(B434)))</f>
        <v>0.690590317467207</v>
      </c>
      <c r="F434" s="42" t="n">
        <f aca="false">-P2_a*P2_w2*SIN(RADIANS($A434))+P2_b*E434*SIN(RADIANS(B434))</f>
        <v>61.7822152955931</v>
      </c>
      <c r="G434" s="44" t="n">
        <f aca="false">(P2_a*P2_al2*COS(RADIANS($A434))-P2_a*P2_w2^2*SIN(RADIANS($A434))+P2_b*E434^2*SIN(RADIANS(B434)))/(P2_b*COS(RADIANS(B434)))</f>
        <v>-1.46492955815447</v>
      </c>
      <c r="H434" s="42" t="n">
        <f aca="false">-P2_a*P2_al2*SIN(RADIANS($A434))-P2_a*P2_w2^2*COS(RADIANS($A434))+P2_b*G434*SIN(RADIANS(B434))+P2_b*E434^2*COS(RADIANS(B434))</f>
        <v>222.799749986358</v>
      </c>
      <c r="I434" s="45" t="n">
        <v>45</v>
      </c>
    </row>
    <row r="435" customFormat="false" ht="15" hidden="false" customHeight="false" outlineLevel="0" collapsed="false">
      <c r="A435" s="41" t="n">
        <v>214.5</v>
      </c>
      <c r="B435" s="42" t="n">
        <f aca="false">180-DEGREES(ASIN((P2_a*SIN(RADIANS($A435))-P2_c)/P2_b))</f>
        <v>179.923700356518</v>
      </c>
      <c r="C435" s="42" t="n">
        <f aca="false">P2_a*COS(RADIANS($A435))-P2_b*COS(RADIANS(B435))</f>
        <v>103.15546635572</v>
      </c>
      <c r="D435" s="43" t="n">
        <f aca="false">90-DEGREES(ASIN(ABS((P2_a*SIN(RADIANS($A435))-P2_c)/P2_b)))</f>
        <v>89.923700356518</v>
      </c>
      <c r="E435" s="44" t="n">
        <f aca="false">P2_a*P2_w2*COS(RADIANS($A435))/(P2_b*COS(RADIANS(B435)))</f>
        <v>0.686496118503289</v>
      </c>
      <c r="F435" s="42" t="n">
        <f aca="false">-P2_a*P2_w2*SIN(RADIANS($A435))+P2_b*E435*SIN(RADIANS(B435))</f>
        <v>62.4002920104597</v>
      </c>
      <c r="G435" s="44" t="n">
        <f aca="false">(P2_a*P2_al2*COS(RADIANS($A435))-P2_a*P2_w2^2*SIN(RADIANS($A435))+P2_b*E435^2*SIN(RADIANS(B435)))/(P2_b*COS(RADIANS(B435)))</f>
        <v>-1.48288036006403</v>
      </c>
      <c r="H435" s="42" t="n">
        <f aca="false">-P2_a*P2_al2*SIN(RADIANS($A435))-P2_a*P2_w2^2*COS(RADIANS($A435))+P2_b*G435*SIN(RADIANS(B435))+P2_b*E435^2*COS(RADIANS(B435))</f>
        <v>222.213819422168</v>
      </c>
      <c r="I435" s="45" t="n">
        <v>45</v>
      </c>
    </row>
    <row r="436" customFormat="false" ht="15" hidden="false" customHeight="false" outlineLevel="0" collapsed="false">
      <c r="A436" s="41" t="n">
        <v>215</v>
      </c>
      <c r="B436" s="42" t="n">
        <f aca="false">180-DEGREES(ASIN((P2_a*SIN(RADIANS($A436))-P2_c)/P2_b))</f>
        <v>180.032630500444</v>
      </c>
      <c r="C436" s="42" t="n">
        <f aca="false">P2_a*COS(RADIANS($A436))-P2_b*COS(RADIANS(B436))</f>
        <v>103.329657043362</v>
      </c>
      <c r="D436" s="43" t="n">
        <f aca="false">90-DEGREES(ASIN(ABS((P2_a*SIN(RADIANS($A436))-P2_c)/P2_b)))</f>
        <v>89.967369499556</v>
      </c>
      <c r="E436" s="44" t="n">
        <f aca="false">P2_a*P2_w2*COS(RADIANS($A436))/(P2_b*COS(RADIANS(B436)))</f>
        <v>0.682352167914279</v>
      </c>
      <c r="F436" s="42" t="n">
        <f aca="false">-P2_a*P2_w2*SIN(RADIANS($A436))+P2_b*E436*SIN(RADIANS(B436))</f>
        <v>63.0167271449247</v>
      </c>
      <c r="G436" s="44" t="n">
        <f aca="false">(P2_a*P2_al2*COS(RADIANS($A436))-P2_a*P2_w2^2*SIN(RADIANS($A436))+P2_b*E436^2*SIN(RADIANS(B436)))/(P2_b*COS(RADIANS(B436)))</f>
        <v>-1.50075051819855</v>
      </c>
      <c r="H436" s="42" t="n">
        <f aca="false">-P2_a*P2_al2*SIN(RADIANS($A436))-P2_a*P2_w2^2*COS(RADIANS($A436))+P2_b*G436*SIN(RADIANS(B436))+P2_b*E436^2*COS(RADIANS(B436))</f>
        <v>221.617769547906</v>
      </c>
      <c r="I436" s="45" t="n">
        <v>45</v>
      </c>
    </row>
    <row r="437" customFormat="false" ht="15" hidden="false" customHeight="false" outlineLevel="0" collapsed="false">
      <c r="A437" s="41" t="n">
        <v>215.5</v>
      </c>
      <c r="B437" s="42" t="n">
        <f aca="false">180-DEGREES(ASIN((P2_a*SIN(RADIANS($A437))-P2_c)/P2_b))</f>
        <v>180.14089716999</v>
      </c>
      <c r="C437" s="42" t="n">
        <f aca="false">P2_a*COS(RADIANS($A437))-P2_b*COS(RADIANS(B437))</f>
        <v>103.505557737987</v>
      </c>
      <c r="D437" s="43" t="n">
        <f aca="false">90-DEGREES(ASIN(ABS((P2_a*SIN(RADIANS($A437))-P2_c)/P2_b)))</f>
        <v>89.8591028300105</v>
      </c>
      <c r="E437" s="44" t="n">
        <f aca="false">P2_a*P2_w2*COS(RADIANS($A437))/(P2_b*COS(RADIANS(B437)))</f>
        <v>0.678158691468516</v>
      </c>
      <c r="F437" s="42" t="n">
        <f aca="false">-P2_a*P2_w2*SIN(RADIANS($A437))+P2_b*E437*SIN(RADIANS(B437))</f>
        <v>63.6314922344591</v>
      </c>
      <c r="G437" s="44" t="n">
        <f aca="false">(P2_a*P2_al2*COS(RADIANS($A437))-P2_a*P2_w2^2*SIN(RADIANS($A437))+P2_b*E437^2*SIN(RADIANS(B437)))/(P2_b*COS(RADIANS(B437)))</f>
        <v>-1.51853876414717</v>
      </c>
      <c r="H437" s="42" t="n">
        <f aca="false">-P2_a*P2_al2*SIN(RADIANS($A437))-P2_a*P2_w2^2*COS(RADIANS($A437))+P2_b*G437*SIN(RADIANS(B437))+P2_b*E437^2*COS(RADIANS(B437))</f>
        <v>221.011344252663</v>
      </c>
      <c r="I437" s="45" t="n">
        <v>45</v>
      </c>
    </row>
    <row r="438" customFormat="false" ht="15" hidden="false" customHeight="false" outlineLevel="0" collapsed="false">
      <c r="A438" s="41" t="n">
        <v>216</v>
      </c>
      <c r="B438" s="42" t="n">
        <f aca="false">180-DEGREES(ASIN((P2_a*SIN(RADIANS($A438))-P2_c)/P2_b))</f>
        <v>180.248492501071</v>
      </c>
      <c r="C438" s="42" t="n">
        <f aca="false">P2_a*COS(RADIANS($A438))-P2_b*COS(RADIANS(B438))</f>
        <v>103.683163760221</v>
      </c>
      <c r="D438" s="43" t="n">
        <f aca="false">90-DEGREES(ASIN(ABS((P2_a*SIN(RADIANS($A438))-P2_c)/P2_b)))</f>
        <v>89.7515074989293</v>
      </c>
      <c r="E438" s="44" t="n">
        <f aca="false">P2_a*P2_w2*COS(RADIANS($A438))/(P2_b*COS(RADIANS(B438)))</f>
        <v>0.673915918480613</v>
      </c>
      <c r="F438" s="42" t="n">
        <f aca="false">-P2_a*P2_w2*SIN(RADIANS($A438))+P2_b*E438*SIN(RADIANS(B438))</f>
        <v>64.2445581008968</v>
      </c>
      <c r="G438" s="44" t="n">
        <f aca="false">(P2_a*P2_al2*COS(RADIANS($A438))-P2_a*P2_w2^2*SIN(RADIANS($A438))+P2_b*E438^2*SIN(RADIANS(B438)))/(P2_b*COS(RADIANS(B438)))</f>
        <v>-1.53624381302659</v>
      </c>
      <c r="H438" s="42" t="n">
        <f aca="false">-P2_a*P2_al2*SIN(RADIANS($A438))-P2_a*P2_w2^2*COS(RADIANS($A438))+P2_b*G438*SIN(RADIANS(B438))+P2_b*E438^2*COS(RADIANS(B438))</f>
        <v>220.394285840839</v>
      </c>
      <c r="I438" s="45" t="n">
        <v>45</v>
      </c>
    </row>
    <row r="439" customFormat="false" ht="15" hidden="false" customHeight="false" outlineLevel="0" collapsed="false">
      <c r="A439" s="41" t="n">
        <v>216.5</v>
      </c>
      <c r="B439" s="42" t="n">
        <f aca="false">180-DEGREES(ASIN((P2_a*SIN(RADIANS($A439))-P2_c)/P2_b))</f>
        <v>180.355408666385</v>
      </c>
      <c r="C439" s="42" t="n">
        <f aca="false">P2_a*COS(RADIANS($A439))-P2_b*COS(RADIANS(B439))</f>
        <v>103.862470348645</v>
      </c>
      <c r="D439" s="43" t="n">
        <f aca="false">90-DEGREES(ASIN(ABS((P2_a*SIN(RADIANS($A439))-P2_c)/P2_b)))</f>
        <v>89.6445913336146</v>
      </c>
      <c r="E439" s="44" t="n">
        <f aca="false">P2_a*P2_w2*COS(RADIANS($A439))/(P2_b*COS(RADIANS(B439)))</f>
        <v>0.669624081857023</v>
      </c>
      <c r="F439" s="42" t="n">
        <f aca="false">-P2_a*P2_w2*SIN(RADIANS($A439))+P2_b*E439*SIN(RADIANS(B439))</f>
        <v>64.8558948481341</v>
      </c>
      <c r="G439" s="44" t="n">
        <f aca="false">(P2_a*P2_al2*COS(RADIANS($A439))-P2_a*P2_w2^2*SIN(RADIANS($A439))+P2_b*E439^2*SIN(RADIANS(B439)))/(P2_b*COS(RADIANS(B439)))</f>
        <v>-1.55386436361965</v>
      </c>
      <c r="H439" s="42" t="n">
        <f aca="false">-P2_a*P2_al2*SIN(RADIANS($A439))-P2_a*P2_w2^2*COS(RADIANS($A439))+P2_b*G439*SIN(RADIANS(B439))+P2_b*E439^2*COS(RADIANS(B439))</f>
        <v>219.766335105095</v>
      </c>
      <c r="I439" s="45" t="n">
        <v>45</v>
      </c>
    </row>
    <row r="440" customFormat="false" ht="15" hidden="false" customHeight="false" outlineLevel="0" collapsed="false">
      <c r="A440" s="41" t="n">
        <v>217</v>
      </c>
      <c r="B440" s="42" t="n">
        <f aca="false">180-DEGREES(ASIN((P2_a*SIN(RADIANS($A440))-P2_c)/P2_b))</f>
        <v>180.461637875988</v>
      </c>
      <c r="C440" s="42" t="n">
        <f aca="false">P2_a*COS(RADIANS($A440))-P2_b*COS(RADIANS(B440))</f>
        <v>104.043472657791</v>
      </c>
      <c r="D440" s="43" t="n">
        <f aca="false">90-DEGREES(ASIN(ABS((P2_a*SIN(RADIANS($A440))-P2_c)/P2_b)))</f>
        <v>89.5383621240116</v>
      </c>
      <c r="E440" s="44" t="n">
        <f aca="false">P2_a*P2_w2*COS(RADIANS($A440))/(P2_b*COS(RADIANS(B440)))</f>
        <v>0.665283418141199</v>
      </c>
      <c r="F440" s="42" t="n">
        <f aca="false">-P2_a*P2_w2*SIN(RADIANS($A440))+P2_b*E440*SIN(RADIANS(B440))</f>
        <v>65.4654718580334</v>
      </c>
      <c r="G440" s="44" t="n">
        <f aca="false">(P2_a*P2_al2*COS(RADIANS($A440))-P2_a*P2_w2^2*SIN(RADIANS($A440))+P2_b*E440^2*SIN(RADIANS(B440)))/(P2_b*COS(RADIANS(B440)))</f>
        <v>-1.57139909852855</v>
      </c>
      <c r="H440" s="42" t="n">
        <f aca="false">-P2_a*P2_al2*SIN(RADIANS($A440))-P2_a*P2_w2^2*COS(RADIANS($A440))+P2_b*G440*SIN(RADIANS(B440))+P2_b*E440^2*COS(RADIANS(B440))</f>
        <v>219.127231400938</v>
      </c>
      <c r="I440" s="45" t="n">
        <v>45</v>
      </c>
    </row>
    <row r="441" customFormat="false" ht="15" hidden="false" customHeight="false" outlineLevel="0" collapsed="false">
      <c r="A441" s="41" t="n">
        <v>217.5</v>
      </c>
      <c r="B441" s="42" t="n">
        <f aca="false">180-DEGREES(ASIN((P2_a*SIN(RADIANS($A441))-P2_c)/P2_b))</f>
        <v>180.567172377874</v>
      </c>
      <c r="C441" s="42" t="n">
        <f aca="false">P2_a*COS(RADIANS($A441))-P2_b*COS(RADIANS(B441))</f>
        <v>104.226165756137</v>
      </c>
      <c r="D441" s="43" t="n">
        <f aca="false">90-DEGREES(ASIN(ABS((P2_a*SIN(RADIANS($A441))-P2_c)/P2_b)))</f>
        <v>89.4328276221261</v>
      </c>
      <c r="E441" s="44" t="n">
        <f aca="false">P2_a*P2_w2*COS(RADIANS($A441))/(P2_b*COS(RADIANS(B441)))</f>
        <v>0.660894167558315</v>
      </c>
      <c r="F441" s="42" t="n">
        <f aca="false">-P2_a*P2_w2*SIN(RADIANS($A441))+P2_b*E441*SIN(RADIANS(B441))</f>
        <v>66.0732577865365</v>
      </c>
      <c r="G441" s="44" t="n">
        <f aca="false">(P2_a*P2_al2*COS(RADIANS($A441))-P2_a*P2_w2^2*SIN(RADIANS($A441))+P2_b*E441^2*SIN(RADIANS(B441)))/(P2_b*COS(RADIANS(B441)))</f>
        <v>-1.58884668434283</v>
      </c>
      <c r="H441" s="42" t="n">
        <f aca="false">-P2_a*P2_al2*SIN(RADIANS($A441))-P2_a*P2_w2^2*COS(RADIANS($A441))+P2_b*G441*SIN(RADIANS(B441))+P2_b*E441^2*COS(RADIANS(B441))</f>
        <v>218.476712722977</v>
      </c>
      <c r="I441" s="45" t="n">
        <v>45</v>
      </c>
    </row>
    <row r="442" customFormat="false" ht="15" hidden="false" customHeight="false" outlineLevel="0" collapsed="false">
      <c r="A442" s="41" t="n">
        <v>218</v>
      </c>
      <c r="B442" s="42" t="n">
        <f aca="false">180-DEGREES(ASIN((P2_a*SIN(RADIANS($A442))-P2_c)/P2_b))</f>
        <v>180.672004458565</v>
      </c>
      <c r="C442" s="42" t="n">
        <f aca="false">P2_a*COS(RADIANS($A442))-P2_b*COS(RADIANS(B442))</f>
        <v>104.410544624077</v>
      </c>
      <c r="D442" s="43" t="n">
        <f aca="false">90-DEGREES(ASIN(ABS((P2_a*SIN(RADIANS($A442))-P2_c)/P2_b)))</f>
        <v>89.3279955414347</v>
      </c>
      <c r="E442" s="44" t="n">
        <f aca="false">P2_a*P2_w2*COS(RADIANS($A442))/(P2_b*COS(RADIANS(B442)))</f>
        <v>0.656456574059493</v>
      </c>
      <c r="F442" s="42" t="n">
        <f aca="false">-P2_a*P2_w2*SIN(RADIANS($A442))+P2_b*E442*SIN(RADIANS(B442))</f>
        <v>66.6792205599924</v>
      </c>
      <c r="G442" s="44" t="n">
        <f aca="false">(P2_a*P2_al2*COS(RADIANS($A442))-P2_a*P2_w2^2*SIN(RADIANS($A442))+P2_b*E442^2*SIN(RADIANS(B442)))/(P2_b*COS(RADIANS(B442)))</f>
        <v>-1.60620577182209</v>
      </c>
      <c r="H442" s="42" t="n">
        <f aca="false">-P2_a*P2_al2*SIN(RADIANS($A442))-P2_a*P2_w2^2*COS(RADIANS($A442))+P2_b*G442*SIN(RADIANS(B442))+P2_b*E442^2*COS(RADIANS(B442))</f>
        <v>217.81451578286</v>
      </c>
      <c r="I442" s="45" t="n">
        <v>45</v>
      </c>
    </row>
    <row r="443" customFormat="false" ht="15" hidden="false" customHeight="false" outlineLevel="0" collapsed="false">
      <c r="A443" s="41" t="n">
        <v>218.5</v>
      </c>
      <c r="B443" s="42" t="n">
        <f aca="false">180-DEGREES(ASIN((P2_a*SIN(RADIANS($A443))-P2_c)/P2_b))</f>
        <v>180.776126443711</v>
      </c>
      <c r="C443" s="42" t="n">
        <f aca="false">P2_a*COS(RADIANS($A443))-P2_b*COS(RADIANS(B443))</f>
        <v>104.596604151898</v>
      </c>
      <c r="D443" s="43" t="n">
        <f aca="false">90-DEGREES(ASIN(ABS((P2_a*SIN(RADIANS($A443))-P2_c)/P2_b)))</f>
        <v>89.2238735562887</v>
      </c>
      <c r="E443" s="44" t="n">
        <f aca="false">P2_a*P2_w2*COS(RADIANS($A443))/(P2_b*COS(RADIANS(B443)))</f>
        <v>0.651970885365502</v>
      </c>
      <c r="F443" s="42" t="n">
        <f aca="false">-P2_a*P2_w2*SIN(RADIANS($A443))+P2_b*E443*SIN(RADIANS(B443))</f>
        <v>67.2833273717039</v>
      </c>
      <c r="G443" s="44" t="n">
        <f aca="false">(P2_a*P2_al2*COS(RADIANS($A443))-P2_a*P2_w2^2*SIN(RADIANS($A443))+P2_b*E443^2*SIN(RADIANS(B443)))/(P2_b*COS(RADIANS(B443)))</f>
        <v>-1.6234749960936</v>
      </c>
      <c r="H443" s="42" t="n">
        <f aca="false">-P2_a*P2_al2*SIN(RADIANS($A443))-P2_a*P2_w2^2*COS(RADIANS($A443))+P2_b*G443*SIN(RADIANS(B443))+P2_b*E443^2*COS(RADIANS(B443))</f>
        <v>217.140376088906</v>
      </c>
      <c r="I443" s="45" t="n">
        <v>45</v>
      </c>
    </row>
    <row r="444" customFormat="false" ht="15" hidden="false" customHeight="false" outlineLevel="0" collapsed="false">
      <c r="A444" s="41" t="n">
        <v>219</v>
      </c>
      <c r="B444" s="42" t="n">
        <f aca="false">180-DEGREES(ASIN((P2_a*SIN(RADIANS($A444))-P2_c)/P2_b))</f>
        <v>180.879530698689</v>
      </c>
      <c r="C444" s="42" t="n">
        <f aca="false">P2_a*COS(RADIANS($A444))-P2_b*COS(RADIANS(B444))</f>
        <v>104.784339137735</v>
      </c>
      <c r="D444" s="43" t="n">
        <f aca="false">90-DEGREES(ASIN(ABS((P2_a*SIN(RADIANS($A444))-P2_c)/P2_b)))</f>
        <v>89.1204693013107</v>
      </c>
      <c r="E444" s="44" t="n">
        <f aca="false">P2_a*P2_w2*COS(RADIANS($A444))/(P2_b*COS(RADIANS(B444)))</f>
        <v>0.647437353009893</v>
      </c>
      <c r="F444" s="42" t="n">
        <f aca="false">-P2_a*P2_w2*SIN(RADIANS($A444))+P2_b*E444*SIN(RADIANS(B444))</f>
        <v>67.8855446786967</v>
      </c>
      <c r="G444" s="44" t="n">
        <f aca="false">(P2_a*P2_al2*COS(RADIANS($A444))-P2_a*P2_w2^2*SIN(RADIANS($A444))+P2_b*E444^2*SIN(RADIANS(B444)))/(P2_b*COS(RADIANS(B444)))</f>
        <v>-1.64065297686481</v>
      </c>
      <c r="H444" s="42" t="n">
        <f aca="false">-P2_a*P2_al2*SIN(RADIANS($A444))-P2_a*P2_w2^2*COS(RADIANS($A444))+P2_b*G444*SIN(RADIANS(B444))+P2_b*E444^2*COS(RADIANS(B444))</f>
        <v>216.454028027436</v>
      </c>
      <c r="I444" s="45" t="n">
        <v>45</v>
      </c>
    </row>
    <row r="445" customFormat="false" ht="15" hidden="false" customHeight="false" outlineLevel="0" collapsed="false">
      <c r="A445" s="41" t="n">
        <v>219.5</v>
      </c>
      <c r="B445" s="42" t="n">
        <f aca="false">180-DEGREES(ASIN((P2_a*SIN(RADIANS($A445))-P2_c)/P2_b))</f>
        <v>180.982209629216</v>
      </c>
      <c r="C445" s="42" t="n">
        <f aca="false">P2_a*COS(RADIANS($A445))-P2_b*COS(RADIANS(B445))</f>
        <v>104.973744285519</v>
      </c>
      <c r="D445" s="43" t="n">
        <f aca="false">90-DEGREES(ASIN(ABS((P2_a*SIN(RADIANS($A445))-P2_c)/P2_b)))</f>
        <v>89.0177903707841</v>
      </c>
      <c r="E445" s="44" t="n">
        <f aca="false">P2_a*P2_w2*COS(RADIANS($A445))/(P2_b*COS(RADIANS(B445)))</f>
        <v>0.642856232381518</v>
      </c>
      <c r="F445" s="42" t="n">
        <f aca="false">-P2_a*P2_w2*SIN(RADIANS($A445))+P2_b*E445*SIN(RADIANS(B445))</f>
        <v>68.485838198719</v>
      </c>
      <c r="G445" s="44" t="n">
        <f aca="false">(P2_a*P2_al2*COS(RADIANS($A445))-P2_a*P2_w2^2*SIN(RADIANS($A445))+P2_b*E445^2*SIN(RADIANS(B445)))/(P2_b*COS(RADIANS(B445)))</f>
        <v>-1.65773831865078</v>
      </c>
      <c r="H445" s="42" t="n">
        <f aca="false">-P2_a*P2_al2*SIN(RADIANS($A445))-P2_a*P2_w2^2*COS(RADIANS($A445))+P2_b*G445*SIN(RADIANS(B445))+P2_b*E445^2*COS(RADIANS(B445))</f>
        <v>215.755204945834</v>
      </c>
      <c r="I445" s="45" t="n">
        <v>45</v>
      </c>
    </row>
    <row r="446" customFormat="false" ht="15" hidden="false" customHeight="false" outlineLevel="0" collapsed="false">
      <c r="A446" s="41" t="n">
        <v>220</v>
      </c>
      <c r="B446" s="42" t="n">
        <f aca="false">180-DEGREES(ASIN((P2_a*SIN(RADIANS($A446))-P2_c)/P2_b))</f>
        <v>181.084155681964</v>
      </c>
      <c r="C446" s="42" t="n">
        <f aca="false">P2_a*COS(RADIANS($A446))-P2_b*COS(RADIANS(B446))</f>
        <v>105.164814202925</v>
      </c>
      <c r="D446" s="43" t="n">
        <f aca="false">90-DEGREES(ASIN(ABS((P2_a*SIN(RADIANS($A446))-P2_c)/P2_b)))</f>
        <v>88.9158443180365</v>
      </c>
      <c r="E446" s="44" t="n">
        <f aca="false">P2_a*P2_w2*COS(RADIANS($A446))/(P2_b*COS(RADIANS(B446)))</f>
        <v>0.638227782766398</v>
      </c>
      <c r="F446" s="42" t="n">
        <f aca="false">-P2_a*P2_w2*SIN(RADIANS($A446))+P2_b*E446*SIN(RADIANS(B446))</f>
        <v>69.0841729074717</v>
      </c>
      <c r="G446" s="44" t="n">
        <f aca="false">(P2_a*P2_al2*COS(RADIANS($A446))-P2_a*P2_w2^2*SIN(RADIANS($A446))+P2_b*E446^2*SIN(RADIANS(B446)))/(P2_b*COS(RADIANS(B446)))</f>
        <v>-1.67472961101659</v>
      </c>
      <c r="H446" s="42" t="n">
        <f aca="false">-P2_a*P2_al2*SIN(RADIANS($A446))-P2_a*P2_w2^2*COS(RADIANS($A446))+P2_b*G446*SIN(RADIANS(B446))+P2_b*E446^2*COS(RADIANS(B446))</f>
        <v>215.043639237321</v>
      </c>
      <c r="I446" s="45" t="n">
        <v>45</v>
      </c>
    </row>
    <row r="447" customFormat="false" ht="15" hidden="false" customHeight="false" outlineLevel="0" collapsed="false">
      <c r="A447" s="41" t="n">
        <v>220.5</v>
      </c>
      <c r="B447" s="42" t="n">
        <f aca="false">180-DEGREES(ASIN((P2_a*SIN(RADIANS($A447))-P2_c)/P2_b))</f>
        <v>181.185361345184</v>
      </c>
      <c r="C447" s="42" t="n">
        <f aca="false">P2_a*COS(RADIANS($A447))-P2_b*COS(RADIANS(B447))</f>
        <v>105.357543399305</v>
      </c>
      <c r="D447" s="43" t="n">
        <f aca="false">90-DEGREES(ASIN(ABS((P2_a*SIN(RADIANS($A447))-P2_c)/P2_b)))</f>
        <v>88.8146386548157</v>
      </c>
      <c r="E447" s="44" t="n">
        <f aca="false">P2_a*P2_w2*COS(RADIANS($A447))/(P2_b*COS(RADIANS(B447)))</f>
        <v>0.633552267388895</v>
      </c>
      <c r="F447" s="42" t="n">
        <f aca="false">-P2_a*P2_w2*SIN(RADIANS($A447))+P2_b*E447*SIN(RADIANS(B447))</f>
        <v>69.6805130360788</v>
      </c>
      <c r="G447" s="44" t="n">
        <f aca="false">(P2_a*P2_al2*COS(RADIANS($A447))-P2_a*P2_w2^2*SIN(RADIANS($A447))+P2_b*E447^2*SIN(RADIANS(B447)))/(P2_b*COS(RADIANS(B447)))</f>
        <v>-1.69162542883476</v>
      </c>
      <c r="H447" s="42" t="n">
        <f aca="false">-P2_a*P2_al2*SIN(RADIANS($A447))-P2_a*P2_w2^2*COS(RADIANS($A447))+P2_b*G447*SIN(RADIANS(B447))+P2_b*E447^2*COS(RADIANS(B447))</f>
        <v>214.31906242748</v>
      </c>
      <c r="I447" s="45" t="n">
        <v>45</v>
      </c>
    </row>
    <row r="448" customFormat="false" ht="15" hidden="false" customHeight="false" outlineLevel="0" collapsed="false">
      <c r="A448" s="41" t="n">
        <v>221</v>
      </c>
      <c r="B448" s="42" t="n">
        <f aca="false">180-DEGREES(ASIN((P2_a*SIN(RADIANS($A448))-P2_c)/P2_b))</f>
        <v>181.28581914934</v>
      </c>
      <c r="C448" s="42" t="n">
        <f aca="false">P2_a*COS(RADIANS($A448))-P2_b*COS(RADIANS(B448))</f>
        <v>105.551926283616</v>
      </c>
      <c r="D448" s="43" t="n">
        <f aca="false">90-DEGREES(ASIN(ABS((P2_a*SIN(RADIANS($A448))-P2_c)/P2_b)))</f>
        <v>88.7141808506602</v>
      </c>
      <c r="E448" s="44" t="n">
        <f aca="false">P2_a*P2_w2*COS(RADIANS($A448))/(P2_b*COS(RADIANS(B448)))</f>
        <v>0.628829953452153</v>
      </c>
      <c r="F448" s="42" t="n">
        <f aca="false">-P2_a*P2_w2*SIN(RADIANS($A448))+P2_b*E448*SIN(RADIANS(B448))</f>
        <v>70.2748220687983</v>
      </c>
      <c r="G448" s="44" t="n">
        <f aca="false">(P2_a*P2_al2*COS(RADIANS($A448))-P2_a*P2_w2^2*SIN(RADIANS($A448))+P2_b*E448^2*SIN(RADIANS(B448)))/(P2_b*COS(RADIANS(B448)))</f>
        <v>-1.7084243325576</v>
      </c>
      <c r="H448" s="42" t="n">
        <f aca="false">-P2_a*P2_al2*SIN(RADIANS($A448))-P2_a*P2_w2^2*COS(RADIANS($A448))+P2_b*G448*SIN(RADIANS(B448))+P2_b*E448^2*COS(RADIANS(B448))</f>
        <v>213.581205262505</v>
      </c>
      <c r="I448" s="45" t="n">
        <v>45</v>
      </c>
    </row>
    <row r="449" customFormat="false" ht="15" hidden="false" customHeight="false" outlineLevel="0" collapsed="false">
      <c r="A449" s="41" t="n">
        <v>221.5</v>
      </c>
      <c r="B449" s="42" t="n">
        <f aca="false">180-DEGREES(ASIN((P2_a*SIN(RADIANS($A449))-P2_c)/P2_b))</f>
        <v>181.385521667738</v>
      </c>
      <c r="C449" s="42" t="n">
        <f aca="false">P2_a*COS(RADIANS($A449))-P2_b*COS(RADIANS(B449))</f>
        <v>105.74795716234</v>
      </c>
      <c r="D449" s="43" t="n">
        <f aca="false">90-DEGREES(ASIN(ABS((P2_a*SIN(RADIANS($A449))-P2_c)/P2_b)))</f>
        <v>88.6144783322625</v>
      </c>
      <c r="E449" s="44" t="n">
        <f aca="false">P2_a*P2_w2*COS(RADIANS($A449))/(P2_b*COS(RADIANS(B449)))</f>
        <v>0.624061112177755</v>
      </c>
      <c r="F449" s="42" t="n">
        <f aca="false">-P2_a*P2_w2*SIN(RADIANS($A449))+P2_b*E449*SIN(RADIANS(B449))</f>
        <v>70.8670627409831</v>
      </c>
      <c r="G449" s="44" t="n">
        <f aca="false">(P2_a*P2_al2*COS(RADIANS($A449))-P2_a*P2_w2^2*SIN(RADIANS($A449))+P2_b*E449^2*SIN(RADIANS(B449)))/(P2_b*COS(RADIANS(B449)))</f>
        <v>-1.72512486850472</v>
      </c>
      <c r="H449" s="42" t="n">
        <f aca="false">-P2_a*P2_al2*SIN(RADIANS($A449))-P2_a*P2_w2^2*COS(RADIANS($A449))+P2_b*G449*SIN(RADIANS(B449))+P2_b*E449^2*COS(RADIANS(B449))</f>
        <v>212.829797799208</v>
      </c>
      <c r="I449" s="45" t="n">
        <v>45</v>
      </c>
    </row>
    <row r="450" customFormat="false" ht="15" hidden="false" customHeight="false" outlineLevel="0" collapsed="false">
      <c r="A450" s="41" t="n">
        <v>222</v>
      </c>
      <c r="B450" s="42" t="n">
        <f aca="false">180-DEGREES(ASIN((P2_a*SIN(RADIANS($A450))-P2_c)/P2_b))</f>
        <v>181.484461517174</v>
      </c>
      <c r="C450" s="42" t="n">
        <f aca="false">P2_a*COS(RADIANS($A450))-P2_b*COS(RADIANS(B450))</f>
        <v>105.945630237407</v>
      </c>
      <c r="D450" s="43" t="n">
        <f aca="false">90-DEGREES(ASIN(ABS((P2_a*SIN(RADIANS($A450))-P2_c)/P2_b)))</f>
        <v>88.5155384828264</v>
      </c>
      <c r="E450" s="44" t="n">
        <f aca="false">P2_a*P2_w2*COS(RADIANS($A450))/(P2_b*COS(RADIANS(B450)))</f>
        <v>0.619246018844567</v>
      </c>
      <c r="F450" s="42" t="n">
        <f aca="false">-P2_a*P2_w2*SIN(RADIANS($A450))+P2_b*E450*SIN(RADIANS(B450))</f>
        <v>71.4571970372918</v>
      </c>
      <c r="G450" s="44" t="n">
        <f aca="false">(P2_a*P2_al2*COS(RADIANS($A450))-P2_a*P2_w2^2*SIN(RADIANS($A450))+P2_b*E450^2*SIN(RADIANS(B450)))/(P2_b*COS(RADIANS(B450)))</f>
        <v>-1.74172556916536</v>
      </c>
      <c r="H450" s="42" t="n">
        <f aca="false">-P2_a*P2_al2*SIN(RADIANS($A450))-P2_a*P2_w2^2*COS(RADIANS($A450))+P2_b*G450*SIN(RADIANS(B450))+P2_b*E450^2*COS(RADIANS(B450))</f>
        <v>212.064569496767</v>
      </c>
      <c r="I450" s="45" t="n">
        <v>45</v>
      </c>
    </row>
    <row r="451" customFormat="false" ht="15" hidden="false" customHeight="false" outlineLevel="0" collapsed="false">
      <c r="A451" s="41" t="n">
        <v>222.5</v>
      </c>
      <c r="B451" s="42" t="n">
        <f aca="false">180-DEGREES(ASIN((P2_a*SIN(RADIANS($A451))-P2_c)/P2_b))</f>
        <v>181.582631358582</v>
      </c>
      <c r="C451" s="42" t="n">
        <f aca="false">P2_a*COS(RADIANS($A451))-P2_b*COS(RADIANS(B451))</f>
        <v>106.144939604104</v>
      </c>
      <c r="D451" s="43" t="n">
        <f aca="false">90-DEGREES(ASIN(ABS((P2_a*SIN(RADIANS($A451))-P2_c)/P2_b)))</f>
        <v>88.4173686414183</v>
      </c>
      <c r="E451" s="44" t="n">
        <f aca="false">P2_a*P2_w2*COS(RADIANS($A451))/(P2_b*COS(RADIANS(B451)))</f>
        <v>0.614384952826717</v>
      </c>
      <c r="F451" s="42" t="n">
        <f aca="false">-P2_a*P2_w2*SIN(RADIANS($A451))+P2_b*E451*SIN(RADIANS(B451))</f>
        <v>72.0451861901591</v>
      </c>
      <c r="G451" s="44" t="n">
        <f aca="false">(P2_a*P2_al2*COS(RADIANS($A451))-P2_a*P2_w2^2*SIN(RADIANS($A451))+P2_b*E451^2*SIN(RADIANS(B451)))/(P2_b*COS(RADIANS(B451)))</f>
        <v>-1.75822495351586</v>
      </c>
      <c r="H451" s="42" t="n">
        <f aca="false">-P2_a*P2_al2*SIN(RADIANS($A451))-P2_a*P2_w2^2*COS(RADIANS($A451))+P2_b*G451*SIN(RADIANS(B451))+P2_b*E451^2*COS(RADIANS(B451))</f>
        <v>211.285249310221</v>
      </c>
      <c r="I451" s="45" t="n">
        <v>45</v>
      </c>
    </row>
    <row r="452" customFormat="false" ht="15" hidden="false" customHeight="false" outlineLevel="0" collapsed="false">
      <c r="A452" s="41" t="n">
        <v>223</v>
      </c>
      <c r="B452" s="42" t="n">
        <f aca="false">180-DEGREES(ASIN((P2_a*SIN(RADIANS($A452))-P2_c)/P2_b))</f>
        <v>181.680023897687</v>
      </c>
      <c r="C452" s="42" t="n">
        <f aca="false">P2_a*COS(RADIANS($A452))-P2_b*COS(RADIANS(B452))</f>
        <v>106.345879248983</v>
      </c>
      <c r="D452" s="43" t="n">
        <f aca="false">90-DEGREES(ASIN(ABS((P2_a*SIN(RADIANS($A452))-P2_c)/P2_b)))</f>
        <v>88.3199761023126</v>
      </c>
      <c r="E452" s="44" t="n">
        <f aca="false">P2_a*P2_w2*COS(RADIANS($A452))/(P2_b*COS(RADIANS(B452)))</f>
        <v>0.609478197630671</v>
      </c>
      <c r="F452" s="42" t="n">
        <f aca="false">-P2_a*P2_w2*SIN(RADIANS($A452))+P2_b*E452*SIN(RADIANS(B452))</f>
        <v>72.6309906785268</v>
      </c>
      <c r="G452" s="44" t="n">
        <f aca="false">(P2_a*P2_al2*COS(RADIANS($A452))-P2_a*P2_w2^2*SIN(RADIANS($A452))+P2_b*E452^2*SIN(RADIANS(B452)))/(P2_b*COS(RADIANS(B452)))</f>
        <v>-1.77462152735203</v>
      </c>
      <c r="H452" s="42" t="n">
        <f aca="false">-P2_a*P2_al2*SIN(RADIANS($A452))-P2_a*P2_w2^2*COS(RADIANS($A452))+P2_b*G452*SIN(RADIANS(B452))+P2_b*E452^2*COS(RADIANS(B452))</f>
        <v>210.491565785716</v>
      </c>
      <c r="I452" s="45" t="n">
        <v>45</v>
      </c>
    </row>
    <row r="453" customFormat="false" ht="15" hidden="false" customHeight="false" outlineLevel="0" collapsed="false">
      <c r="A453" s="41" t="n">
        <v>223.5</v>
      </c>
      <c r="B453" s="42" t="n">
        <f aca="false">180-DEGREES(ASIN((P2_a*SIN(RADIANS($A453))-P2_c)/P2_b))</f>
        <v>181.776631885669</v>
      </c>
      <c r="C453" s="42" t="n">
        <f aca="false">P2_a*COS(RADIANS($A453))-P2_b*COS(RADIANS(B453))</f>
        <v>106.548443047768</v>
      </c>
      <c r="D453" s="43" t="n">
        <f aca="false">90-DEGREES(ASIN(ABS((P2_a*SIN(RADIANS($A453))-P2_c)/P2_b)))</f>
        <v>88.223368114331</v>
      </c>
      <c r="E453" s="44" t="n">
        <f aca="false">P2_a*P2_w2*COS(RADIANS($A453))/(P2_b*COS(RADIANS(B453)))</f>
        <v>0.604526040931368</v>
      </c>
      <c r="F453" s="42" t="n">
        <f aca="false">-P2_a*P2_w2*SIN(RADIANS($A453))+P2_b*E453*SIN(RADIANS(B453))</f>
        <v>73.2145702268422</v>
      </c>
      <c r="G453" s="44" t="n">
        <f aca="false">(P2_a*P2_al2*COS(RADIANS($A453))-P2_a*P2_w2^2*SIN(RADIANS($A453))+P2_b*E453^2*SIN(RADIANS(B453)))/(P2_b*COS(RADIANS(B453)))</f>
        <v>-1.7909137836364</v>
      </c>
      <c r="H453" s="42" t="n">
        <f aca="false">-P2_a*P2_al2*SIN(RADIANS($A453))-P2_a*P2_w2^2*COS(RADIANS($A453))+P2_b*G453*SIN(RADIANS(B453))+P2_b*E453^2*COS(RADIANS(B453))</f>
        <v>209.683247157491</v>
      </c>
      <c r="I453" s="45" t="n">
        <v>45</v>
      </c>
    </row>
    <row r="454" customFormat="false" ht="15" hidden="false" customHeight="false" outlineLevel="0" collapsed="false">
      <c r="A454" s="41" t="n">
        <v>224</v>
      </c>
      <c r="B454" s="42" t="n">
        <f aca="false">180-DEGREES(ASIN((P2_a*SIN(RADIANS($A454))-P2_c)/P2_b))</f>
        <v>181.872448119824</v>
      </c>
      <c r="C454" s="42" t="n">
        <f aca="false">P2_a*COS(RADIANS($A454))-P2_b*COS(RADIANS(B454))</f>
        <v>106.752624763256</v>
      </c>
      <c r="D454" s="43" t="n">
        <f aca="false">90-DEGREES(ASIN(ABS((P2_a*SIN(RADIANS($A454))-P2_c)/P2_b)))</f>
        <v>88.127551880176</v>
      </c>
      <c r="E454" s="44" t="n">
        <f aca="false">P2_a*P2_w2*COS(RADIANS($A454))/(P2_b*COS(RADIANS(B454)))</f>
        <v>0.599528774607373</v>
      </c>
      <c r="F454" s="42" t="n">
        <f aca="false">-P2_a*P2_w2*SIN(RADIANS($A454))+P2_b*E454*SIN(RADIANS(B454))</f>
        <v>73.7958838043287</v>
      </c>
      <c r="G454" s="44" t="n">
        <f aca="false">(P2_a*P2_al2*COS(RADIANS($A454))-P2_a*P2_w2^2*SIN(RADIANS($A454))+P2_b*E454^2*SIN(RADIANS(B454)))/(P2_b*COS(RADIANS(B454)))</f>
        <v>-1.80710020286042</v>
      </c>
      <c r="H454" s="42" t="n">
        <f aca="false">-P2_a*P2_al2*SIN(RADIANS($A454))-P2_a*P2_w2^2*COS(RADIANS($A454))+P2_b*G454*SIN(RADIANS(B454))+P2_b*E454^2*COS(RADIANS(B454))</f>
        <v>208.860021446601</v>
      </c>
      <c r="I454" s="45" t="n">
        <v>45</v>
      </c>
    </row>
    <row r="455" customFormat="false" ht="15" hidden="false" customHeight="false" outlineLevel="0" collapsed="false">
      <c r="A455" s="41" t="n">
        <v>224.5</v>
      </c>
      <c r="B455" s="42" t="n">
        <f aca="false">180-DEGREES(ASIN((P2_a*SIN(RADIANS($A455))-P2_c)/P2_b))</f>
        <v>181.96746544424</v>
      </c>
      <c r="C455" s="42" t="n">
        <f aca="false">P2_a*COS(RADIANS($A455))-P2_b*COS(RADIANS(B455))</f>
        <v>106.958418043225</v>
      </c>
      <c r="D455" s="43" t="n">
        <f aca="false">90-DEGREES(ASIN(ABS((P2_a*SIN(RADIANS($A455))-P2_c)/P2_b)))</f>
        <v>88.0325345557598</v>
      </c>
      <c r="E455" s="44" t="n">
        <f aca="false">P2_a*P2_w2*COS(RADIANS($A455))/(P2_b*COS(RADIANS(B455)))</f>
        <v>0.594486694774989</v>
      </c>
      <c r="F455" s="42" t="n">
        <f aca="false">-P2_a*P2_w2*SIN(RADIANS($A455))+P2_b*E455*SIN(RADIANS(B455))</f>
        <v>74.3748896245325</v>
      </c>
      <c r="G455" s="44" t="n">
        <f aca="false">(P2_a*P2_al2*COS(RADIANS($A455))-P2_a*P2_w2^2*SIN(RADIANS($A455))+P2_b*E455^2*SIN(RADIANS(B455)))/(P2_b*COS(RADIANS(B455)))</f>
        <v>-1.82317925342145</v>
      </c>
      <c r="H455" s="42" t="n">
        <f aca="false">-P2_a*P2_al2*SIN(RADIANS($A455))-P2_a*P2_w2^2*COS(RADIANS($A455))+P2_b*G455*SIN(RADIANS(B455))+P2_b*E455^2*COS(RADIANS(B455))</f>
        <v>208.021616561374</v>
      </c>
      <c r="I455" s="45" t="n">
        <v>45</v>
      </c>
    </row>
    <row r="456" customFormat="false" ht="15" hidden="false" customHeight="false" outlineLevel="0" collapsed="false">
      <c r="A456" s="41" t="n">
        <v>225</v>
      </c>
      <c r="B456" s="42" t="n">
        <f aca="false">180-DEGREES(ASIN((P2_a*SIN(RADIANS($A456))-P2_c)/P2_b))</f>
        <v>182.061676750474</v>
      </c>
      <c r="C456" s="42" t="n">
        <f aca="false">P2_a*COS(RADIANS($A456))-P2_b*COS(RADIANS(B456))</f>
        <v>107.165816418324</v>
      </c>
      <c r="D456" s="43" t="n">
        <f aca="false">90-DEGREES(ASIN(ABS((P2_a*SIN(RADIANS($A456))-P2_c)/P2_b)))</f>
        <v>87.9383232495265</v>
      </c>
      <c r="E456" s="44" t="n">
        <f aca="false">P2_a*P2_w2*COS(RADIANS($A456))/(P2_b*COS(RADIANS(B456)))</f>
        <v>0.58940010182132</v>
      </c>
      <c r="F456" s="42" t="n">
        <f aca="false">-P2_a*P2_w2*SIN(RADIANS($A456))+P2_b*E456*SIN(RADIANS(B456))</f>
        <v>74.9515451451514</v>
      </c>
      <c r="G456" s="44" t="n">
        <f aca="false">(P2_a*P2_al2*COS(RADIANS($A456))-P2_a*P2_w2^2*SIN(RADIANS($A456))+P2_b*E456^2*SIN(RADIANS(B456)))/(P2_b*COS(RADIANS(B456)))</f>
        <v>-1.83914939201444</v>
      </c>
      <c r="H456" s="42" t="n">
        <f aca="false">-P2_a*P2_al2*SIN(RADIANS($A456))-P2_a*P2_w2^2*COS(RADIANS($A456))+P2_b*G456*SIN(RADIANS(B456))+P2_b*E456^2*COS(RADIANS(B456))</f>
        <v>207.167760399582</v>
      </c>
      <c r="I456" s="45" t="n">
        <v>45</v>
      </c>
    </row>
    <row r="457" customFormat="false" ht="15" hidden="false" customHeight="false" outlineLevel="0" collapsed="false">
      <c r="A457" s="41" t="n">
        <v>225.5</v>
      </c>
      <c r="B457" s="42" t="n">
        <f aca="false">180-DEGREES(ASIN((P2_a*SIN(RADIANS($A457))-P2_c)/P2_b))</f>
        <v>182.15507497823</v>
      </c>
      <c r="C457" s="42" t="n">
        <f aca="false">P2_a*COS(RADIANS($A457))-P2_b*COS(RADIANS(B457))</f>
        <v>107.374813299983</v>
      </c>
      <c r="D457" s="43" t="n">
        <f aca="false">90-DEGREES(ASIN(ABS((P2_a*SIN(RADIANS($A457))-P2_c)/P2_b)))</f>
        <v>87.8449250217701</v>
      </c>
      <c r="E457" s="44" t="n">
        <f aca="false">P2_a*P2_w2*COS(RADIANS($A457))/(P2_b*COS(RADIANS(B457)))</f>
        <v>0.584269300436212</v>
      </c>
      <c r="F457" s="42" t="n">
        <f aca="false">-P2_a*P2_w2*SIN(RADIANS($A457))+P2_b*E457*SIN(RADIANS(B457))</f>
        <v>75.5258070681486</v>
      </c>
      <c r="G457" s="44" t="n">
        <f aca="false">(P2_a*P2_al2*COS(RADIANS($A457))-P2_a*P2_w2^2*SIN(RADIANS($A457))+P2_b*E457^2*SIN(RADIANS(B457)))/(P2_b*COS(RADIANS(B457)))</f>
        <v>-1.85500906403833</v>
      </c>
      <c r="H457" s="42" t="n">
        <f aca="false">-P2_a*P2_al2*SIN(RADIANS($A457))-P2_a*P2_w2^2*COS(RADIANS($A457))+P2_b*G457*SIN(RADIANS(B457))+P2_b*E457^2*COS(RADIANS(B457))</f>
        <v>206.298180952331</v>
      </c>
      <c r="I457" s="45" t="n">
        <v>45</v>
      </c>
    </row>
    <row r="458" customFormat="false" ht="15" hidden="false" customHeight="false" outlineLevel="0" collapsed="false">
      <c r="A458" s="41" t="n">
        <v>226</v>
      </c>
      <c r="B458" s="42" t="n">
        <f aca="false">180-DEGREES(ASIN((P2_a*SIN(RADIANS($A458))-P2_c)/P2_b))</f>
        <v>182.247653116052</v>
      </c>
      <c r="C458" s="42" t="n">
        <f aca="false">P2_a*COS(RADIANS($A458))-P2_b*COS(RADIANS(B458))</f>
        <v>107.585401978308</v>
      </c>
      <c r="D458" s="43" t="n">
        <f aca="false">90-DEGREES(ASIN(ABS((P2_a*SIN(RADIANS($A458))-P2_c)/P2_b)))</f>
        <v>87.7523468839476</v>
      </c>
      <c r="E458" s="44" t="n">
        <f aca="false">P2_a*P2_w2*COS(RADIANS($A458))/(P2_b*COS(RADIANS(B458)))</f>
        <v>0.579094599643049</v>
      </c>
      <c r="F458" s="42" t="n">
        <f aca="false">-P2_a*P2_w2*SIN(RADIANS($A458))+P2_b*E458*SIN(RADIANS(B458))</f>
        <v>76.0976313401591</v>
      </c>
      <c r="G458" s="44" t="n">
        <f aca="false">(P2_a*P2_al2*COS(RADIANS($A458))-P2_a*P2_w2^2*SIN(RADIANS($A458))+P2_b*E458^2*SIN(RADIANS(B458)))/(P2_b*COS(RADIANS(B458)))</f>
        <v>-1.87075670401697</v>
      </c>
      <c r="H458" s="42" t="n">
        <f aca="false">-P2_a*P2_al2*SIN(RADIANS($A458))-P2_a*P2_w2^2*COS(RADIANS($A458))+P2_b*G458*SIN(RADIANS(B458))+P2_b*E458^2*COS(RADIANS(B458))</f>
        <v>205.412606409634</v>
      </c>
      <c r="I458" s="45" t="n">
        <v>45</v>
      </c>
    </row>
    <row r="459" customFormat="false" ht="15" hidden="false" customHeight="false" outlineLevel="0" collapsed="false">
      <c r="A459" s="41" t="n">
        <v>226.5</v>
      </c>
      <c r="B459" s="42" t="n">
        <f aca="false">180-DEGREES(ASIN((P2_a*SIN(RADIANS($A459))-P2_c)/P2_b))</f>
        <v>182.339404202014</v>
      </c>
      <c r="C459" s="42" t="n">
        <f aca="false">P2_a*COS(RADIANS($A459))-P2_b*COS(RADIANS(B459))</f>
        <v>107.797575619989</v>
      </c>
      <c r="D459" s="43" t="n">
        <f aca="false">90-DEGREES(ASIN(ABS((P2_a*SIN(RADIANS($A459))-P2_c)/P2_b)))</f>
        <v>87.6605957979861</v>
      </c>
      <c r="E459" s="44" t="n">
        <f aca="false">P2_a*P2_w2*COS(RADIANS($A459))/(P2_b*COS(RADIANS(B459)))</f>
        <v>0.573876312828366</v>
      </c>
      <c r="F459" s="42" t="n">
        <f aca="false">-P2_a*P2_w2*SIN(RADIANS($A459))+P2_b*E459*SIN(RADIANS(B459))</f>
        <v>76.66697315319</v>
      </c>
      <c r="G459" s="44" t="n">
        <f aca="false">(P2_a*P2_al2*COS(RADIANS($A459))-P2_a*P2_w2^2*SIN(RADIANS($A459))+P2_b*E459^2*SIN(RADIANS(B459)))/(P2_b*COS(RADIANS(B459)))</f>
        <v>-1.88639073603451</v>
      </c>
      <c r="H459" s="42" t="n">
        <f aca="false">-P2_a*P2_al2*SIN(RADIANS($A459))-P2_a*P2_w2^2*COS(RADIANS($A459))+P2_b*G459*SIN(RADIANS(B459))+P2_b*E459^2*COS(RADIANS(B459))</f>
        <v>204.51076526768</v>
      </c>
      <c r="I459" s="45" t="n">
        <v>45</v>
      </c>
    </row>
    <row r="460" customFormat="false" ht="15" hidden="false" customHeight="false" outlineLevel="0" collapsed="false">
      <c r="A460" s="41" t="n">
        <v>227</v>
      </c>
      <c r="B460" s="42" t="n">
        <f aca="false">180-DEGREES(ASIN((P2_a*SIN(RADIANS($A460))-P2_c)/P2_b))</f>
        <v>182.430321324413</v>
      </c>
      <c r="C460" s="42" t="n">
        <f aca="false">P2_a*COS(RADIANS($A460))-P2_b*COS(RADIANS(B460))</f>
        <v>108.0113272662</v>
      </c>
      <c r="D460" s="43" t="n">
        <f aca="false">90-DEGREES(ASIN(ABS((P2_a*SIN(RADIANS($A460))-P2_c)/P2_b)))</f>
        <v>87.569678675587</v>
      </c>
      <c r="E460" s="44" t="n">
        <f aca="false">P2_a*P2_w2*COS(RADIANS($A460))/(P2_b*COS(RADIANS(B460)))</f>
        <v>0.568614757770218</v>
      </c>
      <c r="F460" s="42" t="n">
        <f aca="false">-P2_a*P2_w2*SIN(RADIANS($A460))+P2_b*E460*SIN(RADIANS(B460))</f>
        <v>77.2337869456226</v>
      </c>
      <c r="G460" s="44" t="n">
        <f aca="false">(P2_a*P2_al2*COS(RADIANS($A460))-P2_a*P2_w2^2*SIN(RADIANS($A460))+P2_b*E460^2*SIN(RADIANS(B460)))/(P2_b*COS(RADIANS(B460)))</f>
        <v>-1.9019095741851</v>
      </c>
      <c r="H460" s="42" t="n">
        <f aca="false">-P2_a*P2_al2*SIN(RADIANS($A460))-P2_a*P2_w2^2*COS(RADIANS($A460))+P2_b*G460*SIN(RADIANS(B460))+P2_b*E460^2*COS(RADIANS(B460))</f>
        <v>203.592386437741</v>
      </c>
      <c r="I460" s="45" t="n">
        <v>45</v>
      </c>
    </row>
    <row r="461" customFormat="false" ht="15" hidden="false" customHeight="false" outlineLevel="0" collapsed="false">
      <c r="A461" s="41" t="n">
        <v>227.5</v>
      </c>
      <c r="B461" s="42" t="n">
        <f aca="false">180-DEGREES(ASIN((P2_a*SIN(RADIANS($A461))-P2_c)/P2_b))</f>
        <v>182.520397622476</v>
      </c>
      <c r="C461" s="42" t="n">
        <f aca="false">P2_a*COS(RADIANS($A461))-P2_b*COS(RADIANS(B461))</f>
        <v>108.226649830512</v>
      </c>
      <c r="D461" s="43" t="n">
        <f aca="false">90-DEGREES(ASIN(ABS((P2_a*SIN(RADIANS($A461))-P2_c)/P2_b)))</f>
        <v>87.4796023775243</v>
      </c>
      <c r="E461" s="44" t="n">
        <f aca="false">P2_a*P2_w2*COS(RADIANS($A461))/(P2_b*COS(RADIANS(B461)))</f>
        <v>0.563310256665297</v>
      </c>
      <c r="F461" s="42" t="n">
        <f aca="false">-P2_a*P2_w2*SIN(RADIANS($A461))+P2_b*E461*SIN(RADIANS(B461))</f>
        <v>77.798026403518</v>
      </c>
      <c r="G461" s="44" t="n">
        <f aca="false">(P2_a*P2_al2*COS(RADIANS($A461))-P2_a*P2_w2^2*SIN(RADIANS($A461))+P2_b*E461^2*SIN(RADIANS(B461)))/(P2_b*COS(RADIANS(B461)))</f>
        <v>-1.91731162303677</v>
      </c>
      <c r="H461" s="42" t="n">
        <f aca="false">-P2_a*P2_al2*SIN(RADIANS($A461))-P2_a*P2_w2^2*COS(RADIANS($A461))+P2_b*G461*SIN(RADIANS(B461))+P2_b*E461^2*COS(RADIANS(B461))</f>
        <v>202.657199356747</v>
      </c>
      <c r="I461" s="45" t="n">
        <v>45</v>
      </c>
    </row>
    <row r="462" customFormat="false" ht="15" hidden="false" customHeight="false" outlineLevel="0" collapsed="false">
      <c r="A462" s="41" t="n">
        <v>228</v>
      </c>
      <c r="B462" s="42" t="n">
        <f aca="false">180-DEGREES(ASIN((P2_a*SIN(RADIANS($A462))-P2_c)/P2_b))</f>
        <v>182.609626287061</v>
      </c>
      <c r="C462" s="42" t="n">
        <f aca="false">P2_a*COS(RADIANS($A462))-P2_b*COS(RADIANS(B462))</f>
        <v>108.443536096799</v>
      </c>
      <c r="D462" s="43" t="n">
        <f aca="false">90-DEGREES(ASIN(ABS((P2_a*SIN(RADIANS($A462))-P2_c)/P2_b)))</f>
        <v>87.3903737129393</v>
      </c>
      <c r="E462" s="44" t="n">
        <f aca="false">P2_a*P2_w2*COS(RADIANS($A462))/(P2_b*COS(RADIANS(B462)))</f>
        <v>0.55796313615473</v>
      </c>
      <c r="F462" s="42" t="n">
        <f aca="false">-P2_a*P2_w2*SIN(RADIANS($A462))+P2_b*E462*SIN(RADIANS(B462))</f>
        <v>78.3596444622329</v>
      </c>
      <c r="G462" s="44" t="n">
        <f aca="false">(P2_a*P2_al2*COS(RADIANS($A462))-P2_a*P2_w2^2*SIN(RADIANS($A462))+P2_b*E462^2*SIN(RADIANS(B462)))/(P2_b*COS(RADIANS(B462)))</f>
        <v>-1.93259527810937</v>
      </c>
      <c r="H462" s="42" t="n">
        <f aca="false">-P2_a*P2_al2*SIN(RADIANS($A462))-P2_a*P2_w2^2*COS(RADIANS($A462))+P2_b*G462*SIN(RADIANS(B462))+P2_b*E462^2*COS(RADIANS(B462))</f>
        <v>201.704934099456</v>
      </c>
      <c r="I462" s="45" t="n">
        <v>45</v>
      </c>
    </row>
    <row r="463" customFormat="false" ht="15" hidden="false" customHeight="false" outlineLevel="0" collapsed="false">
      <c r="A463" s="41" t="n">
        <v>228.5</v>
      </c>
      <c r="B463" s="42" t="n">
        <f aca="false">180-DEGREES(ASIN((P2_a*SIN(RADIANS($A463))-P2_c)/P2_b))</f>
        <v>182.698000561368</v>
      </c>
      <c r="C463" s="42" t="n">
        <f aca="false">P2_a*COS(RADIANS($A463))-P2_b*COS(RADIANS(B463))</f>
        <v>108.661978717165</v>
      </c>
      <c r="D463" s="43" t="n">
        <f aca="false">90-DEGREES(ASIN(ABS((P2_a*SIN(RADIANS($A463))-P2_c)/P2_b)))</f>
        <v>87.3019994386318</v>
      </c>
      <c r="E463" s="44" t="n">
        <f aca="false">P2_a*P2_w2*COS(RADIANS($A463))/(P2_b*COS(RADIANS(B463)))</f>
        <v>0.55257372734853</v>
      </c>
      <c r="F463" s="42" t="n">
        <f aca="false">-P2_a*P2_w2*SIN(RADIANS($A463))+P2_b*E463*SIN(RADIANS(B463))</f>
        <v>78.9185933083493</v>
      </c>
      <c r="G463" s="44" t="n">
        <f aca="false">(P2_a*P2_al2*COS(RADIANS($A463))-P2_a*P2_w2^2*SIN(RADIANS($A463))+P2_b*E463^2*SIN(RADIANS(B463)))/(P2_b*COS(RADIANS(B463)))</f>
        <v>-1.94775892636642</v>
      </c>
      <c r="H463" s="42" t="n">
        <f aca="false">-P2_a*P2_al2*SIN(RADIANS($A463))-P2_a*P2_w2^2*COS(RADIANS($A463))+P2_b*G463*SIN(RADIANS(B463))+P2_b*E463^2*COS(RADIANS(B463))</f>
        <v>200.735321492225</v>
      </c>
      <c r="I463" s="45" t="n">
        <v>45</v>
      </c>
    </row>
    <row r="464" customFormat="false" ht="15" hidden="false" customHeight="false" outlineLevel="0" collapsed="false">
      <c r="A464" s="41" t="n">
        <v>229</v>
      </c>
      <c r="B464" s="42" t="n">
        <f aca="false">180-DEGREES(ASIN((P2_a*SIN(RADIANS($A464))-P2_c)/P2_b))</f>
        <v>182.785513741654</v>
      </c>
      <c r="C464" s="42" t="n">
        <f aca="false">P2_a*COS(RADIANS($A464))-P2_b*COS(RADIANS(B464))</f>
        <v>108.881970209857</v>
      </c>
      <c r="D464" s="43" t="n">
        <f aca="false">90-DEGREES(ASIN(ABS((P2_a*SIN(RADIANS($A464))-P2_c)/P2_b)))</f>
        <v>87.2144862583464</v>
      </c>
      <c r="E464" s="44" t="n">
        <f aca="false">P2_a*P2_w2*COS(RADIANS($A464))/(P2_b*COS(RADIANS(B464)))</f>
        <v>0.547142365848668</v>
      </c>
      <c r="F464" s="42" t="n">
        <f aca="false">-P2_a*P2_w2*SIN(RADIANS($A464))+P2_b*E464*SIN(RADIANS(B464))</f>
        <v>79.4748243819217</v>
      </c>
      <c r="G464" s="44" t="n">
        <f aca="false">(P2_a*P2_al2*COS(RADIANS($A464))-P2_a*P2_w2^2*SIN(RADIANS($A464))+P2_b*E464^2*SIN(RADIANS(B464)))/(P2_b*COS(RADIANS(B464)))</f>
        <v>-1.96280094672057</v>
      </c>
      <c r="H464" s="42" t="n">
        <f aca="false">-P2_a*P2_al2*SIN(RADIANS($A464))-P2_a*P2_w2^2*COS(RADIANS($A464))+P2_b*G464*SIN(RADIANS(B464))+P2_b*E464^2*COS(RADIANS(B464))</f>
        <v>199.748093228355</v>
      </c>
      <c r="I464" s="45" t="n">
        <v>45</v>
      </c>
    </row>
    <row r="465" customFormat="false" ht="15" hidden="false" customHeight="false" outlineLevel="0" collapsed="false">
      <c r="A465" s="41" t="n">
        <v>229.5</v>
      </c>
      <c r="B465" s="42" t="n">
        <f aca="false">180-DEGREES(ASIN((P2_a*SIN(RADIANS($A465))-P2_c)/P2_b))</f>
        <v>182.872159177944</v>
      </c>
      <c r="C465" s="42" t="n">
        <f aca="false">P2_a*COS(RADIANS($A465))-P2_b*COS(RADIANS(B465))</f>
        <v>109.103502957202</v>
      </c>
      <c r="D465" s="43" t="n">
        <f aca="false">90-DEGREES(ASIN(ABS((P2_a*SIN(RADIANS($A465))-P2_c)/P2_b)))</f>
        <v>87.127840822056</v>
      </c>
      <c r="E465" s="44" t="n">
        <f aca="false">P2_a*P2_w2*COS(RADIANS($A465))/(P2_b*COS(RADIANS(B465)))</f>
        <v>0.54166939177072</v>
      </c>
      <c r="F465" s="42" t="n">
        <f aca="false">-P2_a*P2_w2*SIN(RADIANS($A465))+P2_b*E465*SIN(RADIANS(B465))</f>
        <v>80.0282883790473</v>
      </c>
      <c r="G465" s="44" t="n">
        <f aca="false">(P2_a*P2_al2*COS(RADIANS($A465))-P2_a*P2_w2^2*SIN(RADIANS($A465))+P2_b*E465^2*SIN(RADIANS(B465)))/(P2_b*COS(RADIANS(B465)))</f>
        <v>-1.97771971055263</v>
      </c>
      <c r="H465" s="42" t="n">
        <f aca="false">-P2_a*P2_al2*SIN(RADIANS($A465))-P2_a*P2_w2^2*COS(RADIANS($A465))+P2_b*G465*SIN(RADIANS(B465))+P2_b*E465^2*COS(RADIANS(B465))</f>
        <v>198.742981984955</v>
      </c>
      <c r="I465" s="45" t="n">
        <v>45</v>
      </c>
    </row>
    <row r="466" customFormat="false" ht="15" hidden="false" customHeight="false" outlineLevel="0" collapsed="false">
      <c r="A466" s="41" t="n">
        <v>230</v>
      </c>
      <c r="B466" s="42" t="n">
        <f aca="false">180-DEGREES(ASIN((P2_a*SIN(RADIANS($A466))-P2_c)/P2_b))</f>
        <v>182.957930274758</v>
      </c>
      <c r="C466" s="42" t="n">
        <f aca="false">P2_a*COS(RADIANS($A466))-P2_b*COS(RADIANS(B466))</f>
        <v>109.32656920354</v>
      </c>
      <c r="D466" s="43" t="n">
        <f aca="false">90-DEGREES(ASIN(ABS((P2_a*SIN(RADIANS($A466))-P2_c)/P2_b)))</f>
        <v>87.0420697252423</v>
      </c>
      <c r="E466" s="44" t="n">
        <f aca="false">P2_a*P2_w2*COS(RADIANS($A466))/(P2_b*COS(RADIANS(B466)))</f>
        <v>0.536155149764048</v>
      </c>
      <c r="F466" s="42" t="n">
        <f aca="false">-P2_a*P2_w2*SIN(RADIANS($A466))+P2_b*E466*SIN(RADIANS(B466))</f>
        <v>80.5789352547632</v>
      </c>
      <c r="G466" s="44" t="n">
        <f aca="false">(P2_a*P2_al2*COS(RADIANS($A466))-P2_a*P2_w2^2*SIN(RADIANS($A466))+P2_b*E466^2*SIN(RADIANS(B466)))/(P2_b*COS(RADIANS(B466)))</f>
        <v>-1.99251358224395</v>
      </c>
      <c r="H466" s="42" t="n">
        <f aca="false">-P2_a*P2_al2*SIN(RADIANS($A466))-P2_a*P2_w2^2*COS(RADIANS($A466))+P2_b*G466*SIN(RADIANS(B466))+P2_b*E466^2*COS(RADIANS(B466))</f>
        <v>197.719721541323</v>
      </c>
      <c r="I466" s="45" t="n">
        <v>45</v>
      </c>
    </row>
    <row r="467" customFormat="false" ht="15" hidden="false" customHeight="false" outlineLevel="0" collapsed="false">
      <c r="A467" s="41" t="n">
        <v>230.5</v>
      </c>
      <c r="B467" s="42" t="n">
        <f aca="false">180-DEGREES(ASIN((P2_a*SIN(RADIANS($A467))-P2_c)/P2_b))</f>
        <v>183.042820491828</v>
      </c>
      <c r="C467" s="42" t="n">
        <f aca="false">P2_a*COS(RADIANS($A467))-P2_b*COS(RADIANS(B467))</f>
        <v>109.551161053173</v>
      </c>
      <c r="D467" s="43" t="n">
        <f aca="false">90-DEGREES(ASIN(ABS((P2_a*SIN(RADIANS($A467))-P2_c)/P2_b)))</f>
        <v>86.9571795081718</v>
      </c>
      <c r="E467" s="44" t="n">
        <f aca="false">P2_a*P2_w2*COS(RADIANS($A467))/(P2_b*COS(RADIANS(B467)))</f>
        <v>0.530599989030492</v>
      </c>
      <c r="F467" s="42" t="n">
        <f aca="false">-P2_a*P2_w2*SIN(RADIANS($A467))+P2_b*E467*SIN(RADIANS(B467))</f>
        <v>81.1267142262735</v>
      </c>
      <c r="G467" s="44" t="n">
        <f aca="false">(P2_a*P2_al2*COS(RADIANS($A467))-P2_a*P2_w2^2*SIN(RADIANS($A467))+P2_b*E467^2*SIN(RADIANS(B467)))/(P2_b*COS(RADIANS(B467)))</f>
        <v>-2.00718091972177</v>
      </c>
      <c r="H467" s="42" t="n">
        <f aca="false">-P2_a*P2_al2*SIN(RADIANS($A467))-P2_a*P2_w2^2*COS(RADIANS($A467))+P2_b*G467*SIN(RADIANS(B467))+P2_b*E467^2*COS(RADIANS(B467))</f>
        <v>196.678046898786</v>
      </c>
      <c r="I467" s="45" t="n">
        <v>45</v>
      </c>
    </row>
    <row r="468" customFormat="false" ht="15" hidden="false" customHeight="false" outlineLevel="0" collapsed="false">
      <c r="A468" s="41" t="n">
        <v>231</v>
      </c>
      <c r="B468" s="42" t="n">
        <f aca="false">180-DEGREES(ASIN((P2_a*SIN(RADIANS($A468))-P2_c)/P2_b))</f>
        <v>183.126823344829</v>
      </c>
      <c r="C468" s="42" t="n">
        <f aca="false">P2_a*COS(RADIANS($A468))-P2_b*COS(RADIANS(B468))</f>
        <v>109.777270468318</v>
      </c>
      <c r="D468" s="43" t="n">
        <f aca="false">90-DEGREES(ASIN(ABS((P2_a*SIN(RADIANS($A468))-P2_c)/P2_b)))</f>
        <v>86.8731766551707</v>
      </c>
      <c r="E468" s="44" t="n">
        <f aca="false">P2_a*P2_w2*COS(RADIANS($A468))/(P2_b*COS(RADIANS(B468)))</f>
        <v>0.525004263341523</v>
      </c>
      <c r="F468" s="42" t="n">
        <f aca="false">-P2_a*P2_w2*SIN(RADIANS($A468))+P2_b*E468*SIN(RADIANS(B468))</f>
        <v>81.6715737765129</v>
      </c>
      <c r="G468" s="44" t="n">
        <f aca="false">(P2_a*P2_al2*COS(RADIANS($A468))-P2_a*P2_w2^2*SIN(RADIANS($A468))+P2_b*E468^2*SIN(RADIANS(B468)))/(P2_b*COS(RADIANS(B468)))</f>
        <v>-2.02172007501756</v>
      </c>
      <c r="H468" s="42" t="n">
        <f aca="false">-P2_a*P2_al2*SIN(RADIANS($A468))-P2_a*P2_w2^2*COS(RADIANS($A468))+P2_b*G468*SIN(RADIANS(B468))+P2_b*E468^2*COS(RADIANS(B468))</f>
        <v>195.617694401983</v>
      </c>
      <c r="I468" s="45" t="n">
        <v>45</v>
      </c>
    </row>
    <row r="469" customFormat="false" ht="15" hidden="false" customHeight="false" outlineLevel="0" collapsed="false">
      <c r="A469" s="41" t="n">
        <v>231.5</v>
      </c>
      <c r="B469" s="42" t="n">
        <f aca="false">180-DEGREES(ASIN((P2_a*SIN(RADIANS($A469))-P2_c)/P2_b))</f>
        <v>183.209932406104</v>
      </c>
      <c r="C469" s="42" t="n">
        <f aca="false">P2_a*COS(RADIANS($A469))-P2_b*COS(RADIANS(B469))</f>
        <v>110.004889267075</v>
      </c>
      <c r="D469" s="43" t="n">
        <f aca="false">90-DEGREES(ASIN(ABS((P2_a*SIN(RADIANS($A469))-P2_c)/P2_b)))</f>
        <v>86.790067593896</v>
      </c>
      <c r="E469" s="44" t="n">
        <f aca="false">P2_a*P2_w2*COS(RADIANS($A469))/(P2_b*COS(RADIANS(B469)))</f>
        <v>0.519368331053836</v>
      </c>
      <c r="F469" s="42" t="n">
        <f aca="false">-P2_a*P2_w2*SIN(RADIANS($A469))+P2_b*E469*SIN(RADIANS(B469))</f>
        <v>82.2134616580469</v>
      </c>
      <c r="G469" s="44" t="n">
        <f aca="false">(P2_a*P2_al2*COS(RADIANS($A469))-P2_a*P2_w2^2*SIN(RADIANS($A469))+P2_b*E469^2*SIN(RADIANS(B469)))/(P2_b*COS(RADIANS(B469)))</f>
        <v>-2.03612939483784</v>
      </c>
      <c r="H469" s="42" t="n">
        <f aca="false">-P2_a*P2_al2*SIN(RADIANS($A469))-P2_a*P2_w2^2*COS(RADIANS($A469))+P2_b*G469*SIN(RADIANS(B469))+P2_b*E469^2*COS(RADIANS(B469))</f>
        <v>194.538401861526</v>
      </c>
      <c r="I469" s="45" t="n">
        <v>45</v>
      </c>
    </row>
    <row r="470" customFormat="false" ht="15" hidden="false" customHeight="false" outlineLevel="0" collapsed="false">
      <c r="A470" s="41" t="n">
        <v>232</v>
      </c>
      <c r="B470" s="42" t="n">
        <f aca="false">180-DEGREES(ASIN((P2_a*SIN(RADIANS($A470))-P2_c)/P2_b))</f>
        <v>183.292141305396</v>
      </c>
      <c r="C470" s="42" t="n">
        <f aca="false">P2_a*COS(RADIANS($A470))-P2_b*COS(RADIANS(B470))</f>
        <v>110.234009121402</v>
      </c>
      <c r="D470" s="43" t="n">
        <f aca="false">90-DEGREES(ASIN(ABS((P2_a*SIN(RADIANS($A470))-P2_c)/P2_b)))</f>
        <v>86.7078586946045</v>
      </c>
      <c r="E470" s="44" t="n">
        <f aca="false">P2_a*P2_w2*COS(RADIANS($A470))/(P2_b*COS(RADIANS(B470)))</f>
        <v>0.513692555123325</v>
      </c>
      <c r="F470" s="42" t="n">
        <f aca="false">-P2_a*P2_w2*SIN(RADIANS($A470))+P2_b*E470*SIN(RADIANS(B470))</f>
        <v>82.7523248973174</v>
      </c>
      <c r="G470" s="44" t="n">
        <f aca="false">(P2_a*P2_al2*COS(RADIANS($A470))-P2_a*P2_w2^2*SIN(RADIANS($A470))+P2_b*E470^2*SIN(RADIANS(B470)))/(P2_b*COS(RADIANS(B470)))</f>
        <v>-2.05040722114742</v>
      </c>
      <c r="H470" s="42" t="n">
        <f aca="false">-P2_a*P2_al2*SIN(RADIANS($A470))-P2_a*P2_w2^2*COS(RADIANS($A470))+P2_b*G470*SIN(RADIANS(B470))+P2_b*E470^2*COS(RADIANS(B470))</f>
        <v>193.439908678022</v>
      </c>
      <c r="I470" s="45" t="n">
        <v>45</v>
      </c>
    </row>
    <row r="471" customFormat="false" ht="15" hidden="false" customHeight="false" outlineLevel="0" collapsed="false">
      <c r="A471" s="41" t="n">
        <v>232.5</v>
      </c>
      <c r="B471" s="42" t="n">
        <f aca="false">180-DEGREES(ASIN((P2_a*SIN(RADIANS($A471))-P2_c)/P2_b))</f>
        <v>183.37344373058</v>
      </c>
      <c r="C471" s="42" t="n">
        <f aca="false">P2_a*COS(RADIANS($A471))-P2_b*COS(RADIANS(B471))</f>
        <v>110.464621555104</v>
      </c>
      <c r="D471" s="43" t="n">
        <f aca="false">90-DEGREES(ASIN(ABS((P2_a*SIN(RADIANS($A471))-P2_c)/P2_b)))</f>
        <v>86.6265562694202</v>
      </c>
      <c r="E471" s="44" t="n">
        <f aca="false">P2_a*P2_w2*COS(RADIANS($A471))/(P2_b*COS(RADIANS(B471)))</f>
        <v>0.507977303117438</v>
      </c>
      <c r="F471" s="42" t="n">
        <f aca="false">-P2_a*P2_w2*SIN(RADIANS($A471))+P2_b*E471*SIN(RADIANS(B471))</f>
        <v>83.2881097992318</v>
      </c>
      <c r="G471" s="44" t="n">
        <f aca="false">(P2_a*P2_al2*COS(RADIANS($A471))-P2_a*P2_w2^2*SIN(RADIANS($A471))+P2_b*E471^2*SIN(RADIANS(B471)))/(P2_b*COS(RADIANS(B471)))</f>
        <v>-2.0645518917647</v>
      </c>
      <c r="H471" s="42" t="n">
        <f aca="false">-P2_a*P2_al2*SIN(RADIANS($A471))-P2_a*P2_w2^2*COS(RADIANS($A471))+P2_b*G471*SIN(RADIANS(B471))+P2_b*E471^2*COS(RADIANS(B471))</f>
        <v>192.321955967398</v>
      </c>
      <c r="I471" s="45" t="n">
        <v>45</v>
      </c>
    </row>
    <row r="472" customFormat="false" ht="15" hidden="false" customHeight="false" outlineLevel="0" collapsed="false">
      <c r="A472" s="41" t="n">
        <v>233</v>
      </c>
      <c r="B472" s="42" t="n">
        <f aca="false">180-DEGREES(ASIN((P2_a*SIN(RADIANS($A472))-P2_c)/P2_b))</f>
        <v>183.453833428401</v>
      </c>
      <c r="C472" s="42" t="n">
        <f aca="false">P2_a*COS(RADIANS($A472))-P2_b*COS(RADIANS(B472))</f>
        <v>110.696717941837</v>
      </c>
      <c r="D472" s="43" t="n">
        <f aca="false">90-DEGREES(ASIN(ABS((P2_a*SIN(RADIANS($A472))-P2_c)/P2_b)))</f>
        <v>86.546166571599</v>
      </c>
      <c r="E472" s="44" t="n">
        <f aca="false">P2_a*P2_w2*COS(RADIANS($A472))/(P2_b*COS(RADIANS(B472)))</f>
        <v>0.50222294722585</v>
      </c>
      <c r="F472" s="42" t="n">
        <f aca="false">-P2_a*P2_w2*SIN(RADIANS($A472))+P2_b*E472*SIN(RADIANS(B472))</f>
        <v>83.8207619521039</v>
      </c>
      <c r="G472" s="44" t="n">
        <f aca="false">(P2_a*P2_al2*COS(RADIANS($A472))-P2_a*P2_w2^2*SIN(RADIANS($A472))+P2_b*E472^2*SIN(RADIANS(B472)))/(P2_b*COS(RADIANS(B472)))</f>
        <v>-2.07856174096873</v>
      </c>
      <c r="H472" s="42" t="n">
        <f aca="false">-P2_a*P2_al2*SIN(RADIANS($A472))-P2_a*P2_w2^2*COS(RADIANS($A472))+P2_b*G472*SIN(RADIANS(B472))+P2_b*E472^2*COS(RADIANS(B472))</f>
        <v>191.184286687484</v>
      </c>
      <c r="I472" s="45" t="n">
        <v>45</v>
      </c>
    </row>
    <row r="473" customFormat="false" ht="15" hidden="false" customHeight="false" outlineLevel="0" collapsed="false">
      <c r="A473" s="41" t="n">
        <v>233.5</v>
      </c>
      <c r="B473" s="42" t="n">
        <f aca="false">180-DEGREES(ASIN((P2_a*SIN(RADIANS($A473))-P2_c)/P2_b))</f>
        <v>183.533304205207</v>
      </c>
      <c r="C473" s="42" t="n">
        <f aca="false">P2_a*COS(RADIANS($A473))-P2_b*COS(RADIANS(B473))</f>
        <v>110.930289503126</v>
      </c>
      <c r="D473" s="43" t="n">
        <f aca="false">90-DEGREES(ASIN(ABS((P2_a*SIN(RADIANS($A473))-P2_c)/P2_b)))</f>
        <v>86.4666957947927</v>
      </c>
      <c r="E473" s="44" t="n">
        <f aca="false">P2_a*P2_w2*COS(RADIANS($A473))/(P2_b*COS(RADIANS(B473)))</f>
        <v>0.496429864269443</v>
      </c>
      <c r="F473" s="42" t="n">
        <f aca="false">-P2_a*P2_w2*SIN(RADIANS($A473))+P2_b*E473*SIN(RADIANS(B473))</f>
        <v>84.3502262329477</v>
      </c>
      <c r="G473" s="44" t="n">
        <f aca="false">(P2_a*P2_al2*COS(RADIANS($A473))-P2_a*P2_w2^2*SIN(RADIANS($A473))+P2_b*E473^2*SIN(RADIANS(B473)))/(P2_b*COS(RADIANS(B473)))</f>
        <v>-2.09243510011774</v>
      </c>
      <c r="H473" s="42" t="n">
        <f aca="false">-P2_a*P2_al2*SIN(RADIANS($A473))-P2_a*P2_w2^2*COS(RADIANS($A473))+P2_b*G473*SIN(RADIANS(B473))+P2_b*E473^2*COS(RADIANS(B473))</f>
        <v>190.026645765807</v>
      </c>
      <c r="I473" s="45" t="n">
        <v>45</v>
      </c>
    </row>
    <row r="474" customFormat="false" ht="15" hidden="false" customHeight="false" outlineLevel="0" collapsed="false">
      <c r="A474" s="41" t="n">
        <v>234</v>
      </c>
      <c r="B474" s="42" t="n">
        <f aca="false">180-DEGREES(ASIN((P2_a*SIN(RADIANS($A474))-P2_c)/P2_b))</f>
        <v>183.611849927689</v>
      </c>
      <c r="C474" s="42" t="n">
        <f aca="false">P2_a*COS(RADIANS($A474))-P2_b*COS(RADIANS(B474))</f>
        <v>111.165327306393</v>
      </c>
      <c r="D474" s="43" t="n">
        <f aca="false">90-DEGREES(ASIN(ABS((P2_a*SIN(RADIANS($A474))-P2_c)/P2_b)))</f>
        <v>86.388150072311</v>
      </c>
      <c r="E474" s="44" t="n">
        <f aca="false">P2_a*P2_w2*COS(RADIANS($A474))/(P2_b*COS(RADIANS(B474)))</f>
        <v>0.490598435707542</v>
      </c>
      <c r="F474" s="42" t="n">
        <f aca="false">-P2_a*P2_w2*SIN(RADIANS($A474))+P2_b*E474*SIN(RADIANS(B474))</f>
        <v>84.876446813127</v>
      </c>
      <c r="G474" s="44" t="n">
        <f aca="false">(P2_a*P2_al2*COS(RADIANS($A474))-P2_a*P2_w2^2*SIN(RADIANS($A474))+P2_b*E474^2*SIN(RADIANS(B474)))/(P2_b*COS(RADIANS(B474)))</f>
        <v>-2.10617029827879</v>
      </c>
      <c r="H474" s="42" t="n">
        <f aca="false">-P2_a*P2_al2*SIN(RADIANS($A474))-P2_a*P2_w2^2*COS(RADIANS($A474))+P2_b*G474*SIN(RADIANS(B474))+P2_b*E474^2*COS(RADIANS(B474))</f>
        <v>188.848780228541</v>
      </c>
      <c r="I474" s="45" t="n">
        <v>45</v>
      </c>
    </row>
    <row r="475" customFormat="false" ht="15" hidden="false" customHeight="false" outlineLevel="0" collapsed="false">
      <c r="A475" s="41" t="n">
        <v>234.5</v>
      </c>
      <c r="B475" s="42" t="n">
        <f aca="false">180-DEGREES(ASIN((P2_a*SIN(RADIANS($A475))-P2_c)/P2_b))</f>
        <v>183.689464523617</v>
      </c>
      <c r="C475" s="42" t="n">
        <f aca="false">P2_a*COS(RADIANS($A475))-P2_b*COS(RADIANS(B475))</f>
        <v>111.401822263008</v>
      </c>
      <c r="D475" s="43" t="n">
        <f aca="false">90-DEGREES(ASIN(ABS((P2_a*SIN(RADIANS($A475))-P2_c)/P2_b)))</f>
        <v>86.310535476383</v>
      </c>
      <c r="E475" s="44" t="n">
        <f aca="false">P2_a*P2_w2*COS(RADIANS($A475))/(P2_b*COS(RADIANS(B475)))</f>
        <v>0.484729047643393</v>
      </c>
      <c r="F475" s="42" t="n">
        <f aca="false">-P2_a*P2_w2*SIN(RADIANS($A475))+P2_b*E475*SIN(RADIANS(B475))</f>
        <v>85.3993671643662</v>
      </c>
      <c r="G475" s="44" t="n">
        <f aca="false">(P2_a*P2_al2*COS(RADIANS($A475))-P2_a*P2_w2^2*SIN(RADIANS($A475))+P2_b*E475^2*SIN(RADIANS(B475)))/(P2_b*COS(RADIANS(B475)))</f>
        <v>-2.11976566286831</v>
      </c>
      <c r="H475" s="42" t="n">
        <f aca="false">-P2_a*P2_al2*SIN(RADIANS($A475))-P2_a*P2_w2^2*COS(RADIANS($A475))+P2_b*G475*SIN(RADIANS(B475))+P2_b*E475^2*COS(RADIANS(B475))</f>
        <v>187.650439330568</v>
      </c>
      <c r="I475" s="45" t="n">
        <v>45</v>
      </c>
    </row>
    <row r="476" customFormat="false" ht="15" hidden="false" customHeight="false" outlineLevel="0" collapsed="false">
      <c r="A476" s="41" t="n">
        <v>235</v>
      </c>
      <c r="B476" s="42" t="n">
        <f aca="false">180-DEGREES(ASIN((P2_a*SIN(RADIANS($A476))-P2_c)/P2_b))</f>
        <v>183.766141982582</v>
      </c>
      <c r="C476" s="42" t="n">
        <f aca="false">P2_a*COS(RADIANS($A476))-P2_b*COS(RADIANS(B476))</f>
        <v>111.639765126355</v>
      </c>
      <c r="D476" s="43" t="n">
        <f aca="false">90-DEGREES(ASIN(ABS((P2_a*SIN(RADIANS($A476))-P2_c)/P2_b)))</f>
        <v>86.233858017418</v>
      </c>
      <c r="E476" s="44" t="n">
        <f aca="false">P2_a*P2_w2*COS(RADIANS($A476))/(P2_b*COS(RADIANS(B476)))</f>
        <v>0.478822090827851</v>
      </c>
      <c r="F476" s="42" t="n">
        <f aca="false">-P2_a*P2_w2*SIN(RADIANS($A476))+P2_b*E476*SIN(RADIANS(B476))</f>
        <v>85.9189300651218</v>
      </c>
      <c r="G476" s="44" t="n">
        <f aca="false">(P2_a*P2_al2*COS(RADIANS($A476))-P2_a*P2_w2^2*SIN(RADIANS($A476))+P2_b*E476^2*SIN(RADIANS(B476)))/(P2_b*COS(RADIANS(B476)))</f>
        <v>-2.13321952030301</v>
      </c>
      <c r="H476" s="42" t="n">
        <f aca="false">-P2_a*P2_al2*SIN(RADIANS($A476))-P2_a*P2_w2^2*COS(RADIANS($A476))+P2_b*G476*SIN(RADIANS(B476))+P2_b*E476^2*COS(RADIANS(B476))</f>
        <v>186.43137468658</v>
      </c>
      <c r="I476" s="45" t="n">
        <v>45</v>
      </c>
    </row>
    <row r="477" customFormat="false" ht="15" hidden="false" customHeight="false" outlineLevel="0" collapsed="false">
      <c r="A477" s="41" t="n">
        <v>235.5</v>
      </c>
      <c r="B477" s="42" t="n">
        <f aca="false">180-DEGREES(ASIN((P2_a*SIN(RADIANS($A477))-P2_c)/P2_b))</f>
        <v>183.841876356735</v>
      </c>
      <c r="C477" s="42" t="n">
        <f aca="false">P2_a*COS(RADIANS($A477))-P2_b*COS(RADIANS(B477))</f>
        <v>111.879146489911</v>
      </c>
      <c r="D477" s="43" t="n">
        <f aca="false">90-DEGREES(ASIN(ABS((P2_a*SIN(RADIANS($A477))-P2_c)/P2_b)))</f>
        <v>86.1581236432651</v>
      </c>
      <c r="E477" s="44" t="n">
        <f aca="false">P2_a*P2_w2*COS(RADIANS($A477))/(P2_b*COS(RADIANS(B477)))</f>
        <v>0.472877960661235</v>
      </c>
      <c r="F477" s="42" t="n">
        <f aca="false">-P2_a*P2_w2*SIN(RADIANS($A477))+P2_b*E477*SIN(RADIANS(B477))</f>
        <v>86.4350776073222</v>
      </c>
      <c r="G477" s="44" t="n">
        <f aca="false">(P2_a*P2_al2*COS(RADIANS($A477))-P2_a*P2_w2^2*SIN(RADIANS($A477))+P2_b*E477^2*SIN(RADIANS(B477)))/(P2_b*COS(RADIANS(B477)))</f>
        <v>-2.14653019666095</v>
      </c>
      <c r="H477" s="42" t="n">
        <f aca="false">-P2_a*P2_al2*SIN(RADIANS($A477))-P2_a*P2_w2^2*COS(RADIANS($A477))+P2_b*G477*SIN(RADIANS(B477))+P2_b*E477^2*COS(RADIANS(B477))</f>
        <v>185.191340403168</v>
      </c>
      <c r="I477" s="45" t="n">
        <v>45</v>
      </c>
    </row>
    <row r="478" customFormat="false" ht="15" hidden="false" customHeight="false" outlineLevel="0" collapsed="false">
      <c r="A478" s="41" t="n">
        <v>236</v>
      </c>
      <c r="B478" s="42" t="n">
        <f aca="false">180-DEGREES(ASIN((P2_a*SIN(RADIANS($A478))-P2_c)/P2_b))</f>
        <v>183.916661761526</v>
      </c>
      <c r="C478" s="42" t="n">
        <f aca="false">P2_a*COS(RADIANS($A478))-P2_b*COS(RADIANS(B478))</f>
        <v>112.119956785355</v>
      </c>
      <c r="D478" s="43" t="n">
        <f aca="false">90-DEGREES(ASIN(ABS((P2_a*SIN(RADIANS($A478))-P2_c)/P2_b)))</f>
        <v>86.0833382384735</v>
      </c>
      <c r="E478" s="44" t="n">
        <f aca="false">P2_a*P2_w2*COS(RADIANS($A478))/(P2_b*COS(RADIANS(B478)))</f>
        <v>0.466897057193346</v>
      </c>
      <c r="F478" s="42" t="n">
        <f aca="false">-P2_a*P2_w2*SIN(RADIANS($A478))+P2_b*E478*SIN(RADIANS(B478))</f>
        <v>86.9477512034729</v>
      </c>
      <c r="G478" s="44" t="n">
        <f aca="false">(P2_a*P2_al2*COS(RADIANS($A478))-P2_a*P2_w2^2*SIN(RADIANS($A478))+P2_b*E478^2*SIN(RADIANS(B478)))/(P2_b*COS(RADIANS(B478)))</f>
        <v>-2.15969601835224</v>
      </c>
      <c r="H478" s="42" t="n">
        <f aca="false">-P2_a*P2_al2*SIN(RADIANS($A478))-P2_a*P2_w2^2*COS(RADIANS($A478))+P2_b*G478*SIN(RADIANS(B478))+P2_b*E478^2*COS(RADIANS(B478))</f>
        <v>183.930093211851</v>
      </c>
      <c r="I478" s="45" t="n">
        <v>45</v>
      </c>
    </row>
    <row r="479" customFormat="false" ht="15" hidden="false" customHeight="false" outlineLevel="0" collapsed="false">
      <c r="A479" s="41" t="n">
        <v>236.5</v>
      </c>
      <c r="B479" s="42" t="n">
        <f aca="false">180-DEGREES(ASIN((P2_a*SIN(RADIANS($A479))-P2_c)/P2_b))</f>
        <v>183.990492376447</v>
      </c>
      <c r="C479" s="42" t="n">
        <f aca="false">P2_a*COS(RADIANS($A479))-P2_b*COS(RADIANS(B479))</f>
        <v>112.362186280686</v>
      </c>
      <c r="D479" s="43" t="n">
        <f aca="false">90-DEGREES(ASIN(ABS((P2_a*SIN(RADIANS($A479))-P2_c)/P2_b)))</f>
        <v>86.0095076235529</v>
      </c>
      <c r="E479" s="44" t="n">
        <f aca="false">P2_a*P2_w2*COS(RADIANS($A479))/(P2_b*COS(RADIANS(B479)))</f>
        <v>0.460879785121594</v>
      </c>
      <c r="F479" s="42" t="n">
        <f aca="false">-P2_a*P2_w2*SIN(RADIANS($A479))+P2_b*E479*SIN(RADIANS(B479))</f>
        <v>87.4568915941343</v>
      </c>
      <c r="G479" s="44" t="n">
        <f aca="false">(P2_a*P2_al2*COS(RADIANS($A479))-P2_a*P2_w2^2*SIN(RADIANS($A479))+P2_b*E479^2*SIN(RADIANS(B479)))/(P2_b*COS(RADIANS(B479)))</f>
        <v>-2.17271531279923</v>
      </c>
      <c r="H479" s="42" t="n">
        <f aca="false">-P2_a*P2_al2*SIN(RADIANS($A479))-P2_a*P2_w2^2*COS(RADIANS($A479))+P2_b*G479*SIN(RADIANS(B479))+P2_b*E479^2*COS(RADIANS(B479))</f>
        <v>182.647392602957</v>
      </c>
      <c r="I479" s="45" t="n">
        <v>45</v>
      </c>
    </row>
    <row r="480" customFormat="false" ht="15" hidden="false" customHeight="false" outlineLevel="0" collapsed="false">
      <c r="A480" s="41" t="n">
        <v>237</v>
      </c>
      <c r="B480" s="42" t="n">
        <f aca="false">180-DEGREES(ASIN((P2_a*SIN(RADIANS($A480))-P2_c)/P2_b))</f>
        <v>184.063362445767</v>
      </c>
      <c r="C480" s="42" t="n">
        <f aca="false">P2_a*COS(RADIANS($A480))-P2_b*COS(RADIANS(B480))</f>
        <v>112.605825078371</v>
      </c>
      <c r="D480" s="43" t="n">
        <f aca="false">90-DEGREES(ASIN(ABS((P2_a*SIN(RADIANS($A480))-P2_c)/P2_b)))</f>
        <v>85.9366375542334</v>
      </c>
      <c r="E480" s="44" t="n">
        <f aca="false">P2_a*P2_w2*COS(RADIANS($A480))/(P2_b*COS(RADIANS(B480)))</f>
        <v>0.454826553787239</v>
      </c>
      <c r="F480" s="42" t="n">
        <f aca="false">-P2_a*P2_w2*SIN(RADIANS($A480))+P2_b*E480*SIN(RADIANS(B480))</f>
        <v>87.962438855772</v>
      </c>
      <c r="G480" s="44" t="n">
        <f aca="false">(P2_a*P2_al2*COS(RADIANS($A480))-P2_a*P2_w2^2*SIN(RADIANS($A480))+P2_b*E480^2*SIN(RADIANS(B480)))/(P2_b*COS(RADIANS(B480)))</f>
        <v>-2.18558640912536</v>
      </c>
      <c r="H480" s="42" t="n">
        <f aca="false">-P2_a*P2_al2*SIN(RADIANS($A480))-P2_a*P2_w2^2*COS(RADIANS($A480))+P2_b*G480*SIN(RADIANS(B480))+P2_b*E480^2*COS(RADIANS(B480))</f>
        <v>181.343000960305</v>
      </c>
      <c r="I480" s="45" t="n">
        <v>45</v>
      </c>
    </row>
    <row r="481" customFormat="false" ht="15" hidden="false" customHeight="false" outlineLevel="0" collapsed="false">
      <c r="A481" s="41" t="n">
        <v>237.5</v>
      </c>
      <c r="B481" s="42" t="n">
        <f aca="false">180-DEGREES(ASIN((P2_a*SIN(RADIANS($A481))-P2_c)/P2_b))</f>
        <v>184.135266279272</v>
      </c>
      <c r="C481" s="42" t="n">
        <f aca="false">P2_a*COS(RADIANS($A481))-P2_b*COS(RADIANS(B481))</f>
        <v>112.850863113508</v>
      </c>
      <c r="D481" s="43" t="n">
        <f aca="false">90-DEGREES(ASIN(ABS((P2_a*SIN(RADIANS($A481))-P2_c)/P2_b)))</f>
        <v>85.8647337207275</v>
      </c>
      <c r="E481" s="44" t="n">
        <f aca="false">P2_a*P2_w2*COS(RADIANS($A481))/(P2_b*COS(RADIANS(B481)))</f>
        <v>0.448737777169696</v>
      </c>
      <c r="F481" s="42" t="n">
        <f aca="false">-P2_a*P2_w2*SIN(RADIANS($A481))+P2_b*E481*SIN(RADIANS(B481))</f>
        <v>88.4643324089818</v>
      </c>
      <c r="G481" s="44" t="n">
        <f aca="false">(P2_a*P2_al2*COS(RADIANS($A481))-P2_a*P2_w2^2*SIN(RADIANS($A481))+P2_b*E481^2*SIN(RADIANS(B481)))/(P2_b*COS(RADIANS(B481)))</f>
        <v>-2.19830763885274</v>
      </c>
      <c r="H481" s="42" t="n">
        <f aca="false">-P2_a*P2_al2*SIN(RADIANS($A481))-P2_a*P2_w2^2*COS(RADIANS($A481))+P2_b*G481*SIN(RADIANS(B481))+P2_b*E481^2*COS(RADIANS(B481))</f>
        <v>180.016683696623</v>
      </c>
      <c r="I481" s="45" t="n">
        <v>45</v>
      </c>
    </row>
    <row r="482" customFormat="false" ht="15" hidden="false" customHeight="false" outlineLevel="0" collapsed="false">
      <c r="A482" s="41" t="n">
        <v>238</v>
      </c>
      <c r="B482" s="42" t="n">
        <f aca="false">180-DEGREES(ASIN((P2_a*SIN(RADIANS($A482))-P2_c)/P2_b))</f>
        <v>184.206198253008</v>
      </c>
      <c r="C482" s="42" t="n">
        <f aca="false">P2_a*COS(RADIANS($A482))-P2_b*COS(RADIANS(B482))</f>
        <v>113.097290152019</v>
      </c>
      <c r="D482" s="43" t="n">
        <f aca="false">90-DEGREES(ASIN(ABS((P2_a*SIN(RADIANS($A482))-P2_c)/P2_b)))</f>
        <v>85.7938017469922</v>
      </c>
      <c r="E482" s="44" t="n">
        <f aca="false">P2_a*P2_w2*COS(RADIANS($A482))/(P2_b*COS(RADIANS(B482)))</f>
        <v>0.442613873878891</v>
      </c>
      <c r="F482" s="42" t="n">
        <f aca="false">-P2_a*P2_w2*SIN(RADIANS($A482))+P2_b*E482*SIN(RADIANS(B482))</f>
        <v>88.9625110270927</v>
      </c>
      <c r="G482" s="44" t="n">
        <f aca="false">(P2_a*P2_al2*COS(RADIANS($A482))-P2_a*P2_w2^2*SIN(RADIANS($A482))+P2_b*E482^2*SIN(RADIANS(B482)))/(P2_b*COS(RADIANS(B482)))</f>
        <v>-2.21087733660764</v>
      </c>
      <c r="H482" s="42" t="n">
        <f aca="false">-P2_a*P2_al2*SIN(RADIANS($A482))-P2_a*P2_w2^2*COS(RADIANS($A482))+P2_b*G482*SIN(RADIANS(B482))+P2_b*E482^2*COS(RADIANS(B482))</f>
        <v>178.668209389617</v>
      </c>
      <c r="I482" s="45" t="n">
        <v>45</v>
      </c>
    </row>
    <row r="483" customFormat="false" ht="15" hidden="false" customHeight="false" outlineLevel="0" collapsed="false">
      <c r="A483" s="41" t="n">
        <v>238.5</v>
      </c>
      <c r="B483" s="42" t="n">
        <f aca="false">180-DEGREES(ASIN((P2_a*SIN(RADIANS($A483))-P2_c)/P2_b))</f>
        <v>184.276152810007</v>
      </c>
      <c r="C483" s="42" t="n">
        <f aca="false">P2_a*COS(RADIANS($A483))-P2_b*COS(RADIANS(B483))</f>
        <v>113.345095788863</v>
      </c>
      <c r="D483" s="43" t="n">
        <f aca="false">90-DEGREES(ASIN(ABS((P2_a*SIN(RADIANS($A483))-P2_c)/P2_b)))</f>
        <v>85.7238471899927</v>
      </c>
      <c r="E483" s="44" t="n">
        <f aca="false">P2_a*P2_w2*COS(RADIANS($A483))/(P2_b*COS(RADIANS(B483)))</f>
        <v>0.436455267145654</v>
      </c>
      <c r="F483" s="42" t="n">
        <f aca="false">-P2_a*P2_w2*SIN(RADIANS($A483))+P2_b*E483*SIN(RADIANS(B483))</f>
        <v>89.4569128451476</v>
      </c>
      <c r="G483" s="44" t="n">
        <f aca="false">(P2_a*P2_al2*COS(RADIANS($A483))-P2_a*P2_w2^2*SIN(RADIANS($A483))+P2_b*E483^2*SIN(RADIANS(B483)))/(P2_b*COS(RADIANS(B483)))</f>
        <v>-2.22329384083362</v>
      </c>
      <c r="H483" s="42" t="n">
        <f aca="false">-P2_a*P2_al2*SIN(RADIANS($A483))-P2_a*P2_w2^2*COS(RADIANS($A483))+P2_b*G483*SIN(RADIANS(B483))+P2_b*E483^2*COS(RADIANS(B483))</f>
        <v>177.297349918636</v>
      </c>
      <c r="I483" s="45" t="n">
        <v>45</v>
      </c>
    </row>
    <row r="484" customFormat="false" ht="15" hidden="false" customHeight="false" outlineLevel="0" collapsed="false">
      <c r="A484" s="41" t="n">
        <v>239</v>
      </c>
      <c r="B484" s="42" t="n">
        <f aca="false">180-DEGREES(ASIN((P2_a*SIN(RADIANS($A484))-P2_c)/P2_b))</f>
        <v>184.345124461032</v>
      </c>
      <c r="C484" s="42" t="n">
        <f aca="false">P2_a*COS(RADIANS($A484))-P2_b*COS(RADIANS(B484))</f>
        <v>113.594269446276</v>
      </c>
      <c r="D484" s="43" t="n">
        <f aca="false">90-DEGREES(ASIN(ABS((P2_a*SIN(RADIANS($A484))-P2_c)/P2_b)))</f>
        <v>85.6548755389681</v>
      </c>
      <c r="E484" s="44" t="n">
        <f aca="false">P2_a*P2_w2*COS(RADIANS($A484))/(P2_b*COS(RADIANS(B484)))</f>
        <v>0.430262384810114</v>
      </c>
      <c r="F484" s="42" t="n">
        <f aca="false">-P2_a*P2_w2*SIN(RADIANS($A484))+P2_b*E484*SIN(RADIANS(B484))</f>
        <v>89.9474753692656</v>
      </c>
      <c r="G484" s="44" t="n">
        <f aca="false">(P2_a*P2_al2*COS(RADIANS($A484))-P2_a*P2_w2^2*SIN(RADIANS($A484))+P2_b*E484^2*SIN(RADIANS(B484)))/(P2_b*COS(RADIANS(B484)))</f>
        <v>-2.23555549451178</v>
      </c>
      <c r="H484" s="42" t="n">
        <f aca="false">-P2_a*P2_al2*SIN(RADIANS($A484))-P2_a*P2_w2^2*COS(RADIANS($A484))+P2_b*G484*SIN(RADIANS(B484))+P2_b*E484^2*COS(RADIANS(B484))</f>
        <v>175.903880601843</v>
      </c>
      <c r="I484" s="45" t="n">
        <v>45</v>
      </c>
    </row>
    <row r="485" customFormat="false" ht="15" hidden="false" customHeight="false" outlineLevel="0" collapsed="false">
      <c r="A485" s="41" t="n">
        <v>239.5</v>
      </c>
      <c r="B485" s="42" t="n">
        <f aca="false">180-DEGREES(ASIN((P2_a*SIN(RADIANS($A485))-P2_c)/P2_b))</f>
        <v>184.413107785302</v>
      </c>
      <c r="C485" s="42" t="n">
        <f aca="false">P2_a*COS(RADIANS($A485))-P2_b*COS(RADIANS(B485))</f>
        <v>113.844800372038</v>
      </c>
      <c r="D485" s="43" t="n">
        <f aca="false">90-DEGREES(ASIN(ABS((P2_a*SIN(RADIANS($A485))-P2_c)/P2_b)))</f>
        <v>85.5868922146985</v>
      </c>
      <c r="E485" s="44" t="n">
        <f aca="false">P2_a*P2_w2*COS(RADIANS($A485))/(P2_b*COS(RADIANS(B485)))</f>
        <v>0.42403565930809</v>
      </c>
      <c r="F485" s="42" t="n">
        <f aca="false">-P2_a*P2_w2*SIN(RADIANS($A485))+P2_b*E485*SIN(RADIANS(B485))</f>
        <v>90.4341354863847</v>
      </c>
      <c r="G485" s="44" t="n">
        <f aca="false">(P2_a*P2_al2*COS(RADIANS($A485))-P2_a*P2_w2^2*SIN(RADIANS($A485))+P2_b*E485^2*SIN(RADIANS(B485)))/(P2_b*COS(RADIANS(B485)))</f>
        <v>-2.2476606458877</v>
      </c>
      <c r="H485" s="42" t="n">
        <f aca="false">-P2_a*P2_al2*SIN(RADIANS($A485))-P2_a*P2_w2^2*COS(RADIANS($A485))+P2_b*G485*SIN(RADIANS(B485))+P2_b*E485^2*COS(RADIANS(B485))</f>
        <v>174.487580333824</v>
      </c>
      <c r="I485" s="45" t="n">
        <v>45</v>
      </c>
    </row>
    <row r="486" customFormat="false" ht="15" hidden="false" customHeight="false" outlineLevel="0" collapsed="false">
      <c r="A486" s="41" t="n">
        <v>240</v>
      </c>
      <c r="B486" s="42" t="n">
        <f aca="false">180-DEGREES(ASIN((P2_a*SIN(RADIANS($A486))-P2_c)/P2_b))</f>
        <v>184.480097431225</v>
      </c>
      <c r="C486" s="42" t="n">
        <f aca="false">P2_a*COS(RADIANS($A486))-P2_b*COS(RADIANS(B486))</f>
        <v>114.096677637766</v>
      </c>
      <c r="D486" s="43" t="n">
        <f aca="false">90-DEGREES(ASIN(ABS((P2_a*SIN(RADIANS($A486))-P2_c)/P2_b)))</f>
        <v>85.5199025687753</v>
      </c>
      <c r="E486" s="44" t="n">
        <f aca="false">P2_a*P2_w2*COS(RADIANS($A486))/(P2_b*COS(RADIANS(B486)))</f>
        <v>0.417775527655445</v>
      </c>
      <c r="F486" s="42" t="n">
        <f aca="false">-P2_a*P2_w2*SIN(RADIANS($A486))+P2_b*E486*SIN(RADIANS(B486))</f>
        <v>90.9168294743881</v>
      </c>
      <c r="G486" s="44" t="n">
        <f aca="false">(P2_a*P2_al2*COS(RADIANS($A486))-P2_a*P2_w2^2*SIN(RADIANS($A486))+P2_b*E486^2*SIN(RADIANS(B486)))/(P2_b*COS(RADIANS(B486)))</f>
        <v>-2.25960764920451</v>
      </c>
      <c r="H486" s="42" t="n">
        <f aca="false">-P2_a*P2_al2*SIN(RADIANS($A486))-P2_a*P2_w2^2*COS(RADIANS($A486))+P2_b*G486*SIN(RADIANS(B486))+P2_b*E486^2*COS(RADIANS(B486))</f>
        <v>173.04823172355</v>
      </c>
      <c r="I486" s="45" t="n">
        <v>45</v>
      </c>
    </row>
    <row r="487" customFormat="false" ht="15" hidden="false" customHeight="false" outlineLevel="0" collapsed="false">
      <c r="A487" s="41" t="n">
        <v>240.5</v>
      </c>
      <c r="B487" s="42" t="n">
        <f aca="false">180-DEGREES(ASIN((P2_a*SIN(RADIANS($A487))-P2_c)/P2_b))</f>
        <v>184.546088117127</v>
      </c>
      <c r="C487" s="42" t="n">
        <f aca="false">P2_a*COS(RADIANS($A487))-P2_b*COS(RADIANS(B487))</f>
        <v>114.349890137238</v>
      </c>
      <c r="D487" s="43" t="n">
        <f aca="false">90-DEGREES(ASIN(ABS((P2_a*SIN(RADIANS($A487))-P2_c)/P2_b)))</f>
        <v>85.453911882873</v>
      </c>
      <c r="E487" s="44" t="n">
        <f aca="false">P2_a*P2_w2*COS(RADIANS($A487))/(P2_b*COS(RADIANS(B487)))</f>
        <v>0.411482431430407</v>
      </c>
      <c r="F487" s="42" t="n">
        <f aca="false">-P2_a*P2_w2*SIN(RADIANS($A487))+P2_b*E487*SIN(RADIANS(B487))</f>
        <v>91.395493012614</v>
      </c>
      <c r="G487" s="44" t="n">
        <f aca="false">(P2_a*P2_al2*COS(RADIANS($A487))-P2_a*P2_w2^2*SIN(RADIANS($A487))+P2_b*E487^2*SIN(RADIANS(B487)))/(P2_b*COS(RADIANS(B487)))</f>
        <v>-2.27139486544167</v>
      </c>
      <c r="H487" s="42" t="n">
        <f aca="false">-P2_a*P2_al2*SIN(RADIANS($A487))-P2_a*P2_w2^2*COS(RADIANS($A487))+P2_b*G487*SIN(RADIANS(B487))+P2_b*E487^2*COS(RADIANS(B487))</f>
        <v>171.585621232626</v>
      </c>
      <c r="I487" s="45" t="n">
        <v>45</v>
      </c>
    </row>
    <row r="488" customFormat="false" ht="15" hidden="false" customHeight="false" outlineLevel="0" collapsed="false">
      <c r="A488" s="41" t="n">
        <v>241</v>
      </c>
      <c r="B488" s="42" t="n">
        <f aca="false">180-DEGREES(ASIN((P2_a*SIN(RADIANS($A488))-P2_c)/P2_b))</f>
        <v>184.611074631975</v>
      </c>
      <c r="C488" s="42" t="n">
        <f aca="false">P2_a*COS(RADIANS($A488))-P2_b*COS(RADIANS(B488))</f>
        <v>114.604426584745</v>
      </c>
      <c r="D488" s="43" t="n">
        <f aca="false">90-DEGREES(ASIN(ABS((P2_a*SIN(RADIANS($A488))-P2_c)/P2_b)))</f>
        <v>85.3889253680254</v>
      </c>
      <c r="E488" s="44" t="n">
        <f aca="false">P2_a*P2_w2*COS(RADIANS($A488))/(P2_b*COS(RADIANS(B488)))</f>
        <v>0.40515681675382</v>
      </c>
      <c r="F488" s="42" t="n">
        <f aca="false">-P2_a*P2_w2*SIN(RADIANS($A488))+P2_b*E488*SIN(RADIANS(B488))</f>
        <v>91.8700611927493</v>
      </c>
      <c r="G488" s="44" t="n">
        <f aca="false">(P2_a*P2_al2*COS(RADIANS($A488))-P2_a*P2_w2^2*SIN(RADIANS($A488))+P2_b*E488^2*SIN(RADIANS(B488)))/(P2_b*COS(RADIANS(B488)))</f>
        <v>-2.28302066305884</v>
      </c>
      <c r="H488" s="42" t="n">
        <f aca="false">-P2_a*P2_al2*SIN(RADIANS($A488))-P2_a*P2_w2^2*COS(RADIANS($A488))+P2_b*G488*SIN(RADIANS(B488))+P2_b*E488^2*COS(RADIANS(B488))</f>
        <v>170.099539313717</v>
      </c>
      <c r="I488" s="45" t="n">
        <v>45</v>
      </c>
    </row>
    <row r="489" customFormat="false" ht="15" hidden="false" customHeight="false" outlineLevel="0" collapsed="false">
      <c r="A489" s="41" t="n">
        <v>241.5</v>
      </c>
      <c r="B489" s="42" t="n">
        <f aca="false">180-DEGREES(ASIN((P2_a*SIN(RADIANS($A489))-P2_c)/P2_b))</f>
        <v>184.675051836096</v>
      </c>
      <c r="C489" s="42" t="n">
        <f aca="false">P2_a*COS(RADIANS($A489))-P2_b*COS(RADIANS(B489))</f>
        <v>114.860275513472</v>
      </c>
      <c r="D489" s="43" t="n">
        <f aca="false">90-DEGREES(ASIN(ABS((P2_a*SIN(RADIANS($A489))-P2_c)/P2_b)))</f>
        <v>85.3249481639036</v>
      </c>
      <c r="E489" s="44" t="n">
        <f aca="false">P2_a*P2_w2*COS(RADIANS($A489))/(P2_b*COS(RADIANS(B489)))</f>
        <v>0.398799134267331</v>
      </c>
      <c r="F489" s="42" t="n">
        <f aca="false">-P2_a*P2_w2*SIN(RADIANS($A489))+P2_b*E489*SIN(RADIANS(B489))</f>
        <v>92.3404685301087</v>
      </c>
      <c r="G489" s="44" t="n">
        <f aca="false">(P2_a*P2_al2*COS(RADIANS($A489))-P2_a*P2_w2^2*SIN(RADIANS($A489))+P2_b*E489^2*SIN(RADIANS(B489)))/(P2_b*COS(RADIANS(B489)))</f>
        <v>-2.29448341874444</v>
      </c>
      <c r="H489" s="42" t="n">
        <f aca="false">-P2_a*P2_al2*SIN(RADIANS($A489))-P2_a*P2_w2^2*COS(RADIANS($A489))+P2_b*G489*SIN(RADIANS(B489))+P2_b*E489^2*COS(RADIANS(B489))</f>
        <v>168.589780549091</v>
      </c>
      <c r="I489" s="45" t="n">
        <v>45</v>
      </c>
    </row>
    <row r="490" customFormat="false" ht="15" hidden="false" customHeight="false" outlineLevel="0" collapsed="false">
      <c r="A490" s="41" t="n">
        <v>242</v>
      </c>
      <c r="B490" s="42" t="n">
        <f aca="false">180-DEGREES(ASIN((P2_a*SIN(RADIANS($A490))-P2_c)/P2_b))</f>
        <v>184.738014661901</v>
      </c>
      <c r="C490" s="42" t="n">
        <f aca="false">P2_a*COS(RADIANS($A490))-P2_b*COS(RADIANS(B490))</f>
        <v>115.117425273918</v>
      </c>
      <c r="D490" s="43" t="n">
        <f aca="false">90-DEGREES(ASIN(ABS((P2_a*SIN(RADIANS($A490))-P2_c)/P2_b)))</f>
        <v>85.2619853380988</v>
      </c>
      <c r="E490" s="44" t="n">
        <f aca="false">P2_a*P2_w2*COS(RADIANS($A490))/(P2_b*COS(RADIANS(B490)))</f>
        <v>0.392409839109486</v>
      </c>
      <c r="F490" s="42" t="n">
        <f aca="false">-P2_a*P2_w2*SIN(RADIANS($A490))+P2_b*E490*SIN(RADIANS(B490))</f>
        <v>92.8066489752978</v>
      </c>
      <c r="G490" s="44" t="n">
        <f aca="false">(P2_a*P2_al2*COS(RADIANS($A490))-P2_a*P2_w2^2*SIN(RADIANS($A490))+P2_b*E490^2*SIN(RADIANS(B490)))/(P2_b*COS(RADIANS(B490)))</f>
        <v>-2.30578151816822</v>
      </c>
      <c r="H490" s="42" t="n">
        <f aca="false">-P2_a*P2_al2*SIN(RADIANS($A490))-P2_a*P2_w2^2*COS(RADIANS($A490))+P2_b*G490*SIN(RADIANS(B490))+P2_b*E490^2*COS(RADIANS(B490))</f>
        <v>167.056143789184</v>
      </c>
      <c r="I490" s="45" t="n">
        <v>45</v>
      </c>
    </row>
    <row r="491" customFormat="false" ht="15" hidden="false" customHeight="false" outlineLevel="0" collapsed="false">
      <c r="A491" s="41" t="n">
        <v>242.5</v>
      </c>
      <c r="B491" s="42" t="n">
        <f aca="false">180-DEGREES(ASIN((P2_a*SIN(RADIANS($A491))-P2_c)/P2_b))</f>
        <v>184.799958114592</v>
      </c>
      <c r="C491" s="42" t="n">
        <f aca="false">P2_a*COS(RADIANS($A491))-P2_b*COS(RADIANS(B491))</f>
        <v>115.375864032339</v>
      </c>
      <c r="D491" s="43" t="n">
        <f aca="false">90-DEGREES(ASIN(ABS((P2_a*SIN(RADIANS($A491))-P2_c)/P2_b)))</f>
        <v>85.2000418854084</v>
      </c>
      <c r="E491" s="44" t="n">
        <f aca="false">P2_a*P2_w2*COS(RADIANS($A491))/(P2_b*COS(RADIANS(B491)))</f>
        <v>0.385989390889733</v>
      </c>
      <c r="F491" s="42" t="n">
        <f aca="false">-P2_a*P2_w2*SIN(RADIANS($A491))+P2_b*E491*SIN(RADIANS(B491))</f>
        <v>93.2685359262619</v>
      </c>
      <c r="G491" s="44" t="n">
        <f aca="false">(P2_a*P2_al2*COS(RADIANS($A491))-P2_a*P2_w2^2*SIN(RADIANS($A491))+P2_b*E491^2*SIN(RADIANS(B491)))/(P2_b*COS(RADIANS(B491)))</f>
        <v>-2.31691335673742</v>
      </c>
      <c r="H491" s="42" t="n">
        <f aca="false">-P2_a*P2_al2*SIN(RADIANS($A491))-P2_a*P2_w2^2*COS(RADIANS($A491))+P2_b*G491*SIN(RADIANS(B491))+P2_b*E491^2*COS(RADIANS(B491))</f>
        <v>165.498432291099</v>
      </c>
      <c r="I491" s="45" t="n">
        <v>45</v>
      </c>
    </row>
    <row r="492" customFormat="false" ht="15" hidden="false" customHeight="false" outlineLevel="0" collapsed="false">
      <c r="A492" s="41" t="n">
        <v>243</v>
      </c>
      <c r="B492" s="42" t="n">
        <f aca="false">180-DEGREES(ASIN((P2_a*SIN(RADIANS($A492))-P2_c)/P2_b))</f>
        <v>184.860877272873</v>
      </c>
      <c r="C492" s="42" t="n">
        <f aca="false">P2_a*COS(RADIANS($A492))-P2_b*COS(RADIANS(B492))</f>
        <v>115.635579769232</v>
      </c>
      <c r="D492" s="43" t="n">
        <f aca="false">90-DEGREES(ASIN(ABS((P2_a*SIN(RADIANS($A492))-P2_c)/P2_b)))</f>
        <v>85.1391227271269</v>
      </c>
      <c r="E492" s="44" t="n">
        <f aca="false">P2_a*P2_w2*COS(RADIANS($A492))/(P2_b*COS(RADIANS(B492)))</f>
        <v>0.379538253660321</v>
      </c>
      <c r="F492" s="42" t="n">
        <f aca="false">-P2_a*P2_w2*SIN(RADIANS($A492))+P2_b*E492*SIN(RADIANS(B492))</f>
        <v>93.7260622407186</v>
      </c>
      <c r="G492" s="44" t="n">
        <f aca="false">(P2_a*P2_al2*COS(RADIANS($A492))-P2_a*P2_w2^2*SIN(RADIANS($A492))+P2_b*E492^2*SIN(RADIANS(B492)))/(P2_b*COS(RADIANS(B492)))</f>
        <v>-2.3278773403559</v>
      </c>
      <c r="H492" s="42" t="n">
        <f aca="false">-P2_a*P2_al2*SIN(RADIANS($A492))-P2_a*P2_w2^2*COS(RADIANS($A492))+P2_b*G492*SIN(RADIANS(B492))+P2_b*E492^2*COS(RADIANS(B492))</f>
        <v>163.916453856938</v>
      </c>
      <c r="I492" s="45" t="n">
        <v>45</v>
      </c>
    </row>
    <row r="493" customFormat="false" ht="15" hidden="false" customHeight="false" outlineLevel="0" collapsed="false">
      <c r="A493" s="41" t="n">
        <v>243.5</v>
      </c>
      <c r="B493" s="42" t="n">
        <f aca="false">180-DEGREES(ASIN((P2_a*SIN(RADIANS($A493))-P2_c)/P2_b))</f>
        <v>184.920767289659</v>
      </c>
      <c r="C493" s="42" t="n">
        <f aca="false">P2_a*COS(RADIANS($A493))-P2_b*COS(RADIANS(B493))</f>
        <v>115.896560277853</v>
      </c>
      <c r="D493" s="43" t="n">
        <f aca="false">90-DEGREES(ASIN(ABS((P2_a*SIN(RADIANS($A493))-P2_c)/P2_b)))</f>
        <v>85.0792327103409</v>
      </c>
      <c r="E493" s="44" t="n">
        <f aca="false">P2_a*P2_w2*COS(RADIANS($A493))/(P2_b*COS(RADIANS(B493)))</f>
        <v>0.37305689588608</v>
      </c>
      <c r="F493" s="42" t="n">
        <f aca="false">-P2_a*P2_w2*SIN(RADIANS($A493))+P2_b*E493*SIN(RADIANS(B493))</f>
        <v>94.1791602489749</v>
      </c>
      <c r="G493" s="44" t="n">
        <f aca="false">(P2_a*P2_al2*COS(RADIANS($A493))-P2_a*P2_w2^2*SIN(RADIANS($A493))+P2_b*E493^2*SIN(RADIANS(B493)))/(P2_b*COS(RADIANS(B493)))</f>
        <v>-2.33867188618562</v>
      </c>
      <c r="H493" s="42" t="n">
        <f aca="false">-P2_a*P2_al2*SIN(RADIANS($A493))-P2_a*P2_w2^2*COS(RADIANS($A493))+P2_b*G493*SIN(RADIANS(B493))+P2_b*E493^2*COS(RADIANS(B493))</f>
        <v>162.3100209719</v>
      </c>
      <c r="I493" s="45" t="n">
        <v>45</v>
      </c>
    </row>
    <row r="494" customFormat="false" ht="15" hidden="false" customHeight="false" outlineLevel="0" collapsed="false">
      <c r="A494" s="41" t="n">
        <v>244</v>
      </c>
      <c r="B494" s="42" t="n">
        <f aca="false">180-DEGREES(ASIN((P2_a*SIN(RADIANS($A494))-P2_c)/P2_b))</f>
        <v>184.979623392771</v>
      </c>
      <c r="C494" s="42" t="n">
        <f aca="false">P2_a*COS(RADIANS($A494))-P2_b*COS(RADIANS(B494))</f>
        <v>116.158793162769</v>
      </c>
      <c r="D494" s="43" t="n">
        <f aca="false">90-DEGREES(ASIN(ABS((P2_a*SIN(RADIANS($A494))-P2_c)/P2_b)))</f>
        <v>85.0203766072295</v>
      </c>
      <c r="E494" s="44" t="n">
        <f aca="false">P2_a*P2_w2*COS(RADIANS($A494))/(P2_b*COS(RADIANS(B494)))</f>
        <v>0.366545790412096</v>
      </c>
      <c r="F494" s="42" t="n">
        <f aca="false">-P2_a*P2_w2*SIN(RADIANS($A494))+P2_b*E494*SIN(RADIANS(B494))</f>
        <v>94.6277617671272</v>
      </c>
      <c r="G494" s="44" t="n">
        <f aca="false">(P2_a*P2_al2*COS(RADIANS($A494))-P2_a*P2_w2^2*SIN(RADIANS($A494))+P2_b*E494^2*SIN(RADIANS(B494)))/(P2_b*COS(RADIANS(B494)))</f>
        <v>-2.34929542341001</v>
      </c>
      <c r="H494" s="42" t="n">
        <f aca="false">-P2_a*P2_al2*SIN(RADIANS($A494))-P2_a*P2_w2^2*COS(RADIANS($A494))+P2_b*G494*SIN(RADIANS(B494))+P2_b*E494^2*COS(RADIANS(B494))</f>
        <v>160.67895094203</v>
      </c>
      <c r="I494" s="45" t="n">
        <v>45</v>
      </c>
    </row>
    <row r="495" customFormat="false" ht="15" hidden="false" customHeight="false" outlineLevel="0" collapsed="false">
      <c r="A495" s="41" t="n">
        <v>244.5</v>
      </c>
      <c r="B495" s="42" t="n">
        <f aca="false">180-DEGREES(ASIN((P2_a*SIN(RADIANS($A495))-P2_c)/P2_b))</f>
        <v>185.03744088563</v>
      </c>
      <c r="C495" s="42" t="n">
        <f aca="false">P2_a*COS(RADIANS($A495))-P2_b*COS(RADIANS(B495))</f>
        <v>116.422265838449</v>
      </c>
      <c r="D495" s="43" t="n">
        <f aca="false">90-DEGREES(ASIN(ABS((P2_a*SIN(RADIANS($A495))-P2_c)/P2_b)))</f>
        <v>84.96255911437</v>
      </c>
      <c r="E495" s="44" t="n">
        <f aca="false">P2_a*P2_w2*COS(RADIANS($A495))/(P2_b*COS(RADIANS(B495)))</f>
        <v>0.360005414429253</v>
      </c>
      <c r="F495" s="42" t="n">
        <f aca="false">-P2_a*P2_w2*SIN(RADIANS($A495))+P2_b*E495*SIN(RADIANS(B495))</f>
        <v>95.0717981106431</v>
      </c>
      <c r="G495" s="44" t="n">
        <f aca="false">(P2_a*P2_al2*COS(RADIANS($A495))-P2_a*P2_w2^2*SIN(RADIANS($A495))+P2_b*E495^2*SIN(RADIANS(B495)))/(P2_b*COS(RADIANS(B495)))</f>
        <v>-2.3597463939985</v>
      </c>
      <c r="H495" s="42" t="n">
        <f aca="false">-P2_a*P2_al2*SIN(RADIANS($A495))-P2_a*P2_w2^2*COS(RADIANS($A495))+P2_b*G495*SIN(RADIANS(B495))+P2_b*E495^2*COS(RADIANS(B495))</f>
        <v>159.023066031528</v>
      </c>
      <c r="I495" s="45" t="n">
        <v>45</v>
      </c>
    </row>
    <row r="496" customFormat="false" ht="15" hidden="false" customHeight="false" outlineLevel="0" collapsed="false">
      <c r="A496" s="41" t="n">
        <v>245</v>
      </c>
      <c r="B496" s="42" t="n">
        <f aca="false">180-DEGREES(ASIN((P2_a*SIN(RADIANS($A496))-P2_c)/P2_b))</f>
        <v>185.094215147951</v>
      </c>
      <c r="C496" s="42" t="n">
        <f aca="false">P2_a*COS(RADIANS($A496))-P2_b*COS(RADIANS(B496))</f>
        <v>116.686965527893</v>
      </c>
      <c r="D496" s="43" t="n">
        <f aca="false">90-DEGREES(ASIN(ABS((P2_a*SIN(RADIANS($A496))-P2_c)/P2_b)))</f>
        <v>84.9057848520489</v>
      </c>
      <c r="E496" s="44" t="n">
        <f aca="false">P2_a*P2_w2*COS(RADIANS($A496))/(P2_b*COS(RADIANS(B496)))</f>
        <v>0.353436249437653</v>
      </c>
      <c r="F496" s="42" t="n">
        <f aca="false">-P2_a*P2_w2*SIN(RADIANS($A496))+P2_b*E496*SIN(RADIANS(B496))</f>
        <v>95.5112001083247</v>
      </c>
      <c r="G496" s="44" t="n">
        <f aca="false">(P2_a*P2_al2*COS(RADIANS($A496))-P2_a*P2_w2^2*SIN(RADIANS($A496))+P2_b*E496^2*SIN(RADIANS(B496)))/(P2_b*COS(RADIANS(B496)))</f>
        <v>-2.37002325347177</v>
      </c>
      <c r="H496" s="42" t="n">
        <f aca="false">-P2_a*P2_al2*SIN(RADIANS($A496))-P2_a*P2_w2^2*COS(RADIANS($A496))+P2_b*G496*SIN(RADIANS(B496))+P2_b*E496^2*COS(RADIANS(B496))</f>
        <v>157.342193599542</v>
      </c>
      <c r="I496" s="45" t="n">
        <v>45</v>
      </c>
    </row>
    <row r="497" customFormat="false" ht="15" hidden="false" customHeight="false" outlineLevel="0" collapsed="false">
      <c r="A497" s="41" t="n">
        <v>245.5</v>
      </c>
      <c r="B497" s="42" t="n">
        <f aca="false">180-DEGREES(ASIN((P2_a*SIN(RADIANS($A497))-P2_c)/P2_b))</f>
        <v>185.149941636421</v>
      </c>
      <c r="C497" s="42" t="n">
        <f aca="false">P2_a*COS(RADIANS($A497))-P2_b*COS(RADIANS(B497))</f>
        <v>116.952879261297</v>
      </c>
      <c r="D497" s="43" t="n">
        <f aca="false">90-DEGREES(ASIN(ABS((P2_a*SIN(RADIANS($A497))-P2_c)/P2_b)))</f>
        <v>84.8500583635792</v>
      </c>
      <c r="E497" s="44" t="n">
        <f aca="false">P2_a*P2_w2*COS(RADIANS($A497))/(P2_b*COS(RADIANS(B497)))</f>
        <v>0.346838781207911</v>
      </c>
      <c r="F497" s="42" t="n">
        <f aca="false">-P2_a*P2_w2*SIN(RADIANS($A497))+P2_b*E497*SIN(RADIANS(B497))</f>
        <v>95.9458981166497</v>
      </c>
      <c r="G497" s="44" t="n">
        <f aca="false">(P2_a*P2_al2*COS(RADIANS($A497))-P2_a*P2_w2^2*SIN(RADIANS($A497))+P2_b*E497^2*SIN(RADIANS(B497)))/(P2_b*COS(RADIANS(B497)))</f>
        <v>-2.38012447166697</v>
      </c>
      <c r="H497" s="42" t="n">
        <f aca="false">-P2_a*P2_al2*SIN(RADIANS($A497))-P2_a*P2_w2^2*COS(RADIANS($A497))+P2_b*G497*SIN(RADIANS(B497))+P2_b*E497^2*COS(RADIANS(B497))</f>
        <v>155.636166236315</v>
      </c>
      <c r="I497" s="45" t="n">
        <v>45</v>
      </c>
    </row>
    <row r="498" customFormat="false" ht="15" hidden="false" customHeight="false" outlineLevel="0" collapsed="false">
      <c r="A498" s="41" t="n">
        <v>246</v>
      </c>
      <c r="B498" s="42" t="n">
        <f aca="false">180-DEGREES(ASIN((P2_a*SIN(RADIANS($A498))-P2_c)/P2_b))</f>
        <v>185.204615885376</v>
      </c>
      <c r="C498" s="42" t="n">
        <f aca="false">P2_a*COS(RADIANS($A498))-P2_b*COS(RADIANS(B498))</f>
        <v>117.219993874767</v>
      </c>
      <c r="D498" s="43" t="n">
        <f aca="false">90-DEGREES(ASIN(ABS((P2_a*SIN(RADIANS($A498))-P2_c)/P2_b)))</f>
        <v>84.7953841146239</v>
      </c>
      <c r="E498" s="44" t="n">
        <f aca="false">P2_a*P2_w2*COS(RADIANS($A498))/(P2_b*COS(RADIANS(B498)))</f>
        <v>0.340213499740325</v>
      </c>
      <c r="F498" s="42" t="n">
        <f aca="false">-P2_a*P2_w2*SIN(RADIANS($A498))+P2_b*E498*SIN(RADIANS(B498))</f>
        <v>96.3758220344914</v>
      </c>
      <c r="G498" s="44" t="n">
        <f aca="false">(P2_a*P2_al2*COS(RADIANS($A498))-P2_a*P2_w2^2*SIN(RADIANS($A498))+P2_b*E498^2*SIN(RADIANS(B498)))/(P2_b*COS(RADIANS(B498)))</f>
        <v>-2.39004853350234</v>
      </c>
      <c r="H498" s="42" t="n">
        <f aca="false">-P2_a*P2_al2*SIN(RADIANS($A498))-P2_a*P2_w2^2*COS(RADIANS($A498))+P2_b*G498*SIN(RADIANS(B498))+P2_b*E498^2*COS(RADIANS(B498))</f>
        <v>153.904821898615</v>
      </c>
      <c r="I498" s="45" t="n">
        <v>45</v>
      </c>
    </row>
    <row r="499" customFormat="false" ht="15" hidden="false" customHeight="false" outlineLevel="0" collapsed="false">
      <c r="A499" s="41" t="n">
        <v>246.5</v>
      </c>
      <c r="B499" s="42" t="n">
        <f aca="false">180-DEGREES(ASIN((P2_a*SIN(RADIANS($A499))-P2_c)/P2_b))</f>
        <v>185.258233507473</v>
      </c>
      <c r="C499" s="42" t="n">
        <f aca="false">P2_a*COS(RADIANS($A499))-P2_b*COS(RADIANS(B499))</f>
        <v>117.488296009063</v>
      </c>
      <c r="D499" s="43" t="n">
        <f aca="false">90-DEGREES(ASIN(ABS((P2_a*SIN(RADIANS($A499))-P2_c)/P2_b)))</f>
        <v>84.7417664925266</v>
      </c>
      <c r="E499" s="44" t="n">
        <f aca="false">P2_a*P2_w2*COS(RADIANS($A499))/(P2_b*COS(RADIANS(B499)))</f>
        <v>0.333560899221926</v>
      </c>
      <c r="F499" s="42" t="n">
        <f aca="false">-P2_a*P2_w2*SIN(RADIANS($A499))+P2_b*E499*SIN(RADIANS(B499))</f>
        <v>96.800901318212</v>
      </c>
      <c r="G499" s="44" t="n">
        <f aca="false">(P2_a*P2_al2*COS(RADIANS($A499))-P2_a*P2_w2^2*SIN(RADIANS($A499))+P2_b*E499^2*SIN(RADIANS(B499)))/(P2_b*COS(RADIANS(B499)))</f>
        <v>-2.3997939397407</v>
      </c>
      <c r="H499" s="42" t="n">
        <f aca="false">-P2_a*P2_al2*SIN(RADIANS($A499))-P2_a*P2_w2^2*COS(RADIANS($A499))+P2_b*G499*SIN(RADIANS(B499))+P2_b*E499^2*COS(RADIANS(B499))</f>
        <v>152.148004044342</v>
      </c>
      <c r="I499" s="45" t="n">
        <v>45</v>
      </c>
    </row>
    <row r="500" customFormat="false" ht="15" hidden="false" customHeight="false" outlineLevel="0" collapsed="false">
      <c r="A500" s="41" t="n">
        <v>247</v>
      </c>
      <c r="B500" s="42" t="n">
        <f aca="false">180-DEGREES(ASIN((P2_a*SIN(RADIANS($A500))-P2_c)/P2_b))</f>
        <v>185.310790194352</v>
      </c>
      <c r="C500" s="42" t="n">
        <f aca="false">P2_a*COS(RADIANS($A500))-P2_b*COS(RADIANS(B500))</f>
        <v>117.757772108395</v>
      </c>
      <c r="D500" s="43" t="n">
        <f aca="false">90-DEGREES(ASIN(ABS((P2_a*SIN(RADIANS($A500))-P2_c)/P2_b)))</f>
        <v>84.689209805648</v>
      </c>
      <c r="E500" s="44" t="n">
        <f aca="false">P2_a*P2_w2*COS(RADIANS($A500))/(P2_b*COS(RADIANS(B500)))</f>
        <v>0.326881477981402</v>
      </c>
      <c r="F500" s="42" t="n">
        <f aca="false">-P2_a*P2_w2*SIN(RADIANS($A500))+P2_b*E500*SIN(RADIANS(B500))</f>
        <v>97.2210649971302</v>
      </c>
      <c r="G500" s="44" t="n">
        <f aca="false">(P2_a*P2_al2*COS(RADIANS($A500))-P2_a*P2_w2^2*SIN(RADIANS($A500))+P2_b*E500^2*SIN(RADIANS(B500)))/(P2_b*COS(RADIANS(B500)))</f>
        <v>-2.40935920775103</v>
      </c>
      <c r="H500" s="42" t="n">
        <f aca="false">-P2_a*P2_al2*SIN(RADIANS($A500))-P2_a*P2_w2^2*COS(RADIANS($A500))+P2_b*G500*SIN(RADIANS(B500))+P2_b*E500^2*COS(RADIANS(B500))</f>
        <v>150.365561766202</v>
      </c>
      <c r="I500" s="45" t="n">
        <v>45</v>
      </c>
    </row>
    <row r="501" customFormat="false" ht="15" hidden="false" customHeight="false" outlineLevel="0" collapsed="false">
      <c r="A501" s="41" t="n">
        <v>247.5</v>
      </c>
      <c r="B501" s="42" t="n">
        <f aca="false">180-DEGREES(ASIN((P2_a*SIN(RADIANS($A501))-P2_c)/P2_b))</f>
        <v>185.362281717289</v>
      </c>
      <c r="C501" s="42" t="n">
        <f aca="false">P2_a*COS(RADIANS($A501))-P2_b*COS(RADIANS(B501))</f>
        <v>118.028408419257</v>
      </c>
      <c r="D501" s="43" t="n">
        <f aca="false">90-DEGREES(ASIN(ABS((P2_a*SIN(RADIANS($A501))-P2_c)/P2_b)))</f>
        <v>84.637718282711</v>
      </c>
      <c r="E501" s="44" t="n">
        <f aca="false">P2_a*P2_w2*COS(RADIANS($A501))/(P2_b*COS(RADIANS(B501)))</f>
        <v>0.320175738441919</v>
      </c>
      <c r="F501" s="42" t="n">
        <f aca="false">-P2_a*P2_w2*SIN(RADIANS($A501))+P2_b*E501*SIN(RADIANS(B501))</f>
        <v>97.6362416893573</v>
      </c>
      <c r="G501" s="44" t="n">
        <f aca="false">(P2_a*P2_al2*COS(RADIANS($A501))-P2_a*P2_w2^2*SIN(RADIANS($A501))+P2_b*E501^2*SIN(RADIANS(B501)))/(P2_b*COS(RADIANS(B501)))</f>
        <v>-2.41874287226763</v>
      </c>
      <c r="H501" s="42" t="n">
        <f aca="false">-P2_a*P2_al2*SIN(RADIANS($A501))-P2_a*P2_w2^2*COS(RADIANS($A501))+P2_b*G501*SIN(RADIANS(B501))+P2_b*E501^2*COS(RADIANS(B501))</f>
        <v>148.557349924363</v>
      </c>
      <c r="I501" s="45" t="n">
        <v>45</v>
      </c>
    </row>
    <row r="502" customFormat="false" ht="15" hidden="false" customHeight="false" outlineLevel="0" collapsed="false">
      <c r="A502" s="41" t="n">
        <v>248</v>
      </c>
      <c r="B502" s="42" t="n">
        <f aca="false">180-DEGREES(ASIN((P2_a*SIN(RADIANS($A502))-P2_c)/P2_b))</f>
        <v>185.412703927847</v>
      </c>
      <c r="C502" s="42" t="n">
        <f aca="false">P2_a*COS(RADIANS($A502))-P2_b*COS(RADIANS(B502))</f>
        <v>118.300190989307</v>
      </c>
      <c r="D502" s="43" t="n">
        <f aca="false">90-DEGREES(ASIN(ABS((P2_a*SIN(RADIANS($A502))-P2_c)/P2_b)))</f>
        <v>84.5872960721529</v>
      </c>
      <c r="E502" s="44" t="n">
        <f aca="false">P2_a*P2_w2*COS(RADIANS($A502))/(P2_b*COS(RADIANS(B502)))</f>
        <v>0.313444187071829</v>
      </c>
      <c r="F502" s="42" t="n">
        <f aca="false">-P2_a*P2_w2*SIN(RADIANS($A502))+P2_b*E502*SIN(RADIANS(B502))</f>
        <v>98.0463596180011</v>
      </c>
      <c r="G502" s="44" t="n">
        <f aca="false">(P2_a*P2_al2*COS(RADIANS($A502))-P2_a*P2_w2^2*SIN(RADIANS($A502))+P2_b*E502^2*SIN(RADIANS(B502)))/(P2_b*COS(RADIANS(B502)))</f>
        <v>-2.42794348614621</v>
      </c>
      <c r="H502" s="42" t="n">
        <f aca="false">-P2_a*P2_al2*SIN(RADIANS($A502))-P2_a*P2_w2^2*COS(RADIANS($A502))+P2_b*G502*SIN(RADIANS(B502))+P2_b*E502^2*COS(RADIANS(B502))</f>
        <v>146.723229277978</v>
      </c>
      <c r="I502" s="45" t="n">
        <v>45</v>
      </c>
    </row>
    <row r="503" customFormat="false" ht="15" hidden="false" customHeight="false" outlineLevel="0" collapsed="false">
      <c r="A503" s="41" t="n">
        <v>248.5</v>
      </c>
      <c r="B503" s="42" t="n">
        <f aca="false">180-DEGREES(ASIN((P2_a*SIN(RADIANS($A503))-P2_c)/P2_b))</f>
        <v>185.462052758515</v>
      </c>
      <c r="C503" s="42" t="n">
        <f aca="false">P2_a*COS(RADIANS($A503))-P2_b*COS(RADIANS(B503))</f>
        <v>118.573105666295</v>
      </c>
      <c r="D503" s="43" t="n">
        <f aca="false">90-DEGREES(ASIN(ABS((P2_a*SIN(RADIANS($A503))-P2_c)/P2_b)))</f>
        <v>84.5379472414855</v>
      </c>
      <c r="E503" s="44" t="n">
        <f aca="false">P2_a*P2_w2*COS(RADIANS($A503))/(P2_b*COS(RADIANS(B503)))</f>
        <v>0.306687334333294</v>
      </c>
      <c r="F503" s="42" t="n">
        <f aca="false">-P2_a*P2_w2*SIN(RADIANS($A503))+P2_b*E503*SIN(RADIANS(B503))</f>
        <v>98.4513466277337</v>
      </c>
      <c r="G503" s="44" t="n">
        <f aca="false">(P2_a*P2_al2*COS(RADIANS($A503))-P2_a*P2_w2^2*SIN(RADIANS($A503))+P2_b*E503^2*SIN(RADIANS(B503)))/(P2_b*COS(RADIANS(B503)))</f>
        <v>-2.43695962111616</v>
      </c>
      <c r="H503" s="42" t="n">
        <f aca="false">-P2_a*P2_al2*SIN(RADIANS($A503))-P2_a*P2_w2^2*COS(RADIANS($A503))+P2_b*G503*SIN(RADIANS(B503))+P2_b*E503^2*COS(RADIANS(B503))</f>
        <v>144.863066615479</v>
      </c>
      <c r="I503" s="45" t="n">
        <v>45</v>
      </c>
    </row>
    <row r="504" customFormat="false" ht="15" hidden="false" customHeight="false" outlineLevel="0" collapsed="false">
      <c r="A504" s="41" t="n">
        <v>249</v>
      </c>
      <c r="B504" s="42" t="n">
        <f aca="false">180-DEGREES(ASIN((P2_a*SIN(RADIANS($A504))-P2_c)/P2_b))</f>
        <v>185.510324223336</v>
      </c>
      <c r="C504" s="42" t="n">
        <f aca="false">P2_a*COS(RADIANS($A504))-P2_b*COS(RADIANS(B504))</f>
        <v>118.847138097031</v>
      </c>
      <c r="D504" s="43" t="n">
        <f aca="false">90-DEGREES(ASIN(ABS((P2_a*SIN(RADIANS($A504))-P2_c)/P2_b)))</f>
        <v>84.4896757766636</v>
      </c>
      <c r="E504" s="44" t="n">
        <f aca="false">P2_a*P2_w2*COS(RADIANS($A504))/(P2_b*COS(RADIANS(B504)))</f>
        <v>0.299905694628811</v>
      </c>
      <c r="F504" s="42" t="n">
        <f aca="false">-P2_a*P2_w2*SIN(RADIANS($A504))+P2_b*E504*SIN(RADIANS(B504))</f>
        <v>98.8511302017177</v>
      </c>
      <c r="G504" s="44" t="n">
        <f aca="false">(P2_a*P2_al2*COS(RADIANS($A504))-P2_a*P2_w2^2*SIN(RADIANS($A504))+P2_b*E504^2*SIN(RADIANS(B504)))/(P2_b*COS(RADIANS(B504)))</f>
        <v>-2.44578986852851</v>
      </c>
      <c r="H504" s="42" t="n">
        <f aca="false">-P2_a*P2_al2*SIN(RADIANS($A504))-P2_a*P2_w2^2*COS(RADIANS($A504))+P2_b*G504*SIN(RADIANS(B504))+P2_b*E504^2*COS(RADIANS(B504))</f>
        <v>142.976734883545</v>
      </c>
      <c r="I504" s="45" t="n">
        <v>45</v>
      </c>
    </row>
    <row r="505" customFormat="false" ht="15" hidden="false" customHeight="false" outlineLevel="0" collapsed="false">
      <c r="A505" s="41" t="n">
        <v>249.5</v>
      </c>
      <c r="B505" s="42" t="n">
        <f aca="false">180-DEGREES(ASIN((P2_a*SIN(RADIANS($A505))-P2_c)/P2_b))</f>
        <v>185.557514418538</v>
      </c>
      <c r="C505" s="42" t="n">
        <f aca="false">P2_a*COS(RADIANS($A505))-P2_b*COS(RADIANS(B505))</f>
        <v>119.12227372641</v>
      </c>
      <c r="D505" s="43" t="n">
        <f aca="false">90-DEGREES(ASIN(ABS((P2_a*SIN(RADIANS($A505))-P2_c)/P2_b)))</f>
        <v>84.4424855814625</v>
      </c>
      <c r="E505" s="44" t="n">
        <f aca="false">P2_a*P2_w2*COS(RADIANS($A505))/(P2_b*COS(RADIANS(B505)))</f>
        <v>0.293099786245678</v>
      </c>
      <c r="F505" s="42" t="n">
        <f aca="false">-P2_a*P2_w2*SIN(RADIANS($A505))+P2_b*E505*SIN(RADIANS(B505))</f>
        <v>99.2456374788916</v>
      </c>
      <c r="G505" s="44" t="n">
        <f aca="false">(P2_a*P2_al2*COS(RADIANS($A505))-P2_a*P2_w2^2*SIN(RADIANS($A505))+P2_b*E505^2*SIN(RADIANS(B505)))/(P2_b*COS(RADIANS(B505)))</f>
        <v>-2.45443284009887</v>
      </c>
      <c r="H505" s="42" t="n">
        <f aca="false">-P2_a*P2_al2*SIN(RADIANS($A505))-P2_a*P2_w2^2*COS(RADIANS($A505))+P2_b*G505*SIN(RADIANS(B505))+P2_b*E505^2*COS(RADIANS(B505))</f>
        <v>141.064113314628</v>
      </c>
      <c r="I505" s="45" t="n">
        <v>45</v>
      </c>
    </row>
    <row r="506" customFormat="false" ht="15" hidden="false" customHeight="false" outlineLevel="0" collapsed="false">
      <c r="A506" s="41" t="n">
        <v>250</v>
      </c>
      <c r="B506" s="42" t="n">
        <f aca="false">180-DEGREES(ASIN((P2_a*SIN(RADIANS($A506))-P2_c)/P2_b))</f>
        <v>185.603619523136</v>
      </c>
      <c r="C506" s="42" t="n">
        <f aca="false">P2_a*COS(RADIANS($A506))-P2_b*COS(RADIANS(B506))</f>
        <v>119.398497796475</v>
      </c>
      <c r="D506" s="43" t="n">
        <f aca="false">90-DEGREES(ASIN(ABS((P2_a*SIN(RADIANS($A506))-P2_c)/P2_b)))</f>
        <v>84.3963804768642</v>
      </c>
      <c r="E506" s="44" t="n">
        <f aca="false">P2_a*P2_w2*COS(RADIANS($A506))/(P2_b*COS(RADIANS(B506)))</f>
        <v>0.286270131298403</v>
      </c>
      <c r="F506" s="42" t="n">
        <f aca="false">-P2_a*P2_w2*SIN(RADIANS($A506))+P2_b*E506*SIN(RADIANS(B506))</f>
        <v>99.6347952716039</v>
      </c>
      <c r="G506" s="44" t="n">
        <f aca="false">(P2_a*P2_al2*COS(RADIANS($A506))-P2_a*P2_w2^2*SIN(RADIANS($A506))+P2_b*E506^2*SIN(RADIANS(B506)))/(P2_b*COS(RADIANS(B506)))</f>
        <v>-2.46288716864463</v>
      </c>
      <c r="H506" s="42" t="n">
        <f aca="false">-P2_a*P2_al2*SIN(RADIANS($A506))-P2_a*P2_w2^2*COS(RADIANS($A506))+P2_b*G506*SIN(RADIANS(B506))+P2_b*E506^2*COS(RADIANS(B506))</f>
        <v>139.125087552948</v>
      </c>
      <c r="I506" s="45" t="n">
        <v>45</v>
      </c>
    </row>
    <row r="507" customFormat="false" ht="15" hidden="false" customHeight="false" outlineLevel="0" collapsed="false">
      <c r="A507" s="41" t="n">
        <v>250.5</v>
      </c>
      <c r="B507" s="42" t="n">
        <f aca="false">180-DEGREES(ASIN((P2_a*SIN(RADIANS($A507))-P2_c)/P2_b))</f>
        <v>185.648635799547</v>
      </c>
      <c r="C507" s="42" t="n">
        <f aca="false">P2_a*COS(RADIANS($A507))-P2_b*COS(RADIANS(B507))</f>
        <v>119.675795345538</v>
      </c>
      <c r="D507" s="43" t="n">
        <f aca="false">90-DEGREES(ASIN(ABS((P2_a*SIN(RADIANS($A507))-P2_c)/P2_b)))</f>
        <v>84.3513642004531</v>
      </c>
      <c r="E507" s="44" t="n">
        <f aca="false">P2_a*P2_w2*COS(RADIANS($A507))/(P2_b*COS(RADIANS(B507)))</f>
        <v>0.279417255669065</v>
      </c>
      <c r="F507" s="42" t="n">
        <f aca="false">-P2_a*P2_w2*SIN(RADIANS($A507))+P2_b*E507*SIN(RADIANS(B507))</f>
        <v>100.018530083598</v>
      </c>
      <c r="G507" s="44" t="n">
        <f aca="false">(P2_a*P2_al2*COS(RADIANS($A507))-P2_a*P2_w2^2*SIN(RADIANS($A507))+P2_b*E507^2*SIN(RADIANS(B507)))/(P2_b*COS(RADIANS(B507)))</f>
        <v>-2.4711515088159</v>
      </c>
      <c r="H507" s="42" t="n">
        <f aca="false">-P2_a*P2_al2*SIN(RADIANS($A507))-P2_a*P2_w2^2*COS(RADIANS($A507))+P2_b*G507*SIN(RADIANS(B507))+P2_b*E507^2*COS(RADIANS(B507))</f>
        <v>137.159549778842</v>
      </c>
      <c r="I507" s="45" t="n">
        <v>45</v>
      </c>
    </row>
    <row r="508" customFormat="false" ht="15" hidden="false" customHeight="false" outlineLevel="0" collapsed="false">
      <c r="A508" s="41" t="n">
        <v>251</v>
      </c>
      <c r="B508" s="42" t="n">
        <f aca="false">180-DEGREES(ASIN((P2_a*SIN(RADIANS($A508))-P2_c)/P2_b))</f>
        <v>185.692559594179</v>
      </c>
      <c r="C508" s="42" t="n">
        <f aca="false">P2_a*COS(RADIANS($A508))-P2_b*COS(RADIANS(B508))</f>
        <v>119.954151207349</v>
      </c>
      <c r="D508" s="43" t="n">
        <f aca="false">90-DEGREES(ASIN(ABS((P2_a*SIN(RADIANS($A508))-P2_c)/P2_b)))</f>
        <v>84.3074404058208</v>
      </c>
      <c r="E508" s="44" t="n">
        <f aca="false">P2_a*P2_w2*COS(RADIANS($A508))/(P2_b*COS(RADIANS(B508)))</f>
        <v>0.272541688945669</v>
      </c>
      <c r="F508" s="42" t="n">
        <f aca="false">-P2_a*P2_w2*SIN(RADIANS($A508))+P2_b*E508*SIN(RADIANS(B508))</f>
        <v>100.396768128339</v>
      </c>
      <c r="G508" s="44" t="n">
        <f aca="false">(P2_a*P2_al2*COS(RADIANS($A508))-P2_a*P2_w2^2*SIN(RADIANS($A508))+P2_b*E508^2*SIN(RADIANS(B508)))/(P2_b*COS(RADIANS(B508)))</f>
        <v>-2.47922453781943</v>
      </c>
      <c r="H508" s="42" t="n">
        <f aca="false">-P2_a*P2_al2*SIN(RADIANS($A508))-P2_a*P2_w2^2*COS(RADIANS($A508))+P2_b*G508*SIN(RADIANS(B508))+P2_b*E508^2*COS(RADIANS(B508))</f>
        <v>135.167398831375</v>
      </c>
      <c r="I508" s="45" t="n">
        <v>45</v>
      </c>
    </row>
    <row r="509" customFormat="false" ht="15" hidden="false" customHeight="false" outlineLevel="0" collapsed="false">
      <c r="A509" s="41" t="n">
        <v>251.5</v>
      </c>
      <c r="B509" s="42" t="n">
        <f aca="false">180-DEGREES(ASIN((P2_a*SIN(RADIANS($A509))-P2_c)/P2_b))</f>
        <v>185.735387338018</v>
      </c>
      <c r="C509" s="42" t="n">
        <f aca="false">P2_a*COS(RADIANS($A509))-P2_b*COS(RADIANS(B509))</f>
        <v>120.23355001031</v>
      </c>
      <c r="D509" s="43" t="n">
        <f aca="false">90-DEGREES(ASIN(ABS((P2_a*SIN(RADIANS($A509))-P2_c)/P2_b)))</f>
        <v>84.2646126619819</v>
      </c>
      <c r="E509" s="44" t="n">
        <f aca="false">P2_a*P2_w2*COS(RADIANS($A509))/(P2_b*COS(RADIANS(B509)))</f>
        <v>0.265643964358483</v>
      </c>
      <c r="F509" s="42" t="n">
        <f aca="false">-P2_a*P2_w2*SIN(RADIANS($A509))+P2_b*E509*SIN(RADIANS(B509))</f>
        <v>100.769435347676</v>
      </c>
      <c r="G509" s="44" t="n">
        <f aca="false">(P2_a*P2_al2*COS(RADIANS($A509))-P2_a*P2_w2^2*SIN(RADIANS($A509))+P2_b*E509^2*SIN(RADIANS(B509)))/(P2_b*COS(RADIANS(B509)))</f>
        <v>-2.487104956135</v>
      </c>
      <c r="H509" s="42" t="n">
        <f aca="false">-P2_a*P2_al2*SIN(RADIANS($A509))-P2_a*P2_w2^2*COS(RADIANS($A509))+P2_b*G509*SIN(RADIANS(B509))+P2_b*E509^2*COS(RADIANS(B509))</f>
        <v>133.148540329099</v>
      </c>
      <c r="I509" s="45" t="n">
        <v>45</v>
      </c>
    </row>
    <row r="510" customFormat="false" ht="15" hidden="false" customHeight="false" outlineLevel="0" collapsed="false">
      <c r="A510" s="41" t="n">
        <v>252</v>
      </c>
      <c r="B510" s="42" t="n">
        <f aca="false">180-DEGREES(ASIN((P2_a*SIN(RADIANS($A510))-P2_c)/P2_b))</f>
        <v>185.777115547201</v>
      </c>
      <c r="C510" s="42" t="n">
        <f aca="false">P2_a*COS(RADIANS($A510))-P2_b*COS(RADIANS(B510))</f>
        <v>120.513976176754</v>
      </c>
      <c r="D510" s="43" t="n">
        <f aca="false">90-DEGREES(ASIN(ABS((P2_a*SIN(RADIANS($A510))-P2_c)/P2_b)))</f>
        <v>84.2228844527993</v>
      </c>
      <c r="E510" s="44" t="n">
        <f aca="false">P2_a*P2_w2*COS(RADIANS($A510))/(P2_b*COS(RADIANS(B510)))</f>
        <v>0.25872461871441</v>
      </c>
      <c r="F510" s="42" t="n">
        <f aca="false">-P2_a*P2_w2*SIN(RADIANS($A510))+P2_b*E510*SIN(RADIANS(B510))</f>
        <v>101.136457430841</v>
      </c>
      <c r="G510" s="44" t="n">
        <f aca="false">(P2_a*P2_al2*COS(RADIANS($A510))-P2_a*P2_w2^2*SIN(RADIANS($A510))+P2_b*E510^2*SIN(RADIANS(B510)))/(P2_b*COS(RADIANS(B510)))</f>
        <v>-2.49479148822341</v>
      </c>
      <c r="H510" s="42" t="n">
        <f aca="false">-P2_a*P2_al2*SIN(RADIANS($A510))-P2_a*P2_w2^2*COS(RADIANS($A510))+P2_b*G510*SIN(RADIANS(B510))+P2_b*E510^2*COS(RADIANS(B510))</f>
        <v>131.102886788871</v>
      </c>
      <c r="I510" s="45" t="n">
        <v>45</v>
      </c>
    </row>
    <row r="511" customFormat="false" ht="15" hidden="false" customHeight="false" outlineLevel="0" collapsed="false">
      <c r="A511" s="41" t="n">
        <v>252.5</v>
      </c>
      <c r="B511" s="42" t="n">
        <f aca="false">180-DEGREES(ASIN((P2_a*SIN(RADIANS($A511))-P2_c)/P2_b))</f>
        <v>185.81774082358</v>
      </c>
      <c r="C511" s="42" t="n">
        <f aca="false">P2_a*COS(RADIANS($A511))-P2_b*COS(RADIANS(B511))</f>
        <v>120.795413922265</v>
      </c>
      <c r="D511" s="43" t="n">
        <f aca="false">90-DEGREES(ASIN(ABS((P2_a*SIN(RADIANS($A511))-P2_c)/P2_b)))</f>
        <v>84.1822591764201</v>
      </c>
      <c r="E511" s="44" t="n">
        <f aca="false">P2_a*P2_w2*COS(RADIANS($A511))/(P2_b*COS(RADIANS(B511)))</f>
        <v>0.251784192329401</v>
      </c>
      <c r="F511" s="42" t="n">
        <f aca="false">-P2_a*P2_w2*SIN(RADIANS($A511))+P2_b*E511*SIN(RADIANS(B511))</f>
        <v>101.497759833777</v>
      </c>
      <c r="G511" s="44" t="n">
        <f aca="false">(P2_a*P2_al2*COS(RADIANS($A511))-P2_a*P2_w2^2*SIN(RADIANS($A511))+P2_b*E511^2*SIN(RADIANS(B511)))/(P2_b*COS(RADIANS(B511)))</f>
        <v>-2.50228288322569</v>
      </c>
      <c r="H511" s="42" t="n">
        <f aca="false">-P2_a*P2_al2*SIN(RADIANS($A511))-P2_a*P2_w2^2*COS(RADIANS($A511))+P2_b*G511*SIN(RADIANS(B511))+P2_b*E511^2*COS(RADIANS(B511))</f>
        <v>129.03035774261</v>
      </c>
      <c r="I511" s="45" t="n">
        <v>45</v>
      </c>
    </row>
    <row r="512" customFormat="false" ht="15" hidden="false" customHeight="false" outlineLevel="0" collapsed="false">
      <c r="A512" s="41" t="n">
        <v>253</v>
      </c>
      <c r="B512" s="42" t="n">
        <f aca="false">180-DEGREES(ASIN((P2_a*SIN(RADIANS($A512))-P2_c)/P2_b))</f>
        <v>185.857259855277</v>
      </c>
      <c r="C512" s="42" t="n">
        <f aca="false">P2_a*COS(RADIANS($A512))-P2_b*COS(RADIANS(B512))</f>
        <v>121.077847255061</v>
      </c>
      <c r="D512" s="43" t="n">
        <f aca="false">90-DEGREES(ASIN(ABS((P2_a*SIN(RADIANS($A512))-P2_c)/P2_b)))</f>
        <v>84.142740144723</v>
      </c>
      <c r="E512" s="44" t="n">
        <f aca="false">P2_a*P2_w2*COS(RADIANS($A512))/(P2_b*COS(RADIANS(B512)))</f>
        <v>0.244823228958937</v>
      </c>
      <c r="F512" s="42" t="n">
        <f aca="false">-P2_a*P2_w2*SIN(RADIANS($A512))+P2_b*E512*SIN(RADIANS(B512))</f>
        <v>101.853267798776</v>
      </c>
      <c r="G512" s="44" t="n">
        <f aca="false">(P2_a*P2_al2*COS(RADIANS($A512))-P2_a*P2_w2^2*SIN(RADIANS($A512))+P2_b*E512^2*SIN(RADIANS(B512)))/(P2_b*COS(RADIANS(B512)))</f>
        <v>-2.50957791565268</v>
      </c>
      <c r="H512" s="42" t="n">
        <f aca="false">-P2_a*P2_al2*SIN(RADIANS($A512))-P2_a*P2_w2^2*COS(RADIANS($A512))+P2_b*G512*SIN(RADIANS(B512))+P2_b*E512^2*COS(RADIANS(B512))</f>
        <v>126.930879851911</v>
      </c>
      <c r="I512" s="45" t="n">
        <v>45</v>
      </c>
    </row>
    <row r="513" customFormat="false" ht="15" hidden="false" customHeight="false" outlineLevel="0" collapsed="false">
      <c r="A513" s="41" t="n">
        <v>253.5</v>
      </c>
      <c r="B513" s="42" t="n">
        <f aca="false">180-DEGREES(ASIN((P2_a*SIN(RADIANS($A513))-P2_c)/P2_b))</f>
        <v>185.895669417224</v>
      </c>
      <c r="C513" s="42" t="n">
        <f aca="false">P2_a*COS(RADIANS($A513))-P2_b*COS(RADIANS(B513))</f>
        <v>121.361259975422</v>
      </c>
      <c r="D513" s="43" t="n">
        <f aca="false">90-DEGREES(ASIN(ABS((P2_a*SIN(RADIANS($A513))-P2_c)/P2_b)))</f>
        <v>84.104330582776</v>
      </c>
      <c r="E513" s="44" t="n">
        <f aca="false">P2_a*P2_w2*COS(RADIANS($A513))/(P2_b*COS(RADIANS(B513)))</f>
        <v>0.237842275726613</v>
      </c>
      <c r="F513" s="42" t="n">
        <f aca="false">-P2_a*P2_w2*SIN(RADIANS($A513))+P2_b*E513*SIN(RADIANS(B513))</f>
        <v>102.202906374449</v>
      </c>
      <c r="G513" s="44" t="n">
        <f aca="false">(P2_a*P2_al2*COS(RADIANS($A513))-P2_a*P2_w2^2*SIN(RADIANS($A513))+P2_b*E513^2*SIN(RADIANS(B513)))/(P2_b*COS(RADIANS(B513)))</f>
        <v>-2.51667538606448</v>
      </c>
      <c r="H513" s="42" t="n">
        <f aca="false">-P2_a*P2_al2*SIN(RADIANS($A513))-P2_a*P2_w2^2*COS(RADIANS($A513))+P2_b*G513*SIN(RADIANS(B513))+P2_b*E513^2*COS(RADIANS(B513))</f>
        <v>124.804387020403</v>
      </c>
      <c r="I513" s="45" t="n">
        <v>45</v>
      </c>
    </row>
    <row r="514" customFormat="false" ht="15" hidden="false" customHeight="false" outlineLevel="0" collapsed="false">
      <c r="A514" s="41" t="n">
        <v>254</v>
      </c>
      <c r="B514" s="42" t="n">
        <f aca="false">180-DEGREES(ASIN((P2_a*SIN(RADIANS($A514))-P2_c)/P2_b))</f>
        <v>185.932966371693</v>
      </c>
      <c r="C514" s="42" t="n">
        <f aca="false">P2_a*COS(RADIANS($A514))-P2_b*COS(RADIANS(B514))</f>
        <v>121.645635675188</v>
      </c>
      <c r="D514" s="43" t="n">
        <f aca="false">90-DEGREES(ASIN(ABS((P2_a*SIN(RADIANS($A514))-P2_c)/P2_b)))</f>
        <v>84.0670336283069</v>
      </c>
      <c r="E514" s="44" t="n">
        <f aca="false">P2_a*P2_w2*COS(RADIANS($A514))/(P2_b*COS(RADIANS(B514)))</f>
        <v>0.230841883050847</v>
      </c>
      <c r="F514" s="42" t="n">
        <f aca="false">-P2_a*P2_w2*SIN(RADIANS($A514))+P2_b*E514*SIN(RADIANS(B514))</f>
        <v>102.546600435988</v>
      </c>
      <c r="G514" s="44" t="n">
        <f aca="false">(P2_a*P2_al2*COS(RADIANS($A514))-P2_a*P2_w2^2*SIN(RADIANS($A514))+P2_b*E514^2*SIN(RADIANS(B514)))/(P2_b*COS(RADIANS(B514)))</f>
        <v>-2.523574121739</v>
      </c>
      <c r="H514" s="42" t="n">
        <f aca="false">-P2_a*P2_al2*SIN(RADIANS($A514))-P2_a*P2_w2^2*COS(RADIANS($A514))+P2_b*G514*SIN(RADIANS(B514))+P2_b*E514^2*COS(RADIANS(B514))</f>
        <v>122.650820503749</v>
      </c>
      <c r="I514" s="45" t="n">
        <v>45</v>
      </c>
    </row>
    <row r="515" customFormat="false" ht="15" hidden="false" customHeight="false" outlineLevel="0" collapsed="false">
      <c r="A515" s="41" t="n">
        <v>254.5</v>
      </c>
      <c r="B515" s="42" t="n">
        <f aca="false">180-DEGREES(ASIN((P2_a*SIN(RADIANS($A515))-P2_c)/P2_b))</f>
        <v>185.969147668816</v>
      </c>
      <c r="C515" s="42" t="n">
        <f aca="false">P2_a*COS(RADIANS($A515))-P2_b*COS(RADIANS(B515))</f>
        <v>121.9309577373</v>
      </c>
      <c r="D515" s="43" t="n">
        <f aca="false">90-DEGREES(ASIN(ABS((P2_a*SIN(RADIANS($A515))-P2_c)/P2_b)))</f>
        <v>84.0308523311843</v>
      </c>
      <c r="E515" s="44" t="n">
        <f aca="false">P2_a*P2_w2*COS(RADIANS($A515))/(P2_b*COS(RADIANS(B515)))</f>
        <v>0.223822604569747</v>
      </c>
      <c r="F515" s="42" t="n">
        <f aca="false">-P2_a*P2_w2*SIN(RADIANS($A515))+P2_b*E515*SIN(RADIANS(B515))</f>
        <v>102.884274705746</v>
      </c>
      <c r="G515" s="44" t="n">
        <f aca="false">(P2_a*P2_al2*COS(RADIANS($A515))-P2_a*P2_w2^2*SIN(RADIANS($A515))+P2_b*E515^2*SIN(RADIANS(B515)))/(P2_b*COS(RADIANS(B515)))</f>
        <v>-2.53027297732917</v>
      </c>
      <c r="H515" s="42" t="n">
        <f aca="false">-P2_a*P2_al2*SIN(RADIANS($A515))-P2_a*P2_w2^2*COS(RADIANS($A515))+P2_b*G515*SIN(RADIANS(B515))+P2_b*E515^2*COS(RADIANS(B515))</f>
        <v>120.470129017203</v>
      </c>
      <c r="I515" s="45" t="n">
        <v>45</v>
      </c>
    </row>
    <row r="516" customFormat="false" ht="15" hidden="false" customHeight="false" outlineLevel="0" collapsed="false">
      <c r="A516" s="41" t="n">
        <v>255</v>
      </c>
      <c r="B516" s="42" t="n">
        <f aca="false">180-DEGREES(ASIN((P2_a*SIN(RADIANS($A516))-P2_c)/P2_b))</f>
        <v>186.004210347089</v>
      </c>
      <c r="C516" s="42" t="n">
        <f aca="false">P2_a*COS(RADIANS($A516))-P2_b*COS(RADIANS(B516))</f>
        <v>122.217209335407</v>
      </c>
      <c r="D516" s="43" t="n">
        <f aca="false">90-DEGREES(ASIN(ABS((P2_a*SIN(RADIANS($A516))-P2_c)/P2_b)))</f>
        <v>83.9957896529113</v>
      </c>
      <c r="E516" s="44" t="n">
        <f aca="false">P2_a*P2_w2*COS(RADIANS($A516))/(P2_b*COS(RADIANS(B516)))</f>
        <v>0.216784997064172</v>
      </c>
      <c r="F516" s="42" t="n">
        <f aca="false">-P2_a*P2_w2*SIN(RADIANS($A516))+P2_b*E516*SIN(RADIANS(B516))</f>
        <v>103.215853774097</v>
      </c>
      <c r="G516" s="44" t="n">
        <f aca="false">(P2_a*P2_al2*COS(RADIANS($A516))-P2_a*P2_w2^2*SIN(RADIANS($A516))+P2_b*E516^2*SIN(RADIANS(B516)))/(P2_b*COS(RADIANS(B516)))</f>
        <v>-2.53677083550799</v>
      </c>
      <c r="H516" s="42" t="n">
        <f aca="false">-P2_a*P2_al2*SIN(RADIANS($A516))-P2_a*P2_w2^2*COS(RADIANS($A516))+P2_b*G516*SIN(RADIANS(B516))+P2_b*E516^2*COS(RADIANS(B516))</f>
        <v>118.262268840607</v>
      </c>
      <c r="I516" s="45" t="n">
        <v>45</v>
      </c>
    </row>
    <row r="517" customFormat="false" ht="15" hidden="false" customHeight="false" outlineLevel="0" collapsed="false">
      <c r="A517" s="41" t="n">
        <v>255.5</v>
      </c>
      <c r="B517" s="42" t="n">
        <f aca="false">180-DEGREES(ASIN((P2_a*SIN(RADIANS($A517))-P2_c)/P2_b))</f>
        <v>186.038151533868</v>
      </c>
      <c r="C517" s="42" t="n">
        <f aca="false">P2_a*COS(RADIANS($A517))-P2_b*COS(RADIANS(B517))</f>
        <v>122.504373433528</v>
      </c>
      <c r="D517" s="43" t="n">
        <f aca="false">90-DEGREES(ASIN(ABS((P2_a*SIN(RADIANS($A517))-P2_c)/P2_b)))</f>
        <v>83.961848466132</v>
      </c>
      <c r="E517" s="44" t="n">
        <f aca="false">P2_a*P2_w2*COS(RADIANS($A517))/(P2_b*COS(RADIANS(B517)))</f>
        <v>0.209729620379018</v>
      </c>
      <c r="F517" s="42" t="n">
        <f aca="false">-P2_a*P2_w2*SIN(RADIANS($A517))+P2_b*E517*SIN(RADIANS(B517))</f>
        <v>103.541262120599</v>
      </c>
      <c r="G517" s="44" t="n">
        <f aca="false">(P2_a*P2_al2*COS(RADIANS($A517))-P2_a*P2_w2^2*SIN(RADIANS($A517))+P2_b*E517^2*SIN(RADIANS(B517)))/(P2_b*COS(RADIANS(B517)))</f>
        <v>-2.54306660760097</v>
      </c>
      <c r="H517" s="42" t="n">
        <f aca="false">-P2_a*P2_al2*SIN(RADIANS($A517))-P2_a*P2_w2^2*COS(RADIANS($A517))+P2_b*G517*SIN(RADIANS(B517))+P2_b*E517^2*COS(RADIANS(B517))</f>
        <v>116.02720392075</v>
      </c>
      <c r="I517" s="45" t="n">
        <v>45</v>
      </c>
    </row>
    <row r="518" customFormat="false" ht="15" hidden="false" customHeight="false" outlineLevel="0" collapsed="false">
      <c r="A518" s="41" t="n">
        <v>256</v>
      </c>
      <c r="B518" s="42" t="n">
        <f aca="false">180-DEGREES(ASIN((P2_a*SIN(RADIANS($A518))-P2_c)/P2_b))</f>
        <v>186.070968445851</v>
      </c>
      <c r="C518" s="42" t="n">
        <f aca="false">P2_a*COS(RADIANS($A518))-P2_b*COS(RADIANS(B518))</f>
        <v>122.792432785772</v>
      </c>
      <c r="D518" s="43" t="n">
        <f aca="false">90-DEGREES(ASIN(ABS((P2_a*SIN(RADIANS($A518))-P2_c)/P2_b)))</f>
        <v>83.9290315541495</v>
      </c>
      <c r="E518" s="44" t="n">
        <f aca="false">P2_a*P2_w2*COS(RADIANS($A518))/(P2_b*COS(RADIANS(B518)))</f>
        <v>0.202657037342764</v>
      </c>
      <c r="F518" s="42" t="n">
        <f aca="false">-P2_a*P2_w2*SIN(RADIANS($A518))+P2_b*E518*SIN(RADIANS(B518))</f>
        <v>103.860424135423</v>
      </c>
      <c r="G518" s="44" t="n">
        <f aca="false">(P2_a*P2_al2*COS(RADIANS($A518))-P2_a*P2_w2^2*SIN(RADIANS($A518))+P2_b*E518^2*SIN(RADIANS(B518)))/(P2_b*COS(RADIANS(B518)))</f>
        <v>-2.54915923420523</v>
      </c>
      <c r="H518" s="42" t="n">
        <f aca="false">-P2_a*P2_al2*SIN(RADIANS($A518))-P2_a*P2_w2^2*COS(RADIANS($A518))+P2_b*G518*SIN(RADIANS(B518))+P2_b*E518^2*COS(RADIANS(B518))</f>
        <v>113.764905970981</v>
      </c>
      <c r="I518" s="45" t="n">
        <v>45</v>
      </c>
    </row>
    <row r="519" customFormat="false" ht="15" hidden="false" customHeight="false" outlineLevel="0" collapsed="false">
      <c r="A519" s="41" t="n">
        <v>256.5</v>
      </c>
      <c r="B519" s="42" t="n">
        <f aca="false">180-DEGREES(ASIN((P2_a*SIN(RADIANS($A519))-P2_c)/P2_b))</f>
        <v>186.102658389542</v>
      </c>
      <c r="C519" s="42" t="n">
        <f aca="false">P2_a*COS(RADIANS($A519))-P2_b*COS(RADIANS(B519))</f>
        <v>123.081369936125</v>
      </c>
      <c r="D519" s="43" t="n">
        <f aca="false">90-DEGREES(ASIN(ABS((P2_a*SIN(RADIANS($A519))-P2_c)/P2_b)))</f>
        <v>83.8973416104584</v>
      </c>
      <c r="E519" s="44" t="n">
        <f aca="false">P2_a*P2_w2*COS(RADIANS($A519))/(P2_b*COS(RADIANS(B519)))</f>
        <v>0.195567813685314</v>
      </c>
      <c r="F519" s="42" t="n">
        <f aca="false">-P2_a*P2_w2*SIN(RADIANS($A519))+P2_b*E519*SIN(RADIANS(B519))</f>
        <v>104.173264141069</v>
      </c>
      <c r="G519" s="44" t="n">
        <f aca="false">(P2_a*P2_al2*COS(RADIANS($A519))-P2_a*P2_w2^2*SIN(RADIANS($A519))+P2_b*E519^2*SIN(RADIANS(B519)))/(P2_b*COS(RADIANS(B519)))</f>
        <v>-2.5550476857948</v>
      </c>
      <c r="H519" s="42" t="n">
        <f aca="false">-P2_a*P2_al2*SIN(RADIANS($A519))-P2_a*P2_w2^2*COS(RADIANS($A519))+P2_b*G519*SIN(RADIANS(B519))+P2_b*E519^2*COS(RADIANS(B519))</f>
        <v>111.475354567982</v>
      </c>
      <c r="I519" s="45" t="n">
        <v>45</v>
      </c>
    </row>
    <row r="520" customFormat="false" ht="15" hidden="false" customHeight="false" outlineLevel="0" collapsed="false">
      <c r="A520" s="41" t="n">
        <v>257</v>
      </c>
      <c r="B520" s="42" t="n">
        <f aca="false">180-DEGREES(ASIN((P2_a*SIN(RADIANS($A520))-P2_c)/P2_b))</f>
        <v>186.133218761711</v>
      </c>
      <c r="C520" s="42" t="n">
        <f aca="false">P2_a*COS(RADIANS($A520))-P2_b*COS(RADIANS(B520))</f>
        <v>123.371167218286</v>
      </c>
      <c r="D520" s="43" t="n">
        <f aca="false">90-DEGREES(ASIN(ABS((P2_a*SIN(RADIANS($A520))-P2_c)/P2_b)))</f>
        <v>83.866781238289</v>
      </c>
      <c r="E520" s="44" t="n">
        <f aca="false">P2_a*P2_w2*COS(RADIANS($A520))/(P2_b*COS(RADIANS(B520)))</f>
        <v>0.188462517954189</v>
      </c>
      <c r="F520" s="42" t="n">
        <f aca="false">-P2_a*P2_w2*SIN(RADIANS($A520))+P2_b*E520*SIN(RADIANS(B520))</f>
        <v>104.479706414331</v>
      </c>
      <c r="G520" s="44" t="n">
        <f aca="false">(P2_a*P2_al2*COS(RADIANS($A520))-P2_a*P2_w2^2*SIN(RADIANS($A520))+P2_b*E520^2*SIN(RADIANS(B520)))/(P2_b*COS(RADIANS(B520)))</f>
        <v>-2.56073096331135</v>
      </c>
      <c r="H520" s="42" t="n">
        <f aca="false">-P2_a*P2_al2*SIN(RADIANS($A520))-P2_a*P2_w2^2*COS(RADIANS($A520))+P2_b*G520*SIN(RADIANS(B520))+P2_b*E520^2*COS(RADIANS(B520))</f>
        <v>109.158537245622</v>
      </c>
      <c r="I520" s="45" t="n">
        <v>45</v>
      </c>
    </row>
    <row r="521" customFormat="false" ht="15" hidden="false" customHeight="false" outlineLevel="0" collapsed="false">
      <c r="A521" s="41" t="n">
        <v>257.5</v>
      </c>
      <c r="B521" s="42" t="n">
        <f aca="false">180-DEGREES(ASIN((P2_a*SIN(RADIANS($A521))-P2_c)/P2_b))</f>
        <v>186.162647049834</v>
      </c>
      <c r="C521" s="42" t="n">
        <f aca="false">P2_a*COS(RADIANS($A521))-P2_b*COS(RADIANS(B521))</f>
        <v>123.661806755576</v>
      </c>
      <c r="D521" s="43" t="n">
        <f aca="false">90-DEGREES(ASIN(ABS((P2_a*SIN(RADIANS($A521))-P2_c)/P2_b)))</f>
        <v>83.8373529501658</v>
      </c>
      <c r="E521" s="44" t="n">
        <f aca="false">P2_a*P2_w2*COS(RADIANS($A521))/(P2_b*COS(RADIANS(B521)))</f>
        <v>0.181341721429086</v>
      </c>
      <c r="F521" s="42" t="n">
        <f aca="false">-P2_a*P2_w2*SIN(RADIANS($A521))+P2_b*E521*SIN(RADIANS(B521))</f>
        <v>104.779675208536</v>
      </c>
      <c r="G521" s="44" t="n">
        <f aca="false">(P2_a*P2_al2*COS(RADIANS($A521))-P2_a*P2_w2^2*SIN(RADIANS($A521))+P2_b*E521^2*SIN(RADIANS(B521)))/(P2_b*COS(RADIANS(B521)))</f>
        <v>-2.56620809873997</v>
      </c>
      <c r="H521" s="42" t="n">
        <f aca="false">-P2_a*P2_al2*SIN(RADIANS($A521))-P2_a*P2_w2^2*COS(RADIANS($A521))+P2_b*G521*SIN(RADIANS(B521))+P2_b*E521^2*COS(RADIANS(B521))</f>
        <v>106.814449585788</v>
      </c>
      <c r="I521" s="45" t="n">
        <v>45</v>
      </c>
    </row>
    <row r="522" customFormat="false" ht="15" hidden="false" customHeight="false" outlineLevel="0" collapsed="false">
      <c r="A522" s="41" t="n">
        <v>258</v>
      </c>
      <c r="B522" s="42" t="n">
        <f aca="false">180-DEGREES(ASIN((P2_a*SIN(RADIANS($A522))-P2_c)/P2_b))</f>
        <v>186.19094083252</v>
      </c>
      <c r="C522" s="42" t="n">
        <f aca="false">P2_a*COS(RADIANS($A522))-P2_b*COS(RADIANS(B522))</f>
        <v>123.9532704609</v>
      </c>
      <c r="D522" s="43" t="n">
        <f aca="false">90-DEGREES(ASIN(ABS((P2_a*SIN(RADIANS($A522))-P2_c)/P2_b)))</f>
        <v>83.80905916748</v>
      </c>
      <c r="E522" s="44" t="n">
        <f aca="false">P2_a*P2_w2*COS(RADIANS($A522))/(P2_b*COS(RADIANS(B522)))</f>
        <v>0.174205998034866</v>
      </c>
      <c r="F522" s="42" t="n">
        <f aca="false">-P2_a*P2_w2*SIN(RADIANS($A522))+P2_b*E522*SIN(RADIANS(B522))</f>
        <v>105.073094776017</v>
      </c>
      <c r="G522" s="44" t="n">
        <f aca="false">(P2_a*P2_al2*COS(RADIANS($A522))-P2_a*P2_w2^2*SIN(RADIANS($A522))+P2_b*E522^2*SIN(RADIANS(B522)))/(P2_b*COS(RADIANS(B522)))</f>
        <v>-2.57147815566934</v>
      </c>
      <c r="H522" s="42" t="n">
        <f aca="false">-P2_a*P2_al2*SIN(RADIANS($A522))-P2_a*P2_w2^2*COS(RADIANS($A522))+P2_b*G522*SIN(RADIANS(B522))+P2_b*E522^2*COS(RADIANS(B522))</f>
        <v>104.443095306104</v>
      </c>
      <c r="I522" s="45" t="n">
        <v>45</v>
      </c>
    </row>
    <row r="523" customFormat="false" ht="15" hidden="false" customHeight="false" outlineLevel="0" collapsed="false">
      <c r="A523" s="41" t="n">
        <v>258.5</v>
      </c>
      <c r="B523" s="42" t="n">
        <f aca="false">180-DEGREES(ASIN((P2_a*SIN(RADIANS($A523))-P2_c)/P2_b))</f>
        <v>186.218097779925</v>
      </c>
      <c r="C523" s="42" t="n">
        <f aca="false">P2_a*COS(RADIANS($A523))-P2_b*COS(RADIANS(B523))</f>
        <v>124.245540036781</v>
      </c>
      <c r="D523" s="43" t="n">
        <f aca="false">90-DEGREES(ASIN(ABS((P2_a*SIN(RADIANS($A523))-P2_c)/P2_b)))</f>
        <v>83.7819022200749</v>
      </c>
      <c r="E523" s="44" t="n">
        <f aca="false">P2_a*P2_w2*COS(RADIANS($A523))/(P2_b*COS(RADIANS(B523)))</f>
        <v>0.167055924253008</v>
      </c>
      <c r="F523" s="42" t="n">
        <f aca="false">-P2_a*P2_w2*SIN(RADIANS($A523))+P2_b*E523*SIN(RADIANS(B523))</f>
        <v>105.359889390831</v>
      </c>
      <c r="G523" s="44" t="n">
        <f aca="false">(P2_a*P2_al2*COS(RADIANS($A523))-P2_a*P2_w2^2*SIN(RADIANS($A523))+P2_b*E523^2*SIN(RADIANS(B523)))/(P2_b*COS(RADIANS(B523)))</f>
        <v>-2.57654022983569</v>
      </c>
      <c r="H523" s="42" t="n">
        <f aca="false">-P2_a*P2_al2*SIN(RADIANS($A523))-P2_a*P2_w2^2*COS(RADIANS($A523))+P2_b*G523*SIN(RADIANS(B523))+P2_b*E523^2*COS(RADIANS(B523))</f>
        <v>102.044486344465</v>
      </c>
      <c r="I523" s="45" t="n">
        <v>45</v>
      </c>
    </row>
    <row r="524" customFormat="false" ht="15" hidden="false" customHeight="false" outlineLevel="0" collapsed="false">
      <c r="A524" s="41" t="n">
        <v>259</v>
      </c>
      <c r="B524" s="42" t="n">
        <f aca="false">180-DEGREES(ASIN((P2_a*SIN(RADIANS($A524))-P2_c)/P2_b))</f>
        <v>186.244115654154</v>
      </c>
      <c r="C524" s="42" t="n">
        <f aca="false">P2_a*COS(RADIANS($A524))-P2_b*COS(RADIANS(B524))</f>
        <v>124.538596975446</v>
      </c>
      <c r="D524" s="43" t="n">
        <f aca="false">90-DEGREES(ASIN(ABS((P2_a*SIN(RADIANS($A524))-P2_c)/P2_b)))</f>
        <v>83.7558843458465</v>
      </c>
      <c r="E524" s="44" t="n">
        <f aca="false">P2_a*P2_w2*COS(RADIANS($A524))/(P2_b*COS(RADIANS(B524)))</f>
        <v>0.159892079031573</v>
      </c>
      <c r="F524" s="42" t="n">
        <f aca="false">-P2_a*P2_w2*SIN(RADIANS($A524))+P2_b*E524*SIN(RADIANS(B524))</f>
        <v>105.639983371707</v>
      </c>
      <c r="G524" s="44" t="n">
        <f aca="false">(P2_a*P2_al2*COS(RADIANS($A524))-P2_a*P2_w2^2*SIN(RADIANS($A524))+P2_b*E524^2*SIN(RADIANS(B524)))/(P2_b*COS(RADIANS(B524)))</f>
        <v>-2.58139344965013</v>
      </c>
      <c r="H524" s="42" t="n">
        <f aca="false">-P2_a*P2_al2*SIN(RADIANS($A524))-P2_a*P2_w2^2*COS(RADIANS($A524))+P2_b*G524*SIN(RADIANS(B524))+P2_b*E524^2*COS(RADIANS(B524))</f>
        <v>99.6186429402898</v>
      </c>
      <c r="I524" s="45" t="n">
        <v>45</v>
      </c>
    </row>
    <row r="525" customFormat="false" ht="15" hidden="false" customHeight="false" outlineLevel="0" collapsed="false">
      <c r="A525" s="41" t="n">
        <v>259.5</v>
      </c>
      <c r="B525" s="42" t="n">
        <f aca="false">180-DEGREES(ASIN((P2_a*SIN(RADIANS($A525))-P2_c)/P2_b))</f>
        <v>186.268992309642</v>
      </c>
      <c r="C525" s="42" t="n">
        <f aca="false">P2_a*COS(RADIANS($A525))-P2_b*COS(RADIANS(B525))</f>
        <v>124.832422558985</v>
      </c>
      <c r="D525" s="43" t="n">
        <f aca="false">90-DEGREES(ASIN(ABS((P2_a*SIN(RADIANS($A525))-P2_c)/P2_b)))</f>
        <v>83.7310076903581</v>
      </c>
      <c r="E525" s="44" t="n">
        <f aca="false">P2_a*P2_w2*COS(RADIANS($A525))/(P2_b*COS(RADIANS(B525)))</f>
        <v>0.152715043693729</v>
      </c>
      <c r="F525" s="42" t="n">
        <f aca="false">-P2_a*P2_w2*SIN(RADIANS($A525))+P2_b*E525*SIN(RADIANS(B525))</f>
        <v>105.913301105216</v>
      </c>
      <c r="G525" s="44" t="n">
        <f aca="false">(P2_a*P2_al2*COS(RADIANS($A525))-P2_a*P2_w2^2*SIN(RADIANS($A525))+P2_b*E525^2*SIN(RADIANS(B525)))/(P2_b*COS(RADIANS(B525)))</f>
        <v>-2.58603697670871</v>
      </c>
      <c r="H525" s="42" t="n">
        <f aca="false">-P2_a*P2_al2*SIN(RADIANS($A525))-P2_a*P2_w2^2*COS(RADIANS($A525))+P2_b*G525*SIN(RADIANS(B525))+P2_b*E525^2*COS(RADIANS(B525))</f>
        <v>97.1655937124082</v>
      </c>
      <c r="I525" s="45" t="n">
        <v>45</v>
      </c>
    </row>
    <row r="526" customFormat="false" ht="15" hidden="false" customHeight="false" outlineLevel="0" collapsed="false">
      <c r="A526" s="41" t="n">
        <v>260</v>
      </c>
      <c r="B526" s="42" t="n">
        <f aca="false">180-DEGREES(ASIN((P2_a*SIN(RADIANS($A526))-P2_c)/P2_b))</f>
        <v>186.29272569353</v>
      </c>
      <c r="C526" s="42" t="n">
        <f aca="false">P2_a*COS(RADIANS($A526))-P2_b*COS(RADIANS(B526))</f>
        <v>125.126997859573</v>
      </c>
      <c r="D526" s="43" t="n">
        <f aca="false">90-DEGREES(ASIN(ABS((P2_a*SIN(RADIANS($A526))-P2_c)/P2_b)))</f>
        <v>83.7072743064698</v>
      </c>
      <c r="E526" s="44" t="n">
        <f aca="false">P2_a*P2_w2*COS(RADIANS($A526))/(P2_b*COS(RADIANS(B526)))</f>
        <v>0.145525401844878</v>
      </c>
      <c r="F526" s="42" t="n">
        <f aca="false">-P2_a*P2_w2*SIN(RADIANS($A526))+P2_b*E526*SIN(RADIANS(B526))</f>
        <v>106.179767069151</v>
      </c>
      <c r="G526" s="44" t="n">
        <f aca="false">(P2_a*P2_al2*COS(RADIANS($A526))-P2_a*P2_w2^2*SIN(RADIANS($A526))+P2_b*E526^2*SIN(RADIANS(B526)))/(P2_b*COS(RADIANS(B526)))</f>
        <v>-2.59047000628485</v>
      </c>
      <c r="H526" s="42" t="n">
        <f aca="false">-P2_a*P2_al2*SIN(RADIANS($A526))-P2_a*P2_w2^2*COS(RADIANS($A526))+P2_b*G526*SIN(RADIANS(B526))+P2_b*E526^2*COS(RADIANS(B526))</f>
        <v>94.6853757335174</v>
      </c>
      <c r="I526" s="45" t="n">
        <v>45</v>
      </c>
    </row>
    <row r="527" customFormat="false" ht="15" hidden="false" customHeight="false" outlineLevel="0" collapsed="false">
      <c r="A527" s="41" t="n">
        <v>260.5</v>
      </c>
      <c r="B527" s="42" t="n">
        <f aca="false">180-DEGREES(ASIN((P2_a*SIN(RADIANS($A527))-P2_c)/P2_b))</f>
        <v>186.315313846017</v>
      </c>
      <c r="C527" s="42" t="n">
        <f aca="false">P2_a*COS(RADIANS($A527))-P2_b*COS(RADIANS(B527))</f>
        <v>125.422303739756</v>
      </c>
      <c r="D527" s="43" t="n">
        <f aca="false">90-DEGREES(ASIN(ABS((P2_a*SIN(RADIANS($A527))-P2_c)/P2_b)))</f>
        <v>83.6846861539826</v>
      </c>
      <c r="E527" s="44" t="n">
        <f aca="false">P2_a*P2_w2*COS(RADIANS($A527))/(P2_b*COS(RADIANS(B527)))</f>
        <v>0.138323739278453</v>
      </c>
      <c r="F527" s="42" t="n">
        <f aca="false">-P2_a*P2_w2*SIN(RADIANS($A527))+P2_b*E527*SIN(RADIANS(B527))</f>
        <v>106.439305856106</v>
      </c>
      <c r="G527" s="44" t="n">
        <f aca="false">(P2_a*P2_al2*COS(RADIANS($A527))-P2_a*P2_w2^2*SIN(RADIANS($A527))+P2_b*E527^2*SIN(RADIANS(B527)))/(P2_b*COS(RADIANS(B527)))</f>
        <v>-2.59469176780346</v>
      </c>
      <c r="H527" s="42" t="n">
        <f aca="false">-P2_a*P2_al2*SIN(RADIANS($A527))-P2_a*P2_w2^2*COS(RADIANS($A527))+P2_b*G527*SIN(RADIANS(B527))+P2_b*E527^2*COS(RADIANS(B527))</f>
        <v>92.1780346011161</v>
      </c>
      <c r="I527" s="45" t="n">
        <v>45</v>
      </c>
    </row>
    <row r="528" customFormat="false" ht="15" hidden="false" customHeight="false" outlineLevel="0" collapsed="false">
      <c r="A528" s="41" t="n">
        <v>261</v>
      </c>
      <c r="B528" s="42" t="n">
        <f aca="false">180-DEGREES(ASIN((P2_a*SIN(RADIANS($A528))-P2_c)/P2_b))</f>
        <v>186.336754900702</v>
      </c>
      <c r="C528" s="42" t="n">
        <f aca="false">P2_a*COS(RADIANS($A528))-P2_b*COS(RADIANS(B528))</f>
        <v>125.718320852801</v>
      </c>
      <c r="D528" s="43" t="n">
        <f aca="false">90-DEGREES(ASIN(ABS((P2_a*SIN(RADIANS($A528))-P2_c)/P2_b)))</f>
        <v>83.6632450992977</v>
      </c>
      <c r="E528" s="44" t="n">
        <f aca="false">P2_a*P2_w2*COS(RADIANS($A528))/(P2_b*COS(RADIANS(B528)))</f>
        <v>0.131110643880408</v>
      </c>
      <c r="F528" s="42" t="n">
        <f aca="false">-P2_a*P2_w2*SIN(RADIANS($A528))+P2_b*E528*SIN(RADIANS(B528))</f>
        <v>106.691842197256</v>
      </c>
      <c r="G528" s="44" t="n">
        <f aca="false">(P2_a*P2_al2*COS(RADIANS($A528))-P2_a*P2_w2^2*SIN(RADIANS($A528))+P2_b*E528^2*SIN(RADIANS(B528)))/(P2_b*COS(RADIANS(B528)))</f>
        <v>-2.5987015252964</v>
      </c>
      <c r="H528" s="42" t="n">
        <f aca="false">-P2_a*P2_al2*SIN(RADIANS($A528))-P2_a*P2_w2^2*COS(RADIANS($A528))+P2_b*G528*SIN(RADIANS(B528))+P2_b*E528^2*COS(RADIANS(B528))</f>
        <v>89.643624504846</v>
      </c>
      <c r="I528" s="45" t="n">
        <v>45</v>
      </c>
    </row>
    <row r="529" customFormat="false" ht="15" hidden="false" customHeight="false" outlineLevel="0" collapsed="false">
      <c r="A529" s="41" t="n">
        <v>261.5</v>
      </c>
      <c r="B529" s="42" t="n">
        <f aca="false">180-DEGREES(ASIN((P2_a*SIN(RADIANS($A529))-P2_c)/P2_b))</f>
        <v>186.357047084909</v>
      </c>
      <c r="C529" s="42" t="n">
        <f aca="false">P2_a*COS(RADIANS($A529))-P2_b*COS(RADIANS(B529))</f>
        <v>126.015029643113</v>
      </c>
      <c r="D529" s="43" t="n">
        <f aca="false">90-DEGREES(ASIN(ABS((P2_a*SIN(RADIANS($A529))-P2_c)/P2_b)))</f>
        <v>83.6429529150912</v>
      </c>
      <c r="E529" s="44" t="n">
        <f aca="false">P2_a*P2_w2*COS(RADIANS($A529))/(P2_b*COS(RADIANS(B529)))</f>
        <v>0.123886705532485</v>
      </c>
      <c r="F529" s="42" t="n">
        <f aca="false">-P2_a*P2_w2*SIN(RADIANS($A529))+P2_b*E529*SIN(RADIANS(B529))</f>
        <v>106.93730098631</v>
      </c>
      <c r="G529" s="44" t="n">
        <f aca="false">(P2_a*P2_al2*COS(RADIANS($A529))-P2_a*P2_w2^2*SIN(RADIANS($A529))+P2_b*E529^2*SIN(RADIANS(B529)))/(P2_b*COS(RADIANS(B529)))</f>
        <v>-2.60249857783879</v>
      </c>
      <c r="H529" s="42" t="n">
        <f aca="false">-P2_a*P2_al2*SIN(RADIANS($A529))-P2_a*P2_w2^2*COS(RADIANS($A529))+P2_b*G529*SIN(RADIANS(B529))+P2_b*E529^2*COS(RADIANS(B529))</f>
        <v>87.0822082901738</v>
      </c>
      <c r="I529" s="45" t="n">
        <v>45</v>
      </c>
    </row>
    <row r="530" customFormat="false" ht="15" hidden="false" customHeight="false" outlineLevel="0" collapsed="false">
      <c r="A530" s="41" t="n">
        <v>262</v>
      </c>
      <c r="B530" s="42" t="n">
        <f aca="false">180-DEGREES(ASIN((P2_a*SIN(RADIANS($A530))-P2_c)/P2_b))</f>
        <v>186.376188719995</v>
      </c>
      <c r="C530" s="42" t="n">
        <f aca="false">P2_a*COS(RADIANS($A530))-P2_b*COS(RADIANS(B530))</f>
        <v>126.312410346726</v>
      </c>
      <c r="D530" s="43" t="n">
        <f aca="false">90-DEGREES(ASIN(ABS((P2_a*SIN(RADIANS($A530))-P2_c)/P2_b)))</f>
        <v>83.6238112800046</v>
      </c>
      <c r="E530" s="44" t="n">
        <f aca="false">P2_a*P2_w2*COS(RADIANS($A530))/(P2_b*COS(RADIANS(B530)))</f>
        <v>0.116652516014277</v>
      </c>
      <c r="F530" s="42" t="n">
        <f aca="false">-P2_a*P2_w2*SIN(RADIANS($A530))+P2_b*E530*SIN(RADIANS(B530))</f>
        <v>107.175607303637</v>
      </c>
      <c r="G530" s="44" t="n">
        <f aca="false">(P2_a*P2_al2*COS(RADIANS($A530))-P2_a*P2_w2^2*SIN(RADIANS($A530))+P2_b*E530^2*SIN(RADIANS(B530)))/(P2_b*COS(RADIANS(B530)))</f>
        <v>-2.60608225996577</v>
      </c>
      <c r="H530" s="42" t="n">
        <f aca="false">-P2_a*P2_al2*SIN(RADIANS($A530))-P2_a*P2_w2^2*COS(RADIANS($A530))+P2_b*G530*SIN(RADIANS(B530))+P2_b*E530^2*COS(RADIANS(B530))</f>
        <v>84.4938575183349</v>
      </c>
      <c r="I530" s="45" t="n">
        <v>45</v>
      </c>
    </row>
    <row r="531" customFormat="false" ht="15" hidden="false" customHeight="false" outlineLevel="0" collapsed="false">
      <c r="A531" s="41" t="n">
        <v>262.5</v>
      </c>
      <c r="B531" s="42" t="n">
        <f aca="false">180-DEGREES(ASIN((P2_a*SIN(RADIANS($A531))-P2_c)/P2_b))</f>
        <v>186.39417822165</v>
      </c>
      <c r="C531" s="42" t="n">
        <f aca="false">P2_a*COS(RADIANS($A531))-P2_b*COS(RADIANS(B531))</f>
        <v>126.610442991848</v>
      </c>
      <c r="D531" s="43" t="n">
        <f aca="false">90-DEGREES(ASIN(ABS((P2_a*SIN(RADIANS($A531))-P2_c)/P2_b)))</f>
        <v>83.6058217783499</v>
      </c>
      <c r="E531" s="44" t="n">
        <f aca="false">P2_a*P2_w2*COS(RADIANS($A531))/(P2_b*COS(RADIANS(B531)))</f>
        <v>0.109408668904185</v>
      </c>
      <c r="F531" s="42" t="n">
        <f aca="false">-P2_a*P2_w2*SIN(RADIANS($A531))+P2_b*E531*SIN(RADIANS(B531))</f>
        <v>107.406686440562</v>
      </c>
      <c r="G531" s="44" t="n">
        <f aca="false">(P2_a*P2_al2*COS(RADIANS($A531))-P2_a*P2_w2^2*SIN(RADIANS($A531))+P2_b*E531^2*SIN(RADIANS(B531)))/(P2_b*COS(RADIANS(B531)))</f>
        <v>-2.60945194206913</v>
      </c>
      <c r="H531" s="42" t="n">
        <f aca="false">-P2_a*P2_al2*SIN(RADIANS($A531))-P2_a*P2_w2^2*COS(RADIANS($A531))+P2_b*G531*SIN(RADIANS(B531))+P2_b*E531^2*COS(RADIANS(B531))</f>
        <v>81.8786525224843</v>
      </c>
      <c r="I531" s="45" t="n">
        <v>45</v>
      </c>
    </row>
    <row r="532" customFormat="false" ht="15" hidden="false" customHeight="false" outlineLevel="0" collapsed="false">
      <c r="A532" s="41" t="n">
        <v>263</v>
      </c>
      <c r="B532" s="42" t="n">
        <f aca="false">180-DEGREES(ASIN((P2_a*SIN(RADIANS($A532))-P2_c)/P2_b))</f>
        <v>186.411014100168</v>
      </c>
      <c r="C532" s="42" t="n">
        <f aca="false">P2_a*COS(RADIANS($A532))-P2_b*COS(RADIANS(B532))</f>
        <v>126.909107399486</v>
      </c>
      <c r="D532" s="43" t="n">
        <f aca="false">90-DEGREES(ASIN(ABS((P2_a*SIN(RADIANS($A532))-P2_c)/P2_b)))</f>
        <v>83.5889858998317</v>
      </c>
      <c r="E532" s="44" t="n">
        <f aca="false">P2_a*P2_w2*COS(RADIANS($A532))/(P2_b*COS(RADIANS(B532)))</f>
        <v>0.102155759479281</v>
      </c>
      <c r="F532" s="42" t="n">
        <f aca="false">-P2_a*P2_w2*SIN(RADIANS($A532))+P2_b*E532*SIN(RADIANS(B532))</f>
        <v>107.630463923797</v>
      </c>
      <c r="G532" s="44" t="n">
        <f aca="false">(P2_a*P2_al2*COS(RADIANS($A532))-P2_a*P2_w2^2*SIN(RADIANS($A532))+P2_b*E532^2*SIN(RADIANS(B532)))/(P2_b*COS(RADIANS(B532)))</f>
        <v>-2.61260703077363</v>
      </c>
      <c r="H532" s="42" t="n">
        <f aca="false">-P2_a*P2_al2*SIN(RADIANS($A532))-P2_a*P2_w2^2*COS(RADIANS($A532))+P2_b*G532*SIN(RADIANS(B532))+P2_b*E532^2*COS(RADIANS(B532))</f>
        <v>79.2366824599804</v>
      </c>
      <c r="I532" s="45" t="n">
        <v>45</v>
      </c>
    </row>
    <row r="533" customFormat="false" ht="15" hidden="false" customHeight="false" outlineLevel="0" collapsed="false">
      <c r="A533" s="41" t="n">
        <v>263.5</v>
      </c>
      <c r="B533" s="42" t="n">
        <f aca="false">180-DEGREES(ASIN((P2_a*SIN(RADIANS($A533))-P2_c)/P2_b))</f>
        <v>186.426694960715</v>
      </c>
      <c r="C533" s="42" t="n">
        <f aca="false">P2_a*COS(RADIANS($A533))-P2_b*COS(RADIANS(B533))</f>
        <v>127.208383184131</v>
      </c>
      <c r="D533" s="43" t="n">
        <f aca="false">90-DEGREES(ASIN(ABS((P2_a*SIN(RADIANS($A533))-P2_c)/P2_b)))</f>
        <v>83.5733050392852</v>
      </c>
      <c r="E533" s="44" t="n">
        <f aca="false">P2_a*P2_w2*COS(RADIANS($A533))/(P2_b*COS(RADIANS(B533)))</f>
        <v>0.0948943846141616</v>
      </c>
      <c r="F533" s="42" t="n">
        <f aca="false">-P2_a*P2_w2*SIN(RADIANS($A533))+P2_b*E533*SIN(RADIANS(B533))</f>
        <v>107.84686554003</v>
      </c>
      <c r="G533" s="44" t="n">
        <f aca="false">(P2_a*P2_al2*COS(RADIANS($A533))-P2_a*P2_w2^2*SIN(RADIANS($A533))+P2_b*E533^2*SIN(RADIANS(B533)))/(P2_b*COS(RADIANS(B533)))</f>
        <v>-2.61554696929245</v>
      </c>
      <c r="H533" s="42" t="n">
        <f aca="false">-P2_a*P2_al2*SIN(RADIANS($A533))-P2_a*P2_w2^2*COS(RADIANS($A533))+P2_b*G533*SIN(RADIANS(B533))+P2_b*E533^2*COS(RADIANS(B533))</f>
        <v>76.5680453607494</v>
      </c>
      <c r="I533" s="45" t="n">
        <v>45</v>
      </c>
    </row>
    <row r="534" customFormat="false" ht="15" hidden="false" customHeight="false" outlineLevel="0" collapsed="false">
      <c r="A534" s="41" t="n">
        <v>264</v>
      </c>
      <c r="B534" s="42" t="n">
        <f aca="false">180-DEGREES(ASIN((P2_a*SIN(RADIANS($A534))-P2_c)/P2_b))</f>
        <v>186.441219503571</v>
      </c>
      <c r="C534" s="42" t="n">
        <f aca="false">P2_a*COS(RADIANS($A534))-P2_b*COS(RADIANS(B534))</f>
        <v>127.508249754518</v>
      </c>
      <c r="D534" s="43" t="n">
        <f aca="false">90-DEGREES(ASIN(ABS((P2_a*SIN(RADIANS($A534))-P2_c)/P2_b)))</f>
        <v>83.5587804964292</v>
      </c>
      <c r="E534" s="44" t="n">
        <f aca="false">P2_a*P2_w2*COS(RADIANS($A534))/(P2_b*COS(RADIANS(B534)))</f>
        <v>0.0876251426788515</v>
      </c>
      <c r="F534" s="42" t="n">
        <f aca="false">-P2_a*P2_w2*SIN(RADIANS($A534))+P2_b*E534*SIN(RADIANS(B534))</f>
        <v>108.055817360627</v>
      </c>
      <c r="G534" s="44" t="n">
        <f aca="false">(P2_a*P2_al2*COS(RADIANS($A534))-P2_a*P2_w2^2*SIN(RADIANS($A534))+P2_b*E534^2*SIN(RADIANS(B534)))/(P2_b*COS(RADIANS(B534)))</f>
        <v>-2.61827123776147</v>
      </c>
      <c r="H534" s="42" t="n">
        <f aca="false">-P2_a*P2_al2*SIN(RADIANS($A534))-P2_a*P2_w2^2*COS(RADIANS($A534))+P2_b*G534*SIN(RADIANS(B534))+P2_b*E534^2*COS(RADIANS(B534))</f>
        <v>73.8728481716714</v>
      </c>
      <c r="I534" s="45" t="n">
        <v>45</v>
      </c>
    </row>
    <row r="535" customFormat="false" ht="15" hidden="false" customHeight="false" outlineLevel="0" collapsed="false">
      <c r="A535" s="41" t="n">
        <v>264.5</v>
      </c>
      <c r="B535" s="42" t="n">
        <f aca="false">180-DEGREES(ASIN((P2_a*SIN(RADIANS($A535))-P2_c)/P2_b))</f>
        <v>186.454586524363</v>
      </c>
      <c r="C535" s="42" t="n">
        <f aca="false">P2_a*COS(RADIANS($A535))-P2_b*COS(RADIANS(B535))</f>
        <v>127.808686314444</v>
      </c>
      <c r="D535" s="43" t="n">
        <f aca="false">90-DEGREES(ASIN(ABS((P2_a*SIN(RADIANS($A535))-P2_c)/P2_b)))</f>
        <v>83.5454134756372</v>
      </c>
      <c r="E535" s="44" t="n">
        <f aca="false">P2_a*P2_w2*COS(RADIANS($A535))/(P2_b*COS(RADIANS(B535)))</f>
        <v>0.0803486334357912</v>
      </c>
      <c r="F535" s="42" t="n">
        <f aca="false">-P2_a*P2_w2*SIN(RADIANS($A535))+P2_b*E535*SIN(RADIANS(B535))</f>
        <v>108.25724576646</v>
      </c>
      <c r="G535" s="44" t="n">
        <f aca="false">(P2_a*P2_al2*COS(RADIANS($A535))-P2_a*P2_w2^2*SIN(RADIANS($A535))+P2_b*E535^2*SIN(RADIANS(B535)))/(P2_b*COS(RADIANS(B535)))</f>
        <v>-2.62077935355203</v>
      </c>
      <c r="H535" s="42" t="n">
        <f aca="false">-P2_a*P2_al2*SIN(RADIANS($A535))-P2_a*P2_w2^2*COS(RADIANS($A535))+P2_b*G535*SIN(RADIANS(B535))+P2_b*E535^2*COS(RADIANS(B535))</f>
        <v>71.151206796932</v>
      </c>
      <c r="I535" s="45" t="n">
        <v>45</v>
      </c>
    </row>
    <row r="536" customFormat="false" ht="15" hidden="false" customHeight="false" outlineLevel="0" collapsed="false">
      <c r="A536" s="41" t="n">
        <v>265</v>
      </c>
      <c r="B536" s="42" t="n">
        <f aca="false">180-DEGREES(ASIN((P2_a*SIN(RADIANS($A536))-P2_c)/P2_b))</f>
        <v>186.466794914277</v>
      </c>
      <c r="C536" s="42" t="n">
        <f aca="false">P2_a*COS(RADIANS($A536))-P2_b*COS(RADIANS(B536))</f>
        <v>128.109671863673</v>
      </c>
      <c r="D536" s="43" t="n">
        <f aca="false">90-DEGREES(ASIN(ABS((P2_a*SIN(RADIANS($A536))-P2_c)/P2_b)))</f>
        <v>83.5332050857232</v>
      </c>
      <c r="E536" s="44" t="n">
        <f aca="false">P2_a*P2_w2*COS(RADIANS($A536))/(P2_b*COS(RADIANS(B536)))</f>
        <v>0.0730654579360069</v>
      </c>
      <c r="F536" s="42" t="n">
        <f aca="false">-P2_a*P2_w2*SIN(RADIANS($A536))+P2_b*E536*SIN(RADIANS(B536))</f>
        <v>108.451077472842</v>
      </c>
      <c r="G536" s="44" t="n">
        <f aca="false">(P2_a*P2_al2*COS(RADIANS($A536))-P2_a*P2_w2^2*SIN(RADIANS($A536))+P2_b*E536^2*SIN(RADIANS(B536)))/(P2_b*COS(RADIANS(B536)))</f>
        <v>-2.62307087156189</v>
      </c>
      <c r="H536" s="42" t="n">
        <f aca="false">-P2_a*P2_al2*SIN(RADIANS($A536))-P2_a*P2_w2^2*COS(RADIANS($A536))+P2_b*G536*SIN(RADIANS(B536))+P2_b*E536^2*COS(RADIANS(B536))</f>
        <v>68.4032461342964</v>
      </c>
      <c r="I536" s="45" t="n">
        <v>45</v>
      </c>
    </row>
    <row r="537" customFormat="false" ht="15" hidden="false" customHeight="false" outlineLevel="0" collapsed="false">
      <c r="A537" s="41" t="n">
        <v>265.5</v>
      </c>
      <c r="B537" s="42" t="n">
        <f aca="false">180-DEGREES(ASIN((P2_a*SIN(RADIANS($A537))-P2_c)/P2_b))</f>
        <v>186.477843660254</v>
      </c>
      <c r="C537" s="42" t="n">
        <f aca="false">P2_a*COS(RADIANS($A537))-P2_b*COS(RADIANS(B537))</f>
        <v>128.411185198888</v>
      </c>
      <c r="D537" s="43" t="n">
        <f aca="false">90-DEGREES(ASIN(ABS((P2_a*SIN(RADIANS($A537))-P2_c)/P2_b)))</f>
        <v>83.5221563397458</v>
      </c>
      <c r="E537" s="44" t="n">
        <f aca="false">P2_a*P2_w2*COS(RADIANS($A537))/(P2_b*COS(RADIANS(B537)))</f>
        <v>0.0657762184144808</v>
      </c>
      <c r="F537" s="42" t="n">
        <f aca="false">-P2_a*P2_w2*SIN(RADIANS($A537))+P2_b*E537*SIN(RADIANS(B537))</f>
        <v>108.637239554552</v>
      </c>
      <c r="G537" s="44" t="n">
        <f aca="false">(P2_a*P2_al2*COS(RADIANS($A537))-P2_a*P2_w2^2*SIN(RADIANS($A537))+P2_b*E537^2*SIN(RADIANS(B537)))/(P2_b*COS(RADIANS(B537)))</f>
        <v>-2.62514538448398</v>
      </c>
      <c r="H537" s="42" t="n">
        <f aca="false">-P2_a*P2_al2*SIN(RADIANS($A537))-P2_a*P2_w2^2*COS(RADIANS($A537))+P2_b*G537*SIN(RADIANS(B537))+P2_b*E537^2*COS(RADIANS(B537))</f>
        <v>65.6291001072484</v>
      </c>
      <c r="I537" s="45" t="n">
        <v>45</v>
      </c>
    </row>
    <row r="538" customFormat="false" ht="15" hidden="false" customHeight="false" outlineLevel="0" collapsed="false">
      <c r="A538" s="41" t="n">
        <v>266</v>
      </c>
      <c r="B538" s="42" t="n">
        <f aca="false">180-DEGREES(ASIN((P2_a*SIN(RADIANS($A538))-P2_c)/P2_b))</f>
        <v>186.487731845173</v>
      </c>
      <c r="C538" s="42" t="n">
        <f aca="false">P2_a*COS(RADIANS($A538))-P2_b*COS(RADIANS(B538))</f>
        <v>128.713204914736</v>
      </c>
      <c r="D538" s="43" t="n">
        <f aca="false">90-DEGREES(ASIN(ABS((P2_a*SIN(RADIANS($A538))-P2_c)/P2_b)))</f>
        <v>83.5122681548274</v>
      </c>
      <c r="E538" s="44" t="n">
        <f aca="false">P2_a*P2_w2*COS(RADIANS($A538))/(P2_b*COS(RADIANS(B538)))</f>
        <v>0.0584815181848265</v>
      </c>
      <c r="F538" s="42" t="n">
        <f aca="false">-P2_a*P2_w2*SIN(RADIANS($A538))+P2_b*E538*SIN(RADIANS(B538))</f>
        <v>108.815659470948</v>
      </c>
      <c r="G538" s="44" t="n">
        <f aca="false">(P2_a*P2_al2*COS(RADIANS($A538))-P2_a*P2_w2^2*SIN(RADIANS($A538))+P2_b*E538^2*SIN(RADIANS(B538)))/(P2_b*COS(RADIANS(B538)))</f>
        <v>-2.62700252305277</v>
      </c>
      <c r="H538" s="42" t="n">
        <f aca="false">-P2_a*P2_al2*SIN(RADIANS($A538))-P2_a*P2_w2^2*COS(RADIANS($A538))+P2_b*G538*SIN(RADIANS(B538))+P2_b*E538^2*COS(RADIANS(B538))</f>
        <v>62.8289116929642</v>
      </c>
      <c r="I538" s="45" t="n">
        <v>45</v>
      </c>
    </row>
    <row r="539" customFormat="false" ht="15" hidden="false" customHeight="false" outlineLevel="0" collapsed="false">
      <c r="A539" s="41" t="n">
        <v>266.5</v>
      </c>
      <c r="B539" s="42" t="n">
        <f aca="false">180-DEGREES(ASIN((P2_a*SIN(RADIANS($A539))-P2_c)/P2_b))</f>
        <v>186.496458648009</v>
      </c>
      <c r="C539" s="42" t="n">
        <f aca="false">P2_a*COS(RADIANS($A539))-P2_b*COS(RADIANS(B539))</f>
        <v>129.015709404921</v>
      </c>
      <c r="D539" s="43" t="n">
        <f aca="false">90-DEGREES(ASIN(ABS((P2_a*SIN(RADIANS($A539))-P2_c)/P2_b)))</f>
        <v>83.5035413519913</v>
      </c>
      <c r="E539" s="44" t="n">
        <f aca="false">P2_a*P2_w2*COS(RADIANS($A539))/(P2_b*COS(RADIANS(B539)))</f>
        <v>0.0511819615332951</v>
      </c>
      <c r="F539" s="42" t="n">
        <f aca="false">-P2_a*P2_w2*SIN(RADIANS($A539))+P2_b*E539*SIN(RADIANS(B539))</f>
        <v>108.986265091147</v>
      </c>
      <c r="G539" s="44" t="n">
        <f aca="false">(P2_a*P2_al2*COS(RADIANS($A539))-P2_a*P2_w2^2*SIN(RADIANS($A539))+P2_b*E539^2*SIN(RADIANS(B539)))/(P2_b*COS(RADIANS(B539)))</f>
        <v>-2.62864195626793</v>
      </c>
      <c r="H539" s="42" t="n">
        <f aca="false">-P2_a*P2_al2*SIN(RADIANS($A539))-P2_a*P2_w2^2*COS(RADIANS($A539))+P2_b*G539*SIN(RADIANS(B539))+P2_b*E539^2*COS(RADIANS(B539))</f>
        <v>60.0028329460709</v>
      </c>
      <c r="I539" s="45" t="n">
        <v>45</v>
      </c>
    </row>
    <row r="540" customFormat="false" ht="15" hidden="false" customHeight="false" outlineLevel="0" collapsed="false">
      <c r="A540" s="41" t="n">
        <v>267</v>
      </c>
      <c r="B540" s="42" t="n">
        <f aca="false">180-DEGREES(ASIN((P2_a*SIN(RADIANS($A540))-P2_c)/P2_b))</f>
        <v>186.504023343985</v>
      </c>
      <c r="C540" s="42" t="n">
        <f aca="false">P2_a*COS(RADIANS($A540))-P2_b*COS(RADIANS(B540))</f>
        <v>129.318676863383</v>
      </c>
      <c r="D540" s="43" t="n">
        <f aca="false">90-DEGREES(ASIN(ABS((P2_a*SIN(RADIANS($A540))-P2_c)/P2_b)))</f>
        <v>83.4959766560153</v>
      </c>
      <c r="E540" s="44" t="n">
        <f aca="false">P2_a*P2_w2*COS(RADIANS($A540))/(P2_b*COS(RADIANS(B540)))</f>
        <v>0.0438781536122043</v>
      </c>
      <c r="F540" s="42" t="n">
        <f aca="false">-P2_a*P2_w2*SIN(RADIANS($A540))+P2_b*E540*SIN(RADIANS(B540))</f>
        <v>109.148984719273</v>
      </c>
      <c r="G540" s="44" t="n">
        <f aca="false">(P2_a*P2_al2*COS(RADIANS($A540))-P2_a*P2_w2^2*SIN(RADIANS($A540))+P2_b*E540^2*SIN(RADIANS(B540)))/(P2_b*COS(RADIANS(B540)))</f>
        <v>-2.63006339159512</v>
      </c>
      <c r="H540" s="42" t="n">
        <f aca="false">-P2_a*P2_al2*SIN(RADIANS($A540))-P2_a*P2_w2^2*COS(RADIANS($A540))+P2_b*G540*SIN(RADIANS(B540))+P2_b*E540^2*COS(RADIANS(B540))</f>
        <v>57.1510250181617</v>
      </c>
      <c r="I540" s="45" t="n">
        <v>45</v>
      </c>
    </row>
    <row r="541" customFormat="false" ht="15" hidden="false" customHeight="false" outlineLevel="0" collapsed="false">
      <c r="A541" s="41" t="n">
        <v>267.5</v>
      </c>
      <c r="B541" s="42" t="n">
        <f aca="false">180-DEGREES(ASIN((P2_a*SIN(RADIANS($A541))-P2_c)/P2_b))</f>
        <v>186.510425304698</v>
      </c>
      <c r="C541" s="42" t="n">
        <f aca="false">P2_a*COS(RADIANS($A541))-P2_b*COS(RADIANS(B541))</f>
        <v>129.622085285543</v>
      </c>
      <c r="D541" s="43" t="n">
        <f aca="false">90-DEGREES(ASIN(ABS((P2_a*SIN(RADIANS($A541))-P2_c)/P2_b)))</f>
        <v>83.4895746953024</v>
      </c>
      <c r="E541" s="44" t="n">
        <f aca="false">P2_a*P2_w2*COS(RADIANS($A541))/(P2_b*COS(RADIANS(B541)))</f>
        <v>0.0365707003328336</v>
      </c>
      <c r="F541" s="42" t="n">
        <f aca="false">-P2_a*P2_w2*SIN(RADIANS($A541))+P2_b*E541*SIN(RADIANS(B541))</f>
        <v>109.303747119746</v>
      </c>
      <c r="G541" s="44" t="n">
        <f aca="false">(P2_a*P2_al2*COS(RADIANS($A541))-P2_a*P2_w2^2*SIN(RADIANS($A541))+P2_b*E541^2*SIN(RADIANS(B541)))/(P2_b*COS(RADIANS(B541)))</f>
        <v>-2.63126657514363</v>
      </c>
      <c r="H541" s="42" t="n">
        <f aca="false">-P2_a*P2_al2*SIN(RADIANS($A541))-P2_a*P2_w2^2*COS(RADIANS($A541))+P2_b*G541*SIN(RADIANS(B541))+P2_b*E541^2*COS(RADIANS(B541))</f>
        <v>54.2736581730305</v>
      </c>
      <c r="I541" s="45" t="n">
        <v>45</v>
      </c>
    </row>
    <row r="542" customFormat="false" ht="15" hidden="false" customHeight="false" outlineLevel="0" collapsed="false">
      <c r="A542" s="41" t="n">
        <v>268</v>
      </c>
      <c r="B542" s="42" t="n">
        <f aca="false">180-DEGREES(ASIN((P2_a*SIN(RADIANS($A542))-P2_c)/P2_b))</f>
        <v>186.515663998231</v>
      </c>
      <c r="C542" s="42" t="n">
        <f aca="false">P2_a*COS(RADIANS($A542))-P2_b*COS(RADIANS(B542))</f>
        <v>129.925912469609</v>
      </c>
      <c r="D542" s="43" t="n">
        <f aca="false">90-DEGREES(ASIN(ABS((P2_a*SIN(RADIANS($A542))-P2_c)/P2_b)))</f>
        <v>83.4843360017688</v>
      </c>
      <c r="E542" s="44" t="n">
        <f aca="false">P2_a*P2_w2*COS(RADIANS($A542))/(P2_b*COS(RADIANS(B542)))</f>
        <v>0.0292602082578594</v>
      </c>
      <c r="F542" s="42" t="n">
        <f aca="false">-P2_a*P2_w2*SIN(RADIANS($A542))+P2_b*E542*SIN(RADIANS(B542))</f>
        <v>109.45048154261</v>
      </c>
      <c r="G542" s="44" t="n">
        <f aca="false">(P2_a*P2_al2*COS(RADIANS($A542))-P2_a*P2_w2^2*SIN(RADIANS($A542))+P2_b*E542^2*SIN(RADIANS(B542)))/(P2_b*COS(RADIANS(B542)))</f>
        <v>-2.63225129182071</v>
      </c>
      <c r="H542" s="42" t="n">
        <f aca="false">-P2_a*P2_al2*SIN(RADIANS($A542))-P2_a*P2_w2^2*COS(RADIANS($A542))+P2_b*G542*SIN(RADIANS(B542))+P2_b*E542^2*COS(RADIANS(B542))</f>
        <v>51.3709117975988</v>
      </c>
      <c r="I542" s="45" t="n">
        <v>45</v>
      </c>
    </row>
    <row r="543" customFormat="false" ht="15" hidden="false" customHeight="false" outlineLevel="0" collapsed="false">
      <c r="A543" s="41" t="n">
        <v>268.5</v>
      </c>
      <c r="B543" s="42" t="n">
        <f aca="false">180-DEGREES(ASIN((P2_a*SIN(RADIANS($A543))-P2_c)/P2_b))</f>
        <v>186.519738989252</v>
      </c>
      <c r="C543" s="42" t="n">
        <f aca="false">P2_a*COS(RADIANS($A543))-P2_b*COS(RADIANS(B543))</f>
        <v>130.23013601797</v>
      </c>
      <c r="D543" s="43" t="n">
        <f aca="false">90-DEGREES(ASIN(ABS((P2_a*SIN(RADIANS($A543))-P2_c)/P2_b)))</f>
        <v>83.4802610107481</v>
      </c>
      <c r="E543" s="44" t="n">
        <f aca="false">P2_a*P2_w2*COS(RADIANS($A543))/(P2_b*COS(RADIANS(B543)))</f>
        <v>0.0219472844934008</v>
      </c>
      <c r="F543" s="42" t="n">
        <f aca="false">-P2_a*P2_w2*SIN(RADIANS($A543))+P2_b*E543*SIN(RADIANS(B543))</f>
        <v>109.589117748883</v>
      </c>
      <c r="G543" s="44" t="n">
        <f aca="false">(P2_a*P2_al2*COS(RADIANS($A543))-P2_a*P2_w2^2*SIN(RADIANS($A543))+P2_b*E543^2*SIN(RADIANS(B543)))/(P2_b*COS(RADIANS(B543)))</f>
        <v>-2.63301736546243</v>
      </c>
      <c r="H543" s="42" t="n">
        <f aca="false">-P2_a*P2_al2*SIN(RADIANS($A543))-P2_a*P2_w2^2*COS(RADIANS($A543))+P2_b*G543*SIN(RADIANS(B543))+P2_b*E543^2*COS(RADIANS(B543))</f>
        <v>48.4429744085159</v>
      </c>
      <c r="I543" s="45" t="n">
        <v>45</v>
      </c>
    </row>
    <row r="544" customFormat="false" ht="15" hidden="false" customHeight="false" outlineLevel="0" collapsed="false">
      <c r="A544" s="41" t="n">
        <v>269</v>
      </c>
      <c r="B544" s="42" t="n">
        <f aca="false">180-DEGREES(ASIN((P2_a*SIN(RADIANS($A544))-P2_c)/P2_b))</f>
        <v>186.522649939086</v>
      </c>
      <c r="C544" s="42" t="n">
        <f aca="false">P2_a*COS(RADIANS($A544))-P2_b*COS(RADIANS(B544))</f>
        <v>130.534733338642</v>
      </c>
      <c r="D544" s="43" t="n">
        <f aca="false">90-DEGREES(ASIN(ABS((P2_a*SIN(RADIANS($A544))-P2_c)/P2_b)))</f>
        <v>83.4773500609143</v>
      </c>
      <c r="E544" s="44" t="n">
        <f aca="false">P2_a*P2_w2*COS(RADIANS($A544))/(P2_b*COS(RADIANS(B544)))</f>
        <v>0.0146325365807232</v>
      </c>
      <c r="F544" s="42" t="n">
        <f aca="false">-P2_a*P2_w2*SIN(RADIANS($A544))+P2_b*E544*SIN(RADIANS(B544))</f>
        <v>109.719586035926</v>
      </c>
      <c r="G544" s="44" t="n">
        <f aca="false">(P2_a*P2_al2*COS(RADIANS($A544))-P2_a*P2_w2^2*SIN(RADIANS($A544))+P2_b*E544^2*SIN(RADIANS(B544)))/(P2_b*COS(RADIANS(B544)))</f>
        <v>-2.63356465894096</v>
      </c>
      <c r="H544" s="42" t="n">
        <f aca="false">-P2_a*P2_al2*SIN(RADIANS($A544))-P2_a*P2_w2^2*COS(RADIANS($A544))+P2_b*G544*SIN(RADIANS(B544))+P2_b*E544^2*COS(RADIANS(B544))</f>
        <v>45.4900436544028</v>
      </c>
      <c r="I544" s="45" t="n">
        <v>45</v>
      </c>
    </row>
    <row r="545" customFormat="false" ht="15" hidden="false" customHeight="false" outlineLevel="0" collapsed="false">
      <c r="A545" s="41" t="n">
        <v>269.5</v>
      </c>
      <c r="B545" s="42" t="n">
        <f aca="false">180-DEGREES(ASIN((P2_a*SIN(RADIANS($A545))-P2_c)/P2_b))</f>
        <v>186.524396605779</v>
      </c>
      <c r="C545" s="42" t="n">
        <f aca="false">P2_a*COS(RADIANS($A545))-P2_b*COS(RADIANS(B545))</f>
        <v>130.839681646799</v>
      </c>
      <c r="D545" s="43" t="n">
        <f aca="false">90-DEGREES(ASIN(ABS((P2_a*SIN(RADIANS($A545))-P2_c)/P2_b)))</f>
        <v>83.4756033942205</v>
      </c>
      <c r="E545" s="44" t="n">
        <f aca="false">P2_a*P2_w2*COS(RADIANS($A545))/(P2_b*COS(RADIANS(B545)))</f>
        <v>0.00731657238768958</v>
      </c>
      <c r="F545" s="42" t="n">
        <f aca="false">-P2_a*P2_w2*SIN(RADIANS($A545))+P2_b*E545*SIN(RADIANS(B545))</f>
        <v>109.841817262805</v>
      </c>
      <c r="G545" s="44" t="n">
        <f aca="false">(P2_a*P2_al2*COS(RADIANS($A545))-P2_a*P2_w2^2*SIN(RADIANS($A545))+P2_b*E545^2*SIN(RADIANS(B545)))/(P2_b*COS(RADIANS(B545)))</f>
        <v>-2.63389307424809</v>
      </c>
      <c r="H545" s="42" t="n">
        <f aca="false">-P2_a*P2_al2*SIN(RADIANS($A545))-P2_a*P2_w2^2*COS(RADIANS($A545))+P2_b*G545*SIN(RADIANS(B545))+P2_b*E545^2*COS(RADIANS(B545))</f>
        <v>42.5123263137322</v>
      </c>
      <c r="I545" s="45" t="n">
        <v>45</v>
      </c>
    </row>
    <row r="546" customFormat="false" ht="15" hidden="false" customHeight="false" outlineLevel="0" collapsed="false">
      <c r="A546" s="41" t="n">
        <v>270</v>
      </c>
      <c r="B546" s="42" t="n">
        <f aca="false">180-DEGREES(ASIN((P2_a*SIN(RADIANS($A546))-P2_c)/P2_b))</f>
        <v>186.524978844144</v>
      </c>
      <c r="C546" s="42" t="n">
        <f aca="false">P2_a*COS(RADIANS($A546))-P2_b*COS(RADIANS(B546))</f>
        <v>131.144957966366</v>
      </c>
      <c r="D546" s="43" t="n">
        <f aca="false">90-DEGREES(ASIN(ABS((P2_a*SIN(RADIANS($A546))-P2_c)/P2_b)))</f>
        <v>83.4750211558562</v>
      </c>
      <c r="E546" s="44" t="n">
        <f aca="false">P2_a*P2_w2*COS(RADIANS($A546))/(P2_b*COS(RADIANS(B546)))</f>
        <v>1.54016918357311E-016</v>
      </c>
      <c r="F546" s="42" t="n">
        <f aca="false">-P2_a*P2_w2*SIN(RADIANS($A546))+P2_b*E546*SIN(RADIANS(B546))</f>
        <v>109.955742875643</v>
      </c>
      <c r="G546" s="44" t="n">
        <f aca="false">(P2_a*P2_al2*COS(RADIANS($A546))-P2_a*P2_w2^2*SIN(RADIANS($A546))+P2_b*E546^2*SIN(RADIANS(B546)))/(P2_b*COS(RADIANS(B546)))</f>
        <v>-2.634002552555</v>
      </c>
      <c r="H546" s="42" t="n">
        <f aca="false">-P2_a*P2_al2*SIN(RADIANS($A546))-P2_a*P2_w2^2*COS(RADIANS($A546))+P2_b*G546*SIN(RADIANS(B546))+P2_b*E546^2*COS(RADIANS(B546))</f>
        <v>39.5100382883249</v>
      </c>
      <c r="I546" s="45" t="n">
        <v>45</v>
      </c>
    </row>
    <row r="547" customFormat="false" ht="15" hidden="false" customHeight="false" outlineLevel="0" collapsed="false">
      <c r="A547" s="41" t="n">
        <v>270.5</v>
      </c>
      <c r="B547" s="42" t="n">
        <f aca="false">180-DEGREES(ASIN((P2_a*SIN(RADIANS($A547))-P2_c)/P2_b))</f>
        <v>186.524396605779</v>
      </c>
      <c r="C547" s="42" t="n">
        <f aca="false">P2_a*COS(RADIANS($A547))-P2_b*COS(RADIANS(B547))</f>
        <v>131.450539131685</v>
      </c>
      <c r="D547" s="43" t="n">
        <f aca="false">90-DEGREES(ASIN(ABS((P2_a*SIN(RADIANS($A547))-P2_c)/P2_b)))</f>
        <v>83.4756033942205</v>
      </c>
      <c r="E547" s="44" t="n">
        <f aca="false">P2_a*P2_w2*COS(RADIANS($A547))/(P2_b*COS(RADIANS(B547)))</f>
        <v>-0.00731657238768927</v>
      </c>
      <c r="F547" s="42" t="n">
        <f aca="false">-P2_a*P2_w2*SIN(RADIANS($A547))+P2_b*E547*SIN(RADIANS(B547))</f>
        <v>110.06129493295</v>
      </c>
      <c r="G547" s="44" t="n">
        <f aca="false">(P2_a*P2_al2*COS(RADIANS($A547))-P2_a*P2_w2^2*SIN(RADIANS($A547))+P2_b*E547^2*SIN(RADIANS(B547)))/(P2_b*COS(RADIANS(B547)))</f>
        <v>-2.63389307424809</v>
      </c>
      <c r="H547" s="42" t="n">
        <f aca="false">-P2_a*P2_al2*SIN(RADIANS($A547))-P2_a*P2_w2^2*COS(RADIANS($A547))+P2_b*G547*SIN(RADIANS(B547))+P2_b*E547^2*COS(RADIANS(B547))</f>
        <v>36.483404592461</v>
      </c>
      <c r="I547" s="45" t="n">
        <v>45</v>
      </c>
    </row>
    <row r="548" customFormat="false" ht="15" hidden="false" customHeight="false" outlineLevel="0" collapsed="false">
      <c r="A548" s="41" t="n">
        <v>271</v>
      </c>
      <c r="B548" s="42" t="n">
        <f aca="false">180-DEGREES(ASIN((P2_a*SIN(RADIANS($A548))-P2_c)/P2_b))</f>
        <v>186.522649939086</v>
      </c>
      <c r="C548" s="42" t="n">
        <f aca="false">P2_a*COS(RADIANS($A548))-P2_b*COS(RADIANS(B548))</f>
        <v>131.756401789252</v>
      </c>
      <c r="D548" s="43" t="n">
        <f aca="false">90-DEGREES(ASIN(ABS((P2_a*SIN(RADIANS($A548))-P2_c)/P2_b)))</f>
        <v>83.4773500609143</v>
      </c>
      <c r="E548" s="44" t="n">
        <f aca="false">P2_a*P2_w2*COS(RADIANS($A548))/(P2_b*COS(RADIANS(B548)))</f>
        <v>-0.0146325365807229</v>
      </c>
      <c r="F548" s="42" t="n">
        <f aca="false">-P2_a*P2_w2*SIN(RADIANS($A548))+P2_b*E548*SIN(RADIANS(B548))</f>
        <v>110.158406130914</v>
      </c>
      <c r="G548" s="44" t="n">
        <f aca="false">(P2_a*P2_al2*COS(RADIANS($A548))-P2_a*P2_w2^2*SIN(RADIANS($A548))+P2_b*E548^2*SIN(RADIANS(B548)))/(P2_b*COS(RADIANS(B548)))</f>
        <v>-2.63356465894096</v>
      </c>
      <c r="H548" s="42" t="n">
        <f aca="false">-P2_a*P2_al2*SIN(RADIANS($A548))-P2_a*P2_w2^2*COS(RADIANS($A548))+P2_b*G548*SIN(RADIANS(B548))+P2_b*E548^2*COS(RADIANS(B548))</f>
        <v>33.432659337592</v>
      </c>
      <c r="I548" s="45" t="n">
        <v>45</v>
      </c>
    </row>
    <row r="549" customFormat="false" ht="15" hidden="false" customHeight="false" outlineLevel="0" collapsed="false">
      <c r="A549" s="41" t="n">
        <v>271.5</v>
      </c>
      <c r="B549" s="42" t="n">
        <f aca="false">180-DEGREES(ASIN((P2_a*SIN(RADIANS($A549))-P2_c)/P2_b))</f>
        <v>186.519738989252</v>
      </c>
      <c r="C549" s="42" t="n">
        <f aca="false">P2_a*COS(RADIANS($A549))-P2_b*COS(RADIANS(B549))</f>
        <v>132.062522399521</v>
      </c>
      <c r="D549" s="43" t="n">
        <f aca="false">90-DEGREES(ASIN(ABS((P2_a*SIN(RADIANS($A549))-P2_c)/P2_b)))</f>
        <v>83.4802610107481</v>
      </c>
      <c r="E549" s="44" t="n">
        <f aca="false">P2_a*P2_w2*COS(RADIANS($A549))/(P2_b*COS(RADIANS(B549)))</f>
        <v>-0.0219472844934005</v>
      </c>
      <c r="F549" s="42" t="n">
        <f aca="false">-P2_a*P2_w2*SIN(RADIANS($A549))+P2_b*E549*SIN(RADIANS(B549))</f>
        <v>110.247009828647</v>
      </c>
      <c r="G549" s="44" t="n">
        <f aca="false">(P2_a*P2_al2*COS(RADIANS($A549))-P2_a*P2_w2^2*SIN(RADIANS($A549))+P2_b*E549^2*SIN(RADIANS(B549)))/(P2_b*COS(RADIANS(B549)))</f>
        <v>-2.63301736546243</v>
      </c>
      <c r="H549" s="42" t="n">
        <f aca="false">-P2_a*P2_al2*SIN(RADIANS($A549))-P2_a*P2_w2^2*COS(RADIANS($A549))+P2_b*G549*SIN(RADIANS(B549))+P2_b*E549^2*COS(RADIANS(B549))</f>
        <v>30.3580457126627</v>
      </c>
      <c r="I549" s="45" t="n">
        <v>45</v>
      </c>
    </row>
    <row r="550" customFormat="false" ht="15" hidden="false" customHeight="false" outlineLevel="0" collapsed="false">
      <c r="A550" s="41" t="n">
        <v>272</v>
      </c>
      <c r="B550" s="42" t="n">
        <f aca="false">180-DEGREES(ASIN((P2_a*SIN(RADIANS($A550))-P2_c)/P2_b))</f>
        <v>186.515663998231</v>
      </c>
      <c r="C550" s="42" t="n">
        <f aca="false">P2_a*COS(RADIANS($A550))-P2_b*COS(RADIANS(B550))</f>
        <v>132.368877238784</v>
      </c>
      <c r="D550" s="43" t="n">
        <f aca="false">90-DEGREES(ASIN(ABS((P2_a*SIN(RADIANS($A550))-P2_c)/P2_b)))</f>
        <v>83.4843360017688</v>
      </c>
      <c r="E550" s="44" t="n">
        <f aca="false">P2_a*P2_w2*COS(RADIANS($A550))/(P2_b*COS(RADIANS(B550)))</f>
        <v>-0.0292602082578591</v>
      </c>
      <c r="F550" s="42" t="n">
        <f aca="false">-P2_a*P2_w2*SIN(RADIANS($A550))+P2_b*E550*SIN(RADIANS(B550))</f>
        <v>110.327040073366</v>
      </c>
      <c r="G550" s="44" t="n">
        <f aca="false">(P2_a*P2_al2*COS(RADIANS($A550))-P2_a*P2_w2^2*SIN(RADIANS($A550))+P2_b*E550^2*SIN(RADIANS(B550)))/(P2_b*COS(RADIANS(B550)))</f>
        <v>-2.63225129182071</v>
      </c>
      <c r="H550" s="42" t="n">
        <f aca="false">-P2_a*P2_al2*SIN(RADIANS($A550))-P2_a*P2_w2^2*COS(RADIANS($A550))+P2_b*G550*SIN(RADIANS(B550))+P2_b*E550^2*COS(RADIANS(B550))</f>
        <v>27.2598159600426</v>
      </c>
      <c r="I550" s="45" t="n">
        <v>45</v>
      </c>
    </row>
    <row r="551" customFormat="false" ht="15" hidden="false" customHeight="false" outlineLevel="0" collapsed="false">
      <c r="A551" s="41" t="n">
        <v>272.5</v>
      </c>
      <c r="B551" s="42" t="n">
        <f aca="false">180-DEGREES(ASIN((P2_a*SIN(RADIANS($A551))-P2_c)/P2_b))</f>
        <v>186.510425304698</v>
      </c>
      <c r="C551" s="42" t="n">
        <f aca="false">P2_a*COS(RADIANS($A551))-P2_b*COS(RADIANS(B551))</f>
        <v>132.675442401116</v>
      </c>
      <c r="D551" s="43" t="n">
        <f aca="false">90-DEGREES(ASIN(ABS((P2_a*SIN(RADIANS($A551))-P2_c)/P2_b)))</f>
        <v>83.4895746953024</v>
      </c>
      <c r="E551" s="44" t="n">
        <f aca="false">P2_a*P2_w2*COS(RADIANS($A551))/(P2_b*COS(RADIANS(B551)))</f>
        <v>-0.0365707003328333</v>
      </c>
      <c r="F551" s="42" t="n">
        <f aca="false">-P2_a*P2_w2*SIN(RADIANS($A551))+P2_b*E551*SIN(RADIANS(B551))</f>
        <v>110.398431625499</v>
      </c>
      <c r="G551" s="44" t="n">
        <f aca="false">(P2_a*P2_al2*COS(RADIANS($A551))-P2_a*P2_w2^2*SIN(RADIANS($A551))+P2_b*E551^2*SIN(RADIANS(B551)))/(P2_b*COS(RADIANS(B551)))</f>
        <v>-2.63126657514363</v>
      </c>
      <c r="H551" s="42" t="n">
        <f aca="false">-P2_a*P2_al2*SIN(RADIANS($A551))-P2_a*P2_w2^2*COS(RADIANS($A551))+P2_b*G551*SIN(RADIANS(B551))+P2_b*E551^2*COS(RADIANS(B551))</f>
        <v>24.1382313470687</v>
      </c>
      <c r="I551" s="45" t="n">
        <v>45</v>
      </c>
    </row>
    <row r="552" customFormat="false" ht="15" hidden="false" customHeight="false" outlineLevel="0" collapsed="false">
      <c r="A552" s="41" t="n">
        <v>273</v>
      </c>
      <c r="B552" s="42" t="n">
        <f aca="false">180-DEGREES(ASIN((P2_a*SIN(RADIANS($A552))-P2_c)/P2_b))</f>
        <v>186.504023343985</v>
      </c>
      <c r="C552" s="42" t="n">
        <f aca="false">P2_a*COS(RADIANS($A552))-P2_b*COS(RADIANS(B552))</f>
        <v>132.98219380039</v>
      </c>
      <c r="D552" s="43" t="n">
        <f aca="false">90-DEGREES(ASIN(ABS((P2_a*SIN(RADIANS($A552))-P2_c)/P2_b)))</f>
        <v>83.4959766560153</v>
      </c>
      <c r="E552" s="44" t="n">
        <f aca="false">P2_a*P2_w2*COS(RADIANS($A552))/(P2_b*COS(RADIANS(B552)))</f>
        <v>-0.043878153612204</v>
      </c>
      <c r="F552" s="42" t="n">
        <f aca="false">-P2_a*P2_w2*SIN(RADIANS($A552))+P2_b*E552*SIN(RADIANS(B552))</f>
        <v>110.46111998372</v>
      </c>
      <c r="G552" s="44" t="n">
        <f aca="false">(P2_a*P2_al2*COS(RADIANS($A552))-P2_a*P2_w2^2*SIN(RADIANS($A552))+P2_b*E552^2*SIN(RADIANS(B552)))/(P2_b*COS(RADIANS(B552)))</f>
        <v>-2.63006339159512</v>
      </c>
      <c r="H552" s="42" t="n">
        <f aca="false">-P2_a*P2_al2*SIN(RADIANS($A552))-P2_a*P2_w2^2*COS(RADIANS($A552))+P2_b*G552*SIN(RADIANS(B552))+P2_b*E552^2*COS(RADIANS(B552))</f>
        <v>20.9935621332217</v>
      </c>
      <c r="I552" s="45" t="n">
        <v>45</v>
      </c>
    </row>
    <row r="553" customFormat="false" ht="15" hidden="false" customHeight="false" outlineLevel="0" collapsed="false">
      <c r="A553" s="41" t="n">
        <v>273.5</v>
      </c>
      <c r="B553" s="42" t="n">
        <f aca="false">180-DEGREES(ASIN((P2_a*SIN(RADIANS($A553))-P2_c)/P2_b))</f>
        <v>186.496458648009</v>
      </c>
      <c r="C553" s="42" t="n">
        <f aca="false">P2_a*COS(RADIANS($A553))-P2_b*COS(RADIANS(B553))</f>
        <v>133.289107172361</v>
      </c>
      <c r="D553" s="43" t="n">
        <f aca="false">90-DEGREES(ASIN(ABS((P2_a*SIN(RADIANS($A553))-P2_c)/P2_b)))</f>
        <v>83.5035413519913</v>
      </c>
      <c r="E553" s="44" t="n">
        <f aca="false">P2_a*P2_w2*COS(RADIANS($A553))/(P2_b*COS(RADIANS(B553)))</f>
        <v>-0.0511819615332948</v>
      </c>
      <c r="F553" s="42" t="n">
        <f aca="false">-P2_a*P2_w2*SIN(RADIANS($A553))+P2_b*E553*SIN(RADIANS(B553))</f>
        <v>110.515041409866</v>
      </c>
      <c r="G553" s="44" t="n">
        <f aca="false">(P2_a*P2_al2*COS(RADIANS($A553))-P2_a*P2_w2^2*SIN(RADIANS($A553))+P2_b*E553^2*SIN(RADIANS(B553)))/(P2_b*COS(RADIANS(B553)))</f>
        <v>-2.62864195626793</v>
      </c>
      <c r="H553" s="42" t="n">
        <f aca="false">-P2_a*P2_al2*SIN(RADIANS($A553))-P2_a*P2_w2^2*COS(RADIANS($A553))+P2_b*G553*SIN(RADIANS(B553))+P2_b*E553^2*COS(RADIANS(B553))</f>
        <v>17.82608753294</v>
      </c>
      <c r="I553" s="45" t="n">
        <v>45</v>
      </c>
    </row>
    <row r="554" customFormat="false" ht="15" hidden="false" customHeight="false" outlineLevel="0" collapsed="false">
      <c r="A554" s="41" t="n">
        <v>274</v>
      </c>
      <c r="B554" s="42" t="n">
        <f aca="false">180-DEGREES(ASIN((P2_a*SIN(RADIANS($A554))-P2_c)/P2_b))</f>
        <v>186.487731845173</v>
      </c>
      <c r="C554" s="42" t="n">
        <f aca="false">P2_a*COS(RADIANS($A554))-P2_b*COS(RADIANS(B554))</f>
        <v>133.596158076825</v>
      </c>
      <c r="D554" s="43" t="n">
        <f aca="false">90-DEGREES(ASIN(ABS((P2_a*SIN(RADIANS($A554))-P2_c)/P2_b)))</f>
        <v>83.5122681548274</v>
      </c>
      <c r="E554" s="44" t="n">
        <f aca="false">P2_a*P2_w2*COS(RADIANS($A554))/(P2_b*COS(RADIANS(B554)))</f>
        <v>-0.0584815181848262</v>
      </c>
      <c r="F554" s="42" t="n">
        <f aca="false">-P2_a*P2_w2*SIN(RADIANS($A554))+P2_b*E554*SIN(RADIANS(B554))</f>
        <v>110.56013295376</v>
      </c>
      <c r="G554" s="44" t="n">
        <f aca="false">(P2_a*P2_al2*COS(RADIANS($A554))-P2_a*P2_w2^2*SIN(RADIANS($A554))+P2_b*E554^2*SIN(RADIANS(B554)))/(P2_b*COS(RADIANS(B554)))</f>
        <v>-2.62700252305277</v>
      </c>
      <c r="H554" s="42" t="n">
        <f aca="false">-P2_a*P2_al2*SIN(RADIANS($A554))-P2_a*P2_w2^2*COS(RADIANS($A554))+P2_b*G554*SIN(RADIANS(B554))+P2_b*E554^2*COS(RADIANS(B554))</f>
        <v>14.6360956740996</v>
      </c>
      <c r="I554" s="45" t="n">
        <v>45</v>
      </c>
    </row>
    <row r="555" customFormat="false" ht="15" hidden="false" customHeight="false" outlineLevel="0" collapsed="false">
      <c r="A555" s="41" t="n">
        <v>274.5</v>
      </c>
      <c r="B555" s="42" t="n">
        <f aca="false">180-DEGREES(ASIN((P2_a*SIN(RADIANS($A555))-P2_c)/P2_b))</f>
        <v>186.477843660254</v>
      </c>
      <c r="C555" s="42" t="n">
        <f aca="false">P2_a*COS(RADIANS($A555))-P2_b*COS(RADIANS(B555))</f>
        <v>133.903321899837</v>
      </c>
      <c r="D555" s="43" t="n">
        <f aca="false">90-DEGREES(ASIN(ABS((P2_a*SIN(RADIANS($A555))-P2_c)/P2_b)))</f>
        <v>83.5221563397458</v>
      </c>
      <c r="E555" s="44" t="n">
        <f aca="false">P2_a*P2_w2*COS(RADIANS($A555))/(P2_b*COS(RADIANS(B555)))</f>
        <v>-0.0657762184144805</v>
      </c>
      <c r="F555" s="42" t="n">
        <f aca="false">-P2_a*P2_w2*SIN(RADIANS($A555))+P2_b*E555*SIN(RADIANS(B555))</f>
        <v>110.59633247791</v>
      </c>
      <c r="G555" s="44" t="n">
        <f aca="false">(P2_a*P2_al2*COS(RADIANS($A555))-P2_a*P2_w2^2*SIN(RADIANS($A555))+P2_b*E555^2*SIN(RADIANS(B555)))/(P2_b*COS(RADIANS(B555)))</f>
        <v>-2.62514538448399</v>
      </c>
      <c r="H555" s="42" t="n">
        <f aca="false">-P2_a*P2_al2*SIN(RADIANS($A555))-P2_a*P2_w2^2*COS(RADIANS($A555))+P2_b*G555*SIN(RADIANS(B555))+P2_b*E555^2*COS(RADIANS(B555))</f>
        <v>11.4238835521766</v>
      </c>
      <c r="I555" s="45" t="n">
        <v>45</v>
      </c>
    </row>
    <row r="556" customFormat="false" ht="15" hidden="false" customHeight="false" outlineLevel="0" collapsed="false">
      <c r="A556" s="41" t="n">
        <v>275</v>
      </c>
      <c r="B556" s="42" t="n">
        <f aca="false">180-DEGREES(ASIN((P2_a*SIN(RADIANS($A556))-P2_c)/P2_b))</f>
        <v>186.466794914277</v>
      </c>
      <c r="C556" s="42" t="n">
        <f aca="false">P2_a*COS(RADIANS($A556))-P2_b*COS(RADIANS(B556))</f>
        <v>134.210573856009</v>
      </c>
      <c r="D556" s="43" t="n">
        <f aca="false">90-DEGREES(ASIN(ABS((P2_a*SIN(RADIANS($A556))-P2_c)/P2_b)))</f>
        <v>83.5332050857232</v>
      </c>
      <c r="E556" s="44" t="n">
        <f aca="false">P2_a*P2_w2*COS(RADIANS($A556))/(P2_b*COS(RADIANS(B556)))</f>
        <v>-0.0730654579360066</v>
      </c>
      <c r="F556" s="42" t="n">
        <f aca="false">-P2_a*P2_w2*SIN(RADIANS($A556))+P2_b*E556*SIN(RADIANS(B556))</f>
        <v>110.623578682067</v>
      </c>
      <c r="G556" s="44" t="n">
        <f aca="false">(P2_a*P2_al2*COS(RADIANS($A556))-P2_a*P2_w2^2*SIN(RADIANS($A556))+P2_b*E556^2*SIN(RADIANS(B556)))/(P2_b*COS(RADIANS(B556)))</f>
        <v>-2.62307087156189</v>
      </c>
      <c r="H556" s="42" t="n">
        <f aca="false">-P2_a*P2_al2*SIN(RADIANS($A556))-P2_a*P2_w2^2*COS(RADIANS($A556))+P2_b*G556*SIN(RADIANS(B556))+P2_b*E556^2*COS(RADIANS(B556))</f>
        <v>8.18975698012161</v>
      </c>
      <c r="I556" s="45" t="n">
        <v>45</v>
      </c>
    </row>
    <row r="557" customFormat="false" ht="15" hidden="false" customHeight="false" outlineLevel="0" collapsed="false">
      <c r="A557" s="41" t="n">
        <v>275.5</v>
      </c>
      <c r="B557" s="42" t="n">
        <f aca="false">180-DEGREES(ASIN((P2_a*SIN(RADIANS($A557))-P2_c)/P2_b))</f>
        <v>186.454586524363</v>
      </c>
      <c r="C557" s="42" t="n">
        <f aca="false">P2_a*COS(RADIANS($A557))-P2_b*COS(RADIANS(B557))</f>
        <v>134.51788899086</v>
      </c>
      <c r="D557" s="43" t="n">
        <f aca="false">90-DEGREES(ASIN(ABS((P2_a*SIN(RADIANS($A557))-P2_c)/P2_b)))</f>
        <v>83.5454134756372</v>
      </c>
      <c r="E557" s="44" t="n">
        <f aca="false">P2_a*P2_w2*COS(RADIANS($A557))/(P2_b*COS(RADIANS(B557)))</f>
        <v>-0.0803486334357909</v>
      </c>
      <c r="F557" s="42" t="n">
        <f aca="false">-P2_a*P2_w2*SIN(RADIANS($A557))+P2_b*E557*SIN(RADIANS(B557))</f>
        <v>110.641811127647</v>
      </c>
      <c r="G557" s="44" t="n">
        <f aca="false">(P2_a*P2_al2*COS(RADIANS($A557))-P2_a*P2_w2^2*SIN(RADIANS($A557))+P2_b*E557^2*SIN(RADIANS(B557)))/(P2_b*COS(RADIANS(B557)))</f>
        <v>-2.62077935355203</v>
      </c>
      <c r="H557" s="42" t="n">
        <f aca="false">-P2_a*P2_al2*SIN(RADIANS($A557))-P2_a*P2_w2^2*COS(RADIANS($A557))+P2_b*G557*SIN(RADIANS(B557))+P2_b*E557^2*COS(RADIANS(B557))</f>
        <v>4.9340305339798</v>
      </c>
      <c r="I557" s="45" t="n">
        <v>45</v>
      </c>
    </row>
    <row r="558" customFormat="false" ht="15" hidden="false" customHeight="false" outlineLevel="0" collapsed="false">
      <c r="A558" s="41" t="n">
        <v>276</v>
      </c>
      <c r="B558" s="42" t="n">
        <f aca="false">180-DEGREES(ASIN((P2_a*SIN(RADIANS($A558))-P2_c)/P2_b))</f>
        <v>186.441219503571</v>
      </c>
      <c r="C558" s="42" t="n">
        <f aca="false">P2_a*COS(RADIANS($A558))-P2_b*COS(RADIANS(B558))</f>
        <v>134.825242183253</v>
      </c>
      <c r="D558" s="43" t="n">
        <f aca="false">90-DEGREES(ASIN(ABS((P2_a*SIN(RADIANS($A558))-P2_c)/P2_b)))</f>
        <v>83.5587804964292</v>
      </c>
      <c r="E558" s="44" t="n">
        <f aca="false">P2_a*P2_w2*COS(RADIANS($A558))/(P2_b*COS(RADIANS(B558)))</f>
        <v>-0.0876251426788512</v>
      </c>
      <c r="F558" s="42" t="n">
        <f aca="false">-P2_a*P2_w2*SIN(RADIANS($A558))+P2_b*E558*SIN(RADIANS(B558))</f>
        <v>110.650970261995</v>
      </c>
      <c r="G558" s="44" t="n">
        <f aca="false">(P2_a*P2_al2*COS(RADIANS($A558))-P2_a*P2_w2^2*SIN(RADIANS($A558))+P2_b*E558^2*SIN(RADIANS(B558)))/(P2_b*COS(RADIANS(B558)))</f>
        <v>-2.61827123776147</v>
      </c>
      <c r="H558" s="42" t="n">
        <f aca="false">-P2_a*P2_al2*SIN(RADIANS($A558))-P2_a*P2_w2^2*COS(RADIANS($A558))+P2_b*G558*SIN(RADIANS(B558))+P2_b*E558^2*COS(RADIANS(B558))</f>
        <v>1.65702749428322</v>
      </c>
      <c r="I558" s="45" t="n">
        <v>45</v>
      </c>
    </row>
    <row r="559" customFormat="false" ht="15" hidden="false" customHeight="false" outlineLevel="0" collapsed="false">
      <c r="A559" s="41" t="n">
        <v>276.5</v>
      </c>
      <c r="B559" s="42" t="n">
        <f aca="false">180-DEGREES(ASIN((P2_a*SIN(RADIANS($A559))-P2_c)/P2_b))</f>
        <v>186.426694960715</v>
      </c>
      <c r="C559" s="42" t="n">
        <f aca="false">P2_a*COS(RADIANS($A559))-P2_b*COS(RADIANS(B559))</f>
        <v>135.132608147885</v>
      </c>
      <c r="D559" s="43" t="n">
        <f aca="false">90-DEGREES(ASIN(ABS((P2_a*SIN(RADIANS($A559))-P2_c)/P2_b)))</f>
        <v>83.5733050392852</v>
      </c>
      <c r="E559" s="44" t="n">
        <f aca="false">P2_a*P2_w2*COS(RADIANS($A559))/(P2_b*COS(RADIANS(B559)))</f>
        <v>-0.0948943846141613</v>
      </c>
      <c r="F559" s="42" t="n">
        <f aca="false">-P2_a*P2_w2*SIN(RADIANS($A559))+P2_b*E559*SIN(RADIANS(B559))</f>
        <v>110.65099744247</v>
      </c>
      <c r="G559" s="44" t="n">
        <f aca="false">(P2_a*P2_al2*COS(RADIANS($A559))-P2_a*P2_w2^2*SIN(RADIANS($A559))+P2_b*E559^2*SIN(RADIANS(B559)))/(P2_b*COS(RADIANS(B559)))</f>
        <v>-2.61554696929245</v>
      </c>
      <c r="H559" s="42" t="n">
        <f aca="false">-P2_a*P2_al2*SIN(RADIANS($A559))-P2_a*P2_w2^2*COS(RADIANS($A559))+P2_b*G559*SIN(RADIANS(B559))+P2_b*E559^2*COS(RADIANS(B559))</f>
        <v>-1.64092021673401</v>
      </c>
      <c r="I559" s="45" t="n">
        <v>45</v>
      </c>
    </row>
    <row r="560" customFormat="false" ht="15" hidden="false" customHeight="false" outlineLevel="0" collapsed="false">
      <c r="A560" s="41" t="n">
        <v>277</v>
      </c>
      <c r="B560" s="42" t="n">
        <f aca="false">180-DEGREES(ASIN((P2_a*SIN(RADIANS($A560))-P2_c)/P2_b))</f>
        <v>186.411014100168</v>
      </c>
      <c r="C560" s="42" t="n">
        <f aca="false">P2_a*COS(RADIANS($A560))-P2_b*COS(RADIANS(B560))</f>
        <v>135.439961437846</v>
      </c>
      <c r="D560" s="43" t="n">
        <f aca="false">90-DEGREES(ASIN(ABS((P2_a*SIN(RADIANS($A560))-P2_c)/P2_b)))</f>
        <v>83.5889858998317</v>
      </c>
      <c r="E560" s="44" t="n">
        <f aca="false">P2_a*P2_w2*COS(RADIANS($A560))/(P2_b*COS(RADIANS(B560)))</f>
        <v>-0.10215575947928</v>
      </c>
      <c r="F560" s="42" t="n">
        <f aca="false">-P2_a*P2_w2*SIN(RADIANS($A560))+P2_b*E560*SIN(RADIANS(B560))</f>
        <v>110.641834960367</v>
      </c>
      <c r="G560" s="44" t="n">
        <f aca="false">(P2_a*P2_al2*COS(RADIANS($A560))-P2_a*P2_w2^2*SIN(RADIANS($A560))+P2_b*E560^2*SIN(RADIANS(B560)))/(P2_b*COS(RADIANS(B560)))</f>
        <v>-2.61260703077363</v>
      </c>
      <c r="H560" s="42" t="n">
        <f aca="false">-P2_a*P2_al2*SIN(RADIANS($A560))-P2_a*P2_w2^2*COS(RADIANS($A560))+P2_b*G560*SIN(RADIANS(B560))+P2_b*E560^2*COS(RADIANS(B560))</f>
        <v>-4.95947210207181</v>
      </c>
      <c r="I560" s="45" t="n">
        <v>45</v>
      </c>
    </row>
    <row r="561" customFormat="false" ht="15" hidden="false" customHeight="false" outlineLevel="0" collapsed="false">
      <c r="A561" s="41" t="n">
        <v>277.5</v>
      </c>
      <c r="B561" s="42" t="n">
        <f aca="false">180-DEGREES(ASIN((P2_a*SIN(RADIANS($A561))-P2_c)/P2_b))</f>
        <v>186.39417822165</v>
      </c>
      <c r="C561" s="42" t="n">
        <f aca="false">P2_a*COS(RADIANS($A561))-P2_b*COS(RADIANS(B561))</f>
        <v>135.747276447251</v>
      </c>
      <c r="D561" s="43" t="n">
        <f aca="false">90-DEGREES(ASIN(ABS((P2_a*SIN(RADIANS($A561))-P2_c)/P2_b)))</f>
        <v>83.6058217783499</v>
      </c>
      <c r="E561" s="44" t="n">
        <f aca="false">P2_a*P2_w2*COS(RADIANS($A561))/(P2_b*COS(RADIANS(B561)))</f>
        <v>-0.109408668904185</v>
      </c>
      <c r="F561" s="42" t="n">
        <f aca="false">-P2_a*P2_w2*SIN(RADIANS($A561))+P2_b*E561*SIN(RADIANS(B561))</f>
        <v>110.62342606463</v>
      </c>
      <c r="G561" s="44" t="n">
        <f aca="false">(P2_a*P2_al2*COS(RADIANS($A561))-P2_a*P2_w2^2*SIN(RADIANS($A561))+P2_b*E561^2*SIN(RADIANS(B561)))/(P2_b*COS(RADIANS(B561)))</f>
        <v>-2.60945194206913</v>
      </c>
      <c r="H561" s="42" t="n">
        <f aca="false">-P2_a*P2_al2*SIN(RADIANS($A561))-P2_a*P2_w2^2*COS(RADIANS($A561))+P2_b*G561*SIN(RADIANS(B561))+P2_b*E561^2*COS(RADIANS(B561))</f>
        <v>-8.29827916098758</v>
      </c>
      <c r="I561" s="45" t="n">
        <v>45</v>
      </c>
    </row>
    <row r="562" customFormat="false" ht="15" hidden="false" customHeight="false" outlineLevel="0" collapsed="false">
      <c r="A562" s="41" t="n">
        <v>278</v>
      </c>
      <c r="B562" s="42" t="n">
        <f aca="false">180-DEGREES(ASIN((P2_a*SIN(RADIANS($A562))-P2_c)/P2_b))</f>
        <v>186.376188719995</v>
      </c>
      <c r="C562" s="42" t="n">
        <f aca="false">P2_a*COS(RADIANS($A562))-P2_b*COS(RADIANS(B562))</f>
        <v>136.05452741393</v>
      </c>
      <c r="D562" s="43" t="n">
        <f aca="false">90-DEGREES(ASIN(ABS((P2_a*SIN(RADIANS($A562))-P2_c)/P2_b)))</f>
        <v>83.6238112800046</v>
      </c>
      <c r="E562" s="44" t="n">
        <f aca="false">P2_a*P2_w2*COS(RADIANS($A562))/(P2_b*COS(RADIANS(B562)))</f>
        <v>-0.116652516014277</v>
      </c>
      <c r="F562" s="42" t="n">
        <f aca="false">-P2_a*P2_w2*SIN(RADIANS($A562))+P2_b*E562*SIN(RADIANS(B562))</f>
        <v>110.595714985377</v>
      </c>
      <c r="G562" s="44" t="n">
        <f aca="false">(P2_a*P2_al2*COS(RADIANS($A562))-P2_a*P2_w2^2*SIN(RADIANS($A562))+P2_b*E562^2*SIN(RADIANS(B562)))/(P2_b*COS(RADIANS(B562)))</f>
        <v>-2.60608225996577</v>
      </c>
      <c r="H562" s="42" t="n">
        <f aca="false">-P2_a*P2_al2*SIN(RADIANS($A562))-P2_a*P2_w2^2*COS(RADIANS($A562))+P2_b*G562*SIN(RADIANS(B562))+P2_b*E562^2*COS(RADIANS(B562))</f>
        <v>-11.6569839640753</v>
      </c>
      <c r="I562" s="45" t="n">
        <v>45</v>
      </c>
    </row>
    <row r="563" customFormat="false" ht="15" hidden="false" customHeight="false" outlineLevel="0" collapsed="false">
      <c r="A563" s="41" t="n">
        <v>278.5</v>
      </c>
      <c r="B563" s="42" t="n">
        <f aca="false">180-DEGREES(ASIN((P2_a*SIN(RADIANS($A563))-P2_c)/P2_b))</f>
        <v>186.357047084909</v>
      </c>
      <c r="C563" s="42" t="n">
        <f aca="false">P2_a*COS(RADIANS($A563))-P2_b*COS(RADIANS(B563))</f>
        <v>136.361688422186</v>
      </c>
      <c r="D563" s="43" t="n">
        <f aca="false">90-DEGREES(ASIN(ABS((P2_a*SIN(RADIANS($A563))-P2_c)/P2_b)))</f>
        <v>83.6429529150912</v>
      </c>
      <c r="E563" s="44" t="n">
        <f aca="false">P2_a*P2_w2*COS(RADIANS($A563))/(P2_b*COS(RADIANS(B563)))</f>
        <v>-0.123886705532484</v>
      </c>
      <c r="F563" s="42" t="n">
        <f aca="false">-P2_a*P2_w2*SIN(RADIANS($A563))+P2_b*E563*SIN(RADIANS(B563))</f>
        <v>110.5586469572</v>
      </c>
      <c r="G563" s="44" t="n">
        <f aca="false">(P2_a*P2_al2*COS(RADIANS($A563))-P2_a*P2_w2^2*SIN(RADIANS($A563))+P2_b*E563^2*SIN(RADIANS(B563)))/(P2_b*COS(RADIANS(B563)))</f>
        <v>-2.6024985778388</v>
      </c>
      <c r="H563" s="42" t="n">
        <f aca="false">-P2_a*P2_al2*SIN(RADIANS($A563))-P2_a*P2_w2^2*COS(RADIANS($A563))+P2_b*G563*SIN(RADIANS(B563))+P2_b*E563^2*COS(RADIANS(B563))</f>
        <v>-15.0352207323327</v>
      </c>
      <c r="I563" s="45" t="n">
        <v>45</v>
      </c>
    </row>
    <row r="564" customFormat="false" ht="15" hidden="false" customHeight="false" outlineLevel="0" collapsed="false">
      <c r="A564" s="41" t="n">
        <v>279</v>
      </c>
      <c r="B564" s="42" t="n">
        <f aca="false">180-DEGREES(ASIN((P2_a*SIN(RADIANS($A564))-P2_c)/P2_b))</f>
        <v>186.336754900702</v>
      </c>
      <c r="C564" s="42" t="n">
        <f aca="false">P2_a*COS(RADIANS($A564))-P2_b*COS(RADIANS(B564))</f>
        <v>136.668733405617</v>
      </c>
      <c r="D564" s="43" t="n">
        <f aca="false">90-DEGREES(ASIN(ABS((P2_a*SIN(RADIANS($A564))-P2_c)/P2_b)))</f>
        <v>83.6632450992977</v>
      </c>
      <c r="E564" s="44" t="n">
        <f aca="false">P2_a*P2_w2*COS(RADIANS($A564))/(P2_b*COS(RADIANS(B564)))</f>
        <v>-0.131110643880408</v>
      </c>
      <c r="F564" s="42" t="n">
        <f aca="false">-P2_a*P2_w2*SIN(RADIANS($A564))+P2_b*E564*SIN(RADIANS(B564))</f>
        <v>110.512168242242</v>
      </c>
      <c r="G564" s="44" t="n">
        <f aca="false">(P2_a*P2_al2*COS(RADIANS($A564))-P2_a*P2_w2^2*SIN(RADIANS($A564))+P2_b*E564^2*SIN(RADIANS(B564)))/(P2_b*COS(RADIANS(B564)))</f>
        <v>-2.5987015252964</v>
      </c>
      <c r="H564" s="42" t="n">
        <f aca="false">-P2_a*P2_al2*SIN(RADIANS($A564))-P2_a*P2_w2^2*COS(RADIANS($A564))+P2_b*G564*SIN(RADIANS(B564))+P2_b*E564^2*COS(RADIANS(B564))</f>
        <v>-18.4326154201725</v>
      </c>
      <c r="I564" s="45" t="n">
        <v>45</v>
      </c>
    </row>
    <row r="565" customFormat="false" ht="15" hidden="false" customHeight="false" outlineLevel="0" collapsed="false">
      <c r="A565" s="41" t="n">
        <v>279.5</v>
      </c>
      <c r="B565" s="42" t="n">
        <f aca="false">180-DEGREES(ASIN((P2_a*SIN(RADIANS($A565))-P2_c)/P2_b))</f>
        <v>186.315313846017</v>
      </c>
      <c r="C565" s="42" t="n">
        <f aca="false">P2_a*COS(RADIANS($A565))-P2_b*COS(RADIANS(B565))</f>
        <v>136.975636150004</v>
      </c>
      <c r="D565" s="43" t="n">
        <f aca="false">90-DEGREES(ASIN(ABS((P2_a*SIN(RADIANS($A565))-P2_c)/P2_b)))</f>
        <v>83.6846861539826</v>
      </c>
      <c r="E565" s="44" t="n">
        <f aca="false">P2_a*P2_w2*COS(RADIANS($A565))/(P2_b*COS(RADIANS(B565)))</f>
        <v>-0.138323739278452</v>
      </c>
      <c r="F565" s="42" t="n">
        <f aca="false">-P2_a*P2_w2*SIN(RADIANS($A565))+P2_b*E565*SIN(RADIANS(B565))</f>
        <v>110.456226153047</v>
      </c>
      <c r="G565" s="44" t="n">
        <f aca="false">(P2_a*P2_al2*COS(RADIANS($A565))-P2_a*P2_w2^2*SIN(RADIANS($A565))+P2_b*E565^2*SIN(RADIANS(B565)))/(P2_b*COS(RADIANS(B565)))</f>
        <v>-2.59469176780346</v>
      </c>
      <c r="H565" s="42" t="n">
        <f aca="false">-P2_a*P2_al2*SIN(RADIANS($A565))-P2_a*P2_w2^2*COS(RADIANS($A565))+P2_b*G565*SIN(RADIANS(B565))+P2_b*E565^2*COS(RADIANS(B565))</f>
        <v>-21.8487858023105</v>
      </c>
      <c r="I565" s="45" t="n">
        <v>45</v>
      </c>
    </row>
    <row r="566" customFormat="false" ht="15" hidden="false" customHeight="false" outlineLevel="0" collapsed="false">
      <c r="A566" s="41" t="n">
        <v>280</v>
      </c>
      <c r="B566" s="42" t="n">
        <f aca="false">180-DEGREES(ASIN((P2_a*SIN(RADIANS($A566))-P2_c)/P2_b))</f>
        <v>186.29272569353</v>
      </c>
      <c r="C566" s="42" t="n">
        <f aca="false">P2_a*COS(RADIANS($A566))-P2_b*COS(RADIANS(B566))</f>
        <v>137.282370296258</v>
      </c>
      <c r="D566" s="43" t="n">
        <f aca="false">90-DEGREES(ASIN(ABS((P2_a*SIN(RADIANS($A566))-P2_c)/P2_b)))</f>
        <v>83.7072743064698</v>
      </c>
      <c r="E566" s="44" t="n">
        <f aca="false">P2_a*P2_w2*COS(RADIANS($A566))/(P2_b*COS(RADIANS(B566)))</f>
        <v>-0.145525401844877</v>
      </c>
      <c r="F566" s="42" t="n">
        <f aca="false">-P2_a*P2_w2*SIN(RADIANS($A566))+P2_b*E566*SIN(RADIANS(B566))</f>
        <v>110.390769075149</v>
      </c>
      <c r="G566" s="44" t="n">
        <f aca="false">(P2_a*P2_al2*COS(RADIANS($A566))-P2_a*P2_w2^2*SIN(RADIANS($A566))+P2_b*E566^2*SIN(RADIANS(B566)))/(P2_b*COS(RADIANS(B566)))</f>
        <v>-2.59047000628485</v>
      </c>
      <c r="H566" s="42" t="n">
        <f aca="false">-P2_a*P2_al2*SIN(RADIANS($A566))-P2_a*P2_w2^2*COS(RADIANS($A566))+P2_b*G566*SIN(RADIANS(B566))+P2_b*E566^2*COS(RADIANS(B566))</f>
        <v>-25.2833415644702</v>
      </c>
      <c r="I566" s="45" t="n">
        <v>45</v>
      </c>
    </row>
    <row r="567" customFormat="false" ht="15" hidden="false" customHeight="false" outlineLevel="0" collapsed="false">
      <c r="A567" s="41" t="n">
        <v>280.5</v>
      </c>
      <c r="B567" s="42" t="n">
        <f aca="false">180-DEGREES(ASIN((P2_a*SIN(RADIANS($A567))-P2_c)/P2_b))</f>
        <v>186.268992309642</v>
      </c>
      <c r="C567" s="42" t="n">
        <f aca="false">P2_a*COS(RADIANS($A567))-P2_b*COS(RADIANS(B567))</f>
        <v>137.588909343435</v>
      </c>
      <c r="D567" s="43" t="n">
        <f aca="false">90-DEGREES(ASIN(ABS((P2_a*SIN(RADIANS($A567))-P2_c)/P2_b)))</f>
        <v>83.7310076903581</v>
      </c>
      <c r="E567" s="44" t="n">
        <f aca="false">P2_a*P2_w2*COS(RADIANS($A567))/(P2_b*COS(RADIANS(B567)))</f>
        <v>-0.152715043693728</v>
      </c>
      <c r="F567" s="42" t="n">
        <f aca="false">-P2_a*P2_w2*SIN(RADIANS($A567))+P2_b*E567*SIN(RADIANS(B567))</f>
        <v>110.315746489416</v>
      </c>
      <c r="G567" s="44" t="n">
        <f aca="false">(P2_a*P2_al2*COS(RADIANS($A567))-P2_a*P2_w2^2*SIN(RADIANS($A567))+P2_b*E567^2*SIN(RADIANS(B567)))/(P2_b*COS(RADIANS(B567)))</f>
        <v>-2.58603697670871</v>
      </c>
      <c r="H567" s="42" t="n">
        <f aca="false">-P2_a*P2_al2*SIN(RADIANS($A567))-P2_a*P2_w2^2*COS(RADIANS($A567))+P2_b*G567*SIN(RADIANS(B567))+P2_b*E567^2*COS(RADIANS(B567))</f>
        <v>-28.735884397841</v>
      </c>
      <c r="I567" s="45" t="n">
        <v>45</v>
      </c>
    </row>
    <row r="568" customFormat="false" ht="15" hidden="false" customHeight="false" outlineLevel="0" collapsed="false">
      <c r="A568" s="41" t="n">
        <v>281</v>
      </c>
      <c r="B568" s="42" t="n">
        <f aca="false">180-DEGREES(ASIN((P2_a*SIN(RADIANS($A568))-P2_c)/P2_b))</f>
        <v>186.244115654154</v>
      </c>
      <c r="C568" s="42" t="n">
        <f aca="false">P2_a*COS(RADIANS($A568))-P2_b*COS(RADIANS(B568))</f>
        <v>137.895226651804</v>
      </c>
      <c r="D568" s="43" t="n">
        <f aca="false">90-DEGREES(ASIN(ABS((P2_a*SIN(RADIANS($A568))-P2_c)/P2_b)))</f>
        <v>83.7558843458465</v>
      </c>
      <c r="E568" s="44" t="n">
        <f aca="false">P2_a*P2_w2*COS(RADIANS($A568))/(P2_b*COS(RADIANS(B568)))</f>
        <v>-0.159892079031573</v>
      </c>
      <c r="F568" s="42" t="n">
        <f aca="false">-P2_a*P2_w2*SIN(RADIANS($A568))+P2_b*E568*SIN(RADIANS(B568))</f>
        <v>110.231108994119</v>
      </c>
      <c r="G568" s="44" t="n">
        <f aca="false">(P2_a*P2_al2*COS(RADIANS($A568))-P2_a*P2_w2^2*SIN(RADIANS($A568))+P2_b*E568^2*SIN(RADIANS(B568)))/(P2_b*COS(RADIANS(B568)))</f>
        <v>-2.58139344965013</v>
      </c>
      <c r="H568" s="42" t="n">
        <f aca="false">-P2_a*P2_al2*SIN(RADIANS($A568))-P2_a*P2_w2^2*COS(RADIANS($A568))+P2_b*G568*SIN(RADIANS(B568))+P2_b*E568^2*COS(RADIANS(B568))</f>
        <v>-32.2060080972149</v>
      </c>
      <c r="I568" s="45" t="n">
        <v>45</v>
      </c>
    </row>
    <row r="569" customFormat="false" ht="15" hidden="false" customHeight="false" outlineLevel="0" collapsed="false">
      <c r="A569" s="41" t="n">
        <v>281.5</v>
      </c>
      <c r="B569" s="42" t="n">
        <f aca="false">180-DEGREES(ASIN((P2_a*SIN(RADIANS($A569))-P2_c)/P2_b))</f>
        <v>186.218097779925</v>
      </c>
      <c r="C569" s="42" t="n">
        <f aca="false">P2_a*COS(RADIANS($A569))-P2_b*COS(RADIANS(B569))</f>
        <v>138.201295445985</v>
      </c>
      <c r="D569" s="43" t="n">
        <f aca="false">90-DEGREES(ASIN(ABS((P2_a*SIN(RADIANS($A569))-P2_c)/P2_b)))</f>
        <v>83.7819022200749</v>
      </c>
      <c r="E569" s="44" t="n">
        <f aca="false">P2_a*P2_w2*COS(RADIANS($A569))/(P2_b*COS(RADIANS(B569)))</f>
        <v>-0.167055924253008</v>
      </c>
      <c r="F569" s="42" t="n">
        <f aca="false">-P2_a*P2_w2*SIN(RADIANS($A569))+P2_b*E569*SIN(RADIANS(B569))</f>
        <v>110.136808326726</v>
      </c>
      <c r="G569" s="44" t="n">
        <f aca="false">(P2_a*P2_al2*COS(RADIANS($A569))-P2_a*P2_w2^2*SIN(RADIANS($A569))+P2_b*E569^2*SIN(RADIANS(B569)))/(P2_b*COS(RADIANS(B569)))</f>
        <v>-2.5765402298357</v>
      </c>
      <c r="H569" s="42" t="n">
        <f aca="false">-P2_a*P2_al2*SIN(RADIANS($A569))-P2_a*P2_w2^2*COS(RADIANS($A569))+P2_b*G569*SIN(RADIANS(B569))+P2_b*E569^2*COS(RADIANS(B569))</f>
        <v>-35.6932986627389</v>
      </c>
      <c r="I569" s="45" t="n">
        <v>45</v>
      </c>
    </row>
    <row r="570" customFormat="false" ht="15" hidden="false" customHeight="false" outlineLevel="0" collapsed="false">
      <c r="A570" s="41" t="n">
        <v>282</v>
      </c>
      <c r="B570" s="42" t="n">
        <f aca="false">180-DEGREES(ASIN((P2_a*SIN(RADIANS($A570))-P2_c)/P2_b))</f>
        <v>186.19094083252</v>
      </c>
      <c r="C570" s="42" t="n">
        <f aca="false">P2_a*COS(RADIANS($A570))-P2_b*COS(RADIANS(B570))</f>
        <v>138.507088818144</v>
      </c>
      <c r="D570" s="43" t="n">
        <f aca="false">90-DEGREES(ASIN(ABS((P2_a*SIN(RADIANS($A570))-P2_c)/P2_b)))</f>
        <v>83.80905916748</v>
      </c>
      <c r="E570" s="44" t="n">
        <f aca="false">P2_a*P2_w2*COS(RADIANS($A570))/(P2_b*COS(RADIANS(B570)))</f>
        <v>-0.174205998034866</v>
      </c>
      <c r="F570" s="42" t="n">
        <f aca="false">-P2_a*P2_w2*SIN(RADIANS($A570))+P2_b*E570*SIN(RADIANS(B570))</f>
        <v>110.032797385409</v>
      </c>
      <c r="G570" s="44" t="n">
        <f aca="false">(P2_a*P2_al2*COS(RADIANS($A570))-P2_a*P2_w2^2*SIN(RADIANS($A570))+P2_b*E570^2*SIN(RADIANS(B570)))/(P2_b*COS(RADIANS(B570)))</f>
        <v>-2.57147815566934</v>
      </c>
      <c r="H570" s="42" t="n">
        <f aca="false">-P2_a*P2_al2*SIN(RADIANS($A570))-P2_a*P2_w2^2*COS(RADIANS($A570))+P2_b*G570*SIN(RADIANS(B570))+P2_b*E570^2*COS(RADIANS(B570))</f>
        <v>-39.1973344051982</v>
      </c>
      <c r="I570" s="45" t="n">
        <v>45</v>
      </c>
    </row>
    <row r="571" customFormat="false" ht="15" hidden="false" customHeight="false" outlineLevel="0" collapsed="false">
      <c r="A571" s="41" t="n">
        <v>282.5</v>
      </c>
      <c r="B571" s="42" t="n">
        <f aca="false">180-DEGREES(ASIN((P2_a*SIN(RADIANS($A571))-P2_c)/P2_b))</f>
        <v>186.162647049834</v>
      </c>
      <c r="C571" s="42" t="n">
        <f aca="false">P2_a*COS(RADIANS($A571))-P2_b*COS(RADIANS(B571))</f>
        <v>138.812579731243</v>
      </c>
      <c r="D571" s="43" t="n">
        <f aca="false">90-DEGREES(ASIN(ABS((P2_a*SIN(RADIANS($A571))-P2_c)/P2_b)))</f>
        <v>83.8373529501658</v>
      </c>
      <c r="E571" s="44" t="n">
        <f aca="false">P2_a*P2_w2*COS(RADIANS($A571))/(P2_b*COS(RADIANS(B571)))</f>
        <v>-0.181341721429085</v>
      </c>
      <c r="F571" s="42" t="n">
        <f aca="false">-P2_a*P2_w2*SIN(RADIANS($A571))+P2_b*E571*SIN(RADIANS(B571))</f>
        <v>109.919030250256</v>
      </c>
      <c r="G571" s="44" t="n">
        <f aca="false">(P2_a*P2_al2*COS(RADIANS($A571))-P2_a*P2_w2^2*SIN(RADIANS($A571))+P2_b*E571^2*SIN(RADIANS(B571)))/(P2_b*COS(RADIANS(B571)))</f>
        <v>-2.56620809873997</v>
      </c>
      <c r="H571" s="42" t="n">
        <f aca="false">-P2_a*P2_al2*SIN(RADIANS($A571))-P2_a*P2_w2^2*COS(RADIANS($A571))+P2_b*G571*SIN(RADIANS(B571))+P2_b*E571^2*COS(RADIANS(B571))</f>
        <v>-42.7176860547628</v>
      </c>
      <c r="I571" s="45" t="n">
        <v>45</v>
      </c>
    </row>
    <row r="572" customFormat="false" ht="15" hidden="false" customHeight="false" outlineLevel="0" collapsed="false">
      <c r="A572" s="41" t="n">
        <v>283</v>
      </c>
      <c r="B572" s="42" t="n">
        <f aca="false">180-DEGREES(ASIN((P2_a*SIN(RADIANS($A572))-P2_c)/P2_b))</f>
        <v>186.133218761711</v>
      </c>
      <c r="C572" s="42" t="n">
        <f aca="false">P2_a*COS(RADIANS($A572))-P2_b*COS(RADIANS(B572))</f>
        <v>139.117741022356</v>
      </c>
      <c r="D572" s="43" t="n">
        <f aca="false">90-DEGREES(ASIN(ABS((P2_a*SIN(RADIANS($A572))-P2_c)/P2_b)))</f>
        <v>83.866781238289</v>
      </c>
      <c r="E572" s="44" t="n">
        <f aca="false">P2_a*P2_w2*COS(RADIANS($A572))/(P2_b*COS(RADIANS(B572)))</f>
        <v>-0.188462517954189</v>
      </c>
      <c r="F572" s="42" t="n">
        <f aca="false">-P2_a*P2_w2*SIN(RADIANS($A572))+P2_b*E572*SIN(RADIANS(B572))</f>
        <v>109.795462204166</v>
      </c>
      <c r="G572" s="44" t="n">
        <f aca="false">(P2_a*P2_al2*COS(RADIANS($A572))-P2_a*P2_w2^2*SIN(RADIANS($A572))+P2_b*E572^2*SIN(RADIANS(B572)))/(P2_b*COS(RADIANS(B572)))</f>
        <v>-2.56073096331135</v>
      </c>
      <c r="H572" s="42" t="n">
        <f aca="false">-P2_a*P2_al2*SIN(RADIANS($A572))-P2_a*P2_w2^2*COS(RADIANS($A572))+P2_b*G572*SIN(RADIANS(B572))+P2_b*E572^2*COS(RADIANS(B572))</f>
        <v>-46.253916873111</v>
      </c>
      <c r="I572" s="45" t="n">
        <v>45</v>
      </c>
    </row>
    <row r="573" customFormat="false" ht="15" hidden="false" customHeight="false" outlineLevel="0" collapsed="false">
      <c r="A573" s="41" t="n">
        <v>283.5</v>
      </c>
      <c r="B573" s="42" t="n">
        <f aca="false">180-DEGREES(ASIN((P2_a*SIN(RADIANS($A573))-P2_c)/P2_b))</f>
        <v>186.102658389542</v>
      </c>
      <c r="C573" s="42" t="n">
        <f aca="false">P2_a*COS(RADIANS($A573))-P2_b*COS(RADIANS(B573))</f>
        <v>139.422545406038</v>
      </c>
      <c r="D573" s="43" t="n">
        <f aca="false">90-DEGREES(ASIN(ABS((P2_a*SIN(RADIANS($A573))-P2_c)/P2_b)))</f>
        <v>83.8973416104584</v>
      </c>
      <c r="E573" s="44" t="n">
        <f aca="false">P2_a*P2_w2*COS(RADIANS($A573))/(P2_b*COS(RADIANS(B573)))</f>
        <v>-0.195567813685314</v>
      </c>
      <c r="F573" s="42" t="n">
        <f aca="false">-P2_a*P2_w2*SIN(RADIANS($A573))+P2_b*E573*SIN(RADIANS(B573))</f>
        <v>109.662049753444</v>
      </c>
      <c r="G573" s="44" t="n">
        <f aca="false">(P2_a*P2_al2*COS(RADIANS($A573))-P2_a*P2_w2^2*SIN(RADIANS($A573))+P2_b*E573^2*SIN(RADIANS(B573)))/(P2_b*COS(RADIANS(B573)))</f>
        <v>-2.5550476857948</v>
      </c>
      <c r="H573" s="42" t="n">
        <f aca="false">-P2_a*P2_al2*SIN(RADIANS($A573))-P2_a*P2_w2^2*COS(RADIANS($A573))+P2_b*G573*SIN(RADIANS(B573))+P2_b*E573^2*COS(RADIANS(B573))</f>
        <v>-49.8055827688486</v>
      </c>
      <c r="I573" s="45" t="n">
        <v>45</v>
      </c>
    </row>
    <row r="574" customFormat="false" ht="15" hidden="false" customHeight="false" outlineLevel="0" collapsed="false">
      <c r="A574" s="41" t="n">
        <v>284</v>
      </c>
      <c r="B574" s="42" t="n">
        <f aca="false">180-DEGREES(ASIN((P2_a*SIN(RADIANS($A574))-P2_c)/P2_b))</f>
        <v>186.070968445851</v>
      </c>
      <c r="C574" s="42" t="n">
        <f aca="false">P2_a*COS(RADIANS($A574))-P2_b*COS(RADIANS(B574))</f>
        <v>139.726965477749</v>
      </c>
      <c r="D574" s="43" t="n">
        <f aca="false">90-DEGREES(ASIN(ABS((P2_a*SIN(RADIANS($A574))-P2_c)/P2_b)))</f>
        <v>83.9290315541495</v>
      </c>
      <c r="E574" s="44" t="n">
        <f aca="false">P2_a*P2_w2*COS(RADIANS($A574))/(P2_b*COS(RADIANS(B574)))</f>
        <v>-0.202657037342764</v>
      </c>
      <c r="F574" s="42" t="n">
        <f aca="false">-P2_a*P2_w2*SIN(RADIANS($A574))+P2_b*E574*SIN(RADIANS(B574))</f>
        <v>109.518750648054</v>
      </c>
      <c r="G574" s="44" t="n">
        <f aca="false">(P2_a*P2_al2*COS(RADIANS($A574))-P2_a*P2_w2^2*SIN(RADIANS($A574))+P2_b*E574^2*SIN(RADIANS(B574)))/(P2_b*COS(RADIANS(B574)))</f>
        <v>-2.54915923420523</v>
      </c>
      <c r="H574" s="42" t="n">
        <f aca="false">-P2_a*P2_al2*SIN(RADIANS($A574))-P2_a*P2_w2^2*COS(RADIANS($A574))+P2_b*G574*SIN(RADIANS(B574))+P2_b*E574^2*COS(RADIANS(B574))</f>
        <v>-53.3722324161442</v>
      </c>
      <c r="I574" s="45" t="n">
        <v>45</v>
      </c>
    </row>
    <row r="575" customFormat="false" ht="15" hidden="false" customHeight="false" outlineLevel="0" collapsed="false">
      <c r="A575" s="41" t="n">
        <v>284.5</v>
      </c>
      <c r="B575" s="42" t="n">
        <f aca="false">180-DEGREES(ASIN((P2_a*SIN(RADIANS($A575))-P2_c)/P2_b))</f>
        <v>186.038151533868</v>
      </c>
      <c r="C575" s="42" t="n">
        <f aca="false">P2_a*COS(RADIANS($A575))-P2_b*COS(RADIANS(B575))</f>
        <v>140.030973717339</v>
      </c>
      <c r="D575" s="43" t="n">
        <f aca="false">90-DEGREES(ASIN(ABS((P2_a*SIN(RADIANS($A575))-P2_c)/P2_b)))</f>
        <v>83.961848466132</v>
      </c>
      <c r="E575" s="44" t="n">
        <f aca="false">P2_a*P2_w2*COS(RADIANS($A575))/(P2_b*COS(RADIANS(B575)))</f>
        <v>-0.209729620379018</v>
      </c>
      <c r="F575" s="42" t="n">
        <f aca="false">-P2_a*P2_w2*SIN(RADIANS($A575))+P2_b*E575*SIN(RADIANS(B575))</f>
        <v>109.365523901552</v>
      </c>
      <c r="G575" s="44" t="n">
        <f aca="false">(P2_a*P2_al2*COS(RADIANS($A575))-P2_a*P2_w2^2*SIN(RADIANS($A575))+P2_b*E575^2*SIN(RADIANS(B575)))/(P2_b*COS(RADIANS(B575)))</f>
        <v>-2.54306660760097</v>
      </c>
      <c r="H575" s="42" t="n">
        <f aca="false">-P2_a*P2_al2*SIN(RADIANS($A575))-P2_a*P2_w2^2*COS(RADIANS($A575))+P2_b*G575*SIN(RADIANS(B575))+P2_b*E575^2*COS(RADIANS(B575))</f>
        <v>-56.9534073764831</v>
      </c>
      <c r="I575" s="45" t="n">
        <v>45</v>
      </c>
    </row>
    <row r="576" customFormat="false" ht="15" hidden="false" customHeight="false" outlineLevel="0" collapsed="false">
      <c r="A576" s="41" t="n">
        <v>285</v>
      </c>
      <c r="B576" s="42" t="n">
        <f aca="false">180-DEGREES(ASIN((P2_a*SIN(RADIANS($A576))-P2_c)/P2_b))</f>
        <v>186.004210347089</v>
      </c>
      <c r="C576" s="42" t="n">
        <f aca="false">P2_a*COS(RADIANS($A576))-P2_b*COS(RADIANS(B576))</f>
        <v>140.334542492584</v>
      </c>
      <c r="D576" s="43" t="n">
        <f aca="false">90-DEGREES(ASIN(ABS((P2_a*SIN(RADIANS($A576))-P2_c)/P2_b)))</f>
        <v>83.9957896529113</v>
      </c>
      <c r="E576" s="44" t="n">
        <f aca="false">P2_a*P2_w2*COS(RADIANS($A576))/(P2_b*COS(RADIANS(B576)))</f>
        <v>-0.216784997064172</v>
      </c>
      <c r="F576" s="42" t="n">
        <f aca="false">-P2_a*P2_w2*SIN(RADIANS($A576))+P2_b*E576*SIN(RADIANS(B576))</f>
        <v>109.20232981067</v>
      </c>
      <c r="G576" s="44" t="n">
        <f aca="false">(P2_a*P2_al2*COS(RADIANS($A576))-P2_a*P2_w2^2*SIN(RADIANS($A576))+P2_b*E576^2*SIN(RADIANS(B576)))/(P2_b*COS(RADIANS(B576)))</f>
        <v>-2.53677083550799</v>
      </c>
      <c r="H576" s="42" t="n">
        <f aca="false">-P2_a*P2_al2*SIN(RADIANS($A576))-P2_a*P2_w2^2*COS(RADIANS($A576))+P2_b*G576*SIN(RADIANS(B576))+P2_b*E576^2*COS(RADIANS(B576))</f>
        <v>-60.5486422234634</v>
      </c>
      <c r="I576" s="45" t="n">
        <v>45</v>
      </c>
    </row>
    <row r="577" customFormat="false" ht="15" hidden="false" customHeight="false" outlineLevel="0" collapsed="false">
      <c r="A577" s="41" t="n">
        <v>285.5</v>
      </c>
      <c r="B577" s="42" t="n">
        <f aca="false">180-DEGREES(ASIN((P2_a*SIN(RADIANS($A577))-P2_c)/P2_b))</f>
        <v>185.969147668816</v>
      </c>
      <c r="C577" s="42" t="n">
        <f aca="false">P2_a*COS(RADIANS($A577))-P2_b*COS(RADIANS(B577))</f>
        <v>140.637644062778</v>
      </c>
      <c r="D577" s="43" t="n">
        <f aca="false">90-DEGREES(ASIN(ABS((P2_a*SIN(RADIANS($A577))-P2_c)/P2_b)))</f>
        <v>84.0308523311843</v>
      </c>
      <c r="E577" s="44" t="n">
        <f aca="false">P2_a*P2_w2*COS(RADIANS($A577))/(P2_b*COS(RADIANS(B577)))</f>
        <v>-0.223822604569747</v>
      </c>
      <c r="F577" s="42" t="n">
        <f aca="false">-P2_a*P2_w2*SIN(RADIANS($A577))+P2_b*E577*SIN(RADIANS(B577))</f>
        <v>109.029129974547</v>
      </c>
      <c r="G577" s="44" t="n">
        <f aca="false">(P2_a*P2_al2*COS(RADIANS($A577))-P2_a*P2_w2^2*SIN(RADIANS($A577))+P2_b*E577^2*SIN(RADIANS(B577)))/(P2_b*COS(RADIANS(B577)))</f>
        <v>-2.53027297732917</v>
      </c>
      <c r="H577" s="42" t="n">
        <f aca="false">-P2_a*P2_al2*SIN(RADIANS($A577))-P2_a*P2_w2^2*COS(RADIANS($A577))+P2_b*G577*SIN(RADIANS(B577))+P2_b*E577^2*COS(RADIANS(B577))</f>
        <v>-64.1574646705322</v>
      </c>
      <c r="I577" s="45" t="n">
        <v>45</v>
      </c>
    </row>
    <row r="578" customFormat="false" ht="15" hidden="false" customHeight="false" outlineLevel="0" collapsed="false">
      <c r="A578" s="41" t="n">
        <v>286</v>
      </c>
      <c r="B578" s="42" t="n">
        <f aca="false">180-DEGREES(ASIN((P2_a*SIN(RADIANS($A578))-P2_c)/P2_b))</f>
        <v>185.932966371693</v>
      </c>
      <c r="C578" s="42" t="n">
        <f aca="false">P2_a*COS(RADIANS($A578))-P2_b*COS(RADIANS(B578))</f>
        <v>140.940250582378</v>
      </c>
      <c r="D578" s="43" t="n">
        <f aca="false">90-DEGREES(ASIN(ABS((P2_a*SIN(RADIANS($A578))-P2_c)/P2_b)))</f>
        <v>84.0670336283069</v>
      </c>
      <c r="E578" s="44" t="n">
        <f aca="false">P2_a*P2_w2*COS(RADIANS($A578))/(P2_b*COS(RADIANS(B578)))</f>
        <v>-0.230841883050846</v>
      </c>
      <c r="F578" s="42" t="n">
        <f aca="false">-P2_a*P2_w2*SIN(RADIANS($A578))+P2_b*E578*SIN(RADIANS(B578))</f>
        <v>108.845887313608</v>
      </c>
      <c r="G578" s="44" t="n">
        <f aca="false">(P2_a*P2_al2*COS(RADIANS($A578))-P2_a*P2_w2^2*SIN(RADIANS($A578))+P2_b*E578^2*SIN(RADIANS(B578)))/(P2_b*COS(RADIANS(B578)))</f>
        <v>-2.523574121739</v>
      </c>
      <c r="H578" s="42" t="n">
        <f aca="false">-P2_a*P2_al2*SIN(RADIANS($A578))-P2_a*P2_w2^2*COS(RADIANS($A578))+P2_b*G578*SIN(RADIANS(B578))+P2_b*E578^2*COS(RADIANS(B578))</f>
        <v>-67.7793957015766</v>
      </c>
      <c r="I578" s="45" t="n">
        <v>45</v>
      </c>
    </row>
    <row r="579" customFormat="false" ht="15" hidden="false" customHeight="false" outlineLevel="0" collapsed="false">
      <c r="A579" s="41" t="n">
        <v>286.5</v>
      </c>
      <c r="B579" s="42" t="n">
        <f aca="false">180-DEGREES(ASIN((P2_a*SIN(RADIANS($A579))-P2_c)/P2_b))</f>
        <v>185.895669417224</v>
      </c>
      <c r="C579" s="42" t="n">
        <f aca="false">P2_a*COS(RADIANS($A579))-P2_b*COS(RADIANS(B579))</f>
        <v>141.242334104696</v>
      </c>
      <c r="D579" s="43" t="n">
        <f aca="false">90-DEGREES(ASIN(ABS((P2_a*SIN(RADIANS($A579))-P2_c)/P2_b)))</f>
        <v>84.104330582776</v>
      </c>
      <c r="E579" s="44" t="n">
        <f aca="false">P2_a*P2_w2*COS(RADIANS($A579))/(P2_b*COS(RADIANS(B579)))</f>
        <v>-0.237842275726613</v>
      </c>
      <c r="F579" s="42" t="n">
        <f aca="false">-P2_a*P2_w2*SIN(RADIANS($A579))+P2_b*E579*SIN(RADIANS(B579))</f>
        <v>108.652566088069</v>
      </c>
      <c r="G579" s="44" t="n">
        <f aca="false">(P2_a*P2_al2*COS(RADIANS($A579))-P2_a*P2_w2^2*SIN(RADIANS($A579))+P2_b*E579^2*SIN(RADIANS(B579)))/(P2_b*COS(RADIANS(B579)))</f>
        <v>-2.51667538606448</v>
      </c>
      <c r="H579" s="42" t="n">
        <f aca="false">-P2_a*P2_al2*SIN(RADIANS($A579))-P2_a*P2_w2^2*COS(RADIANS($A579))+P2_b*G579*SIN(RADIANS(B579))+P2_b*E579^2*COS(RADIANS(B579))</f>
        <v>-71.413949704269</v>
      </c>
      <c r="I579" s="45" t="n">
        <v>45</v>
      </c>
    </row>
    <row r="580" customFormat="false" ht="15" hidden="false" customHeight="false" outlineLevel="0" collapsed="false">
      <c r="A580" s="41" t="n">
        <v>287</v>
      </c>
      <c r="B580" s="42" t="n">
        <f aca="false">180-DEGREES(ASIN((P2_a*SIN(RADIANS($A580))-P2_c)/P2_b))</f>
        <v>185.857259855277</v>
      </c>
      <c r="C580" s="42" t="n">
        <f aca="false">P2_a*COS(RADIANS($A580))-P2_b*COS(RADIANS(B580))</f>
        <v>141.543866585652</v>
      </c>
      <c r="D580" s="43" t="n">
        <f aca="false">90-DEGREES(ASIN(ABS((P2_a*SIN(RADIANS($A580))-P2_c)/P2_b)))</f>
        <v>84.1427401447229</v>
      </c>
      <c r="E580" s="44" t="n">
        <f aca="false">P2_a*P2_w2*COS(RADIANS($A580))/(P2_b*COS(RADIANS(B580)))</f>
        <v>-0.244823228958937</v>
      </c>
      <c r="F580" s="42" t="n">
        <f aca="false">-P2_a*P2_w2*SIN(RADIANS($A580))+P2_b*E580*SIN(RADIANS(B580))</f>
        <v>108.449131916075</v>
      </c>
      <c r="G580" s="44" t="n">
        <f aca="false">(P2_a*P2_al2*COS(RADIANS($A580))-P2_a*P2_w2^2*SIN(RADIANS($A580))+P2_b*E580^2*SIN(RADIANS(B580)))/(P2_b*COS(RADIANS(B580)))</f>
        <v>-2.50957791565268</v>
      </c>
      <c r="H580" s="42" t="n">
        <f aca="false">-P2_a*P2_al2*SIN(RADIANS($A580))-P2_a*P2_w2^2*COS(RADIANS($A580))+P2_b*G580*SIN(RADIANS(B580))+P2_b*E580^2*COS(RADIANS(B580))</f>
        <v>-75.0606346060754</v>
      </c>
      <c r="I580" s="45" t="n">
        <v>45</v>
      </c>
    </row>
    <row r="581" customFormat="false" ht="15" hidden="false" customHeight="false" outlineLevel="0" collapsed="false">
      <c r="A581" s="41" t="n">
        <v>287.5</v>
      </c>
      <c r="B581" s="42" t="n">
        <f aca="false">180-DEGREES(ASIN((P2_a*SIN(RADIANS($A581))-P2_c)/P2_b))</f>
        <v>185.81774082358</v>
      </c>
      <c r="C581" s="42" t="n">
        <f aca="false">P2_a*COS(RADIANS($A581))-P2_b*COS(RADIANS(B581))</f>
        <v>141.844819887564</v>
      </c>
      <c r="D581" s="43" t="n">
        <f aca="false">90-DEGREES(ASIN(ABS((P2_a*SIN(RADIANS($A581))-P2_c)/P2_b)))</f>
        <v>84.1822591764201</v>
      </c>
      <c r="E581" s="44" t="n">
        <f aca="false">P2_a*P2_w2*COS(RADIANS($A581))/(P2_b*COS(RADIANS(B581)))</f>
        <v>-0.251784192329401</v>
      </c>
      <c r="F581" s="42" t="n">
        <f aca="false">-P2_a*P2_w2*SIN(RADIANS($A581))+P2_b*E581*SIN(RADIANS(B581))</f>
        <v>108.235551791451</v>
      </c>
      <c r="G581" s="44" t="n">
        <f aca="false">(P2_a*P2_al2*COS(RADIANS($A581))-P2_a*P2_w2^2*SIN(RADIANS($A581))+P2_b*E581^2*SIN(RADIANS(B581)))/(P2_b*COS(RADIANS(B581)))</f>
        <v>-2.50228288322569</v>
      </c>
      <c r="H581" s="42" t="n">
        <f aca="false">-P2_a*P2_al2*SIN(RADIANS($A581))-P2_a*P2_w2^2*COS(RADIANS($A581))+P2_b*G581*SIN(RADIANS(B581))+P2_b*E581^2*COS(RADIANS(B581))</f>
        <v>-78.7189520128233</v>
      </c>
      <c r="I581" s="45" t="n">
        <v>45</v>
      </c>
    </row>
    <row r="582" customFormat="false" ht="15" hidden="false" customHeight="false" outlineLevel="0" collapsed="false">
      <c r="A582" s="41" t="n">
        <v>288</v>
      </c>
      <c r="B582" s="42" t="n">
        <f aca="false">180-DEGREES(ASIN((P2_a*SIN(RADIANS($A582))-P2_c)/P2_b))</f>
        <v>185.777115547201</v>
      </c>
      <c r="C582" s="42" t="n">
        <f aca="false">P2_a*COS(RADIANS($A582))-P2_b*COS(RADIANS(B582))</f>
        <v>142.145165783</v>
      </c>
      <c r="D582" s="43" t="n">
        <f aca="false">90-DEGREES(ASIN(ABS((P2_a*SIN(RADIANS($A582))-P2_c)/P2_b)))</f>
        <v>84.2228844527993</v>
      </c>
      <c r="E582" s="44" t="n">
        <f aca="false">P2_a*P2_w2*COS(RADIANS($A582))/(P2_b*COS(RADIANS(B582)))</f>
        <v>-0.258724618714409</v>
      </c>
      <c r="F582" s="42" t="n">
        <f aca="false">-P2_a*P2_w2*SIN(RADIANS($A582))+P2_b*E582*SIN(RADIANS(B582))</f>
        <v>108.011794101067</v>
      </c>
      <c r="G582" s="44" t="n">
        <f aca="false">(P2_a*P2_al2*COS(RADIANS($A582))-P2_a*P2_w2^2*SIN(RADIANS($A582))+P2_b*E582^2*SIN(RADIANS(B582)))/(P2_b*COS(RADIANS(B582)))</f>
        <v>-2.49479148822341</v>
      </c>
      <c r="H582" s="42" t="n">
        <f aca="false">-P2_a*P2_al2*SIN(RADIANS($A582))-P2_a*P2_w2^2*COS(RADIANS($A582))+P2_b*G582*SIN(RADIANS(B582))+P2_b*E582^2*COS(RADIANS(B582))</f>
        <v>-82.3883973497361</v>
      </c>
      <c r="I582" s="45" t="n">
        <v>45</v>
      </c>
    </row>
    <row r="583" customFormat="false" ht="15" hidden="false" customHeight="false" outlineLevel="0" collapsed="false">
      <c r="A583" s="41" t="n">
        <v>288.5</v>
      </c>
      <c r="B583" s="42" t="n">
        <f aca="false">180-DEGREES(ASIN((P2_a*SIN(RADIANS($A583))-P2_c)/P2_b))</f>
        <v>185.735387338018</v>
      </c>
      <c r="C583" s="42" t="n">
        <f aca="false">P2_a*COS(RADIANS($A583))-P2_b*COS(RADIANS(B583))</f>
        <v>142.444875958666</v>
      </c>
      <c r="D583" s="43" t="n">
        <f aca="false">90-DEGREES(ASIN(ABS((P2_a*SIN(RADIANS($A583))-P2_c)/P2_b)))</f>
        <v>84.2646126619819</v>
      </c>
      <c r="E583" s="44" t="n">
        <f aca="false">P2_a*P2_w2*COS(RADIANS($A583))/(P2_b*COS(RADIANS(B583)))</f>
        <v>-0.265643964358483</v>
      </c>
      <c r="F583" s="42" t="n">
        <f aca="false">-P2_a*P2_w2*SIN(RADIANS($A583))+P2_b*E583*SIN(RADIANS(B583))</f>
        <v>107.777828641809</v>
      </c>
      <c r="G583" s="44" t="n">
        <f aca="false">(P2_a*P2_al2*COS(RADIANS($A583))-P2_a*P2_w2^2*SIN(RADIANS($A583))+P2_b*E583^2*SIN(RADIANS(B583)))/(P2_b*COS(RADIANS(B583)))</f>
        <v>-2.487104956135</v>
      </c>
      <c r="H583" s="42" t="n">
        <f aca="false">-P2_a*P2_al2*SIN(RADIANS($A583))-P2_a*P2_w2^2*COS(RADIANS($A583))+P2_b*G583*SIN(RADIANS(B583))+P2_b*E583^2*COS(RADIANS(B583))</f>
        <v>-86.0684600048295</v>
      </c>
      <c r="I583" s="45" t="n">
        <v>45</v>
      </c>
    </row>
    <row r="584" customFormat="false" ht="15" hidden="false" customHeight="false" outlineLevel="0" collapsed="false">
      <c r="A584" s="41" t="n">
        <v>289</v>
      </c>
      <c r="B584" s="42" t="n">
        <f aca="false">180-DEGREES(ASIN((P2_a*SIN(RADIANS($A584))-P2_c)/P2_b))</f>
        <v>185.692559594179</v>
      </c>
      <c r="C584" s="42" t="n">
        <f aca="false">P2_a*COS(RADIANS($A584))-P2_b*COS(RADIANS(B584))</f>
        <v>142.74392201935</v>
      </c>
      <c r="D584" s="43" t="n">
        <f aca="false">90-DEGREES(ASIN(ABS((P2_a*SIN(RADIANS($A584))-P2_c)/P2_b)))</f>
        <v>84.3074404058208</v>
      </c>
      <c r="E584" s="44" t="n">
        <f aca="false">P2_a*P2_w2*COS(RADIANS($A584))/(P2_b*COS(RADIANS(B584)))</f>
        <v>-0.272541688945669</v>
      </c>
      <c r="F584" s="42" t="n">
        <f aca="false">-P2_a*P2_w2*SIN(RADIANS($A584))+P2_b*E584*SIN(RADIANS(B584))</f>
        <v>107.533626637146</v>
      </c>
      <c r="G584" s="44" t="n">
        <f aca="false">(P2_a*P2_al2*COS(RADIANS($A584))-P2_a*P2_w2^2*SIN(RADIANS($A584))+P2_b*E584^2*SIN(RADIANS(B584)))/(P2_b*COS(RADIANS(B584)))</f>
        <v>-2.47922453781943</v>
      </c>
      <c r="H584" s="42" t="n">
        <f aca="false">-P2_a*P2_al2*SIN(RADIANS($A584))-P2_a*P2_w2^2*COS(RADIANS($A584))+P2_b*G584*SIN(RADIANS(B584))+P2_b*E584^2*COS(RADIANS(B584))</f>
        <v>-89.7586234745673</v>
      </c>
      <c r="I584" s="45" t="n">
        <v>45</v>
      </c>
    </row>
    <row r="585" customFormat="false" ht="15" hidden="false" customHeight="false" outlineLevel="0" collapsed="false">
      <c r="A585" s="41" t="n">
        <v>289.5</v>
      </c>
      <c r="B585" s="42" t="n">
        <f aca="false">180-DEGREES(ASIN((P2_a*SIN(RADIANS($A585))-P2_c)/P2_b))</f>
        <v>185.648635799547</v>
      </c>
      <c r="C585" s="42" t="n">
        <f aca="false">P2_a*COS(RADIANS($A585))-P2_b*COS(RADIANS(B585))</f>
        <v>143.042275491902</v>
      </c>
      <c r="D585" s="43" t="n">
        <f aca="false">90-DEGREES(ASIN(ABS((P2_a*SIN(RADIANS($A585))-P2_c)/P2_b)))</f>
        <v>84.3513642004531</v>
      </c>
      <c r="E585" s="44" t="n">
        <f aca="false">P2_a*P2_w2*COS(RADIANS($A585))/(P2_b*COS(RADIANS(B585)))</f>
        <v>-0.279417255669065</v>
      </c>
      <c r="F585" s="42" t="n">
        <f aca="false">-P2_a*P2_w2*SIN(RADIANS($A585))+P2_b*E585*SIN(RADIANS(B585))</f>
        <v>107.27916075329</v>
      </c>
      <c r="G585" s="44" t="n">
        <f aca="false">(P2_a*P2_al2*COS(RADIANS($A585))-P2_a*P2_w2^2*SIN(RADIANS($A585))+P2_b*E585^2*SIN(RADIANS(B585)))/(P2_b*COS(RADIANS(B585)))</f>
        <v>-2.4711515088159</v>
      </c>
      <c r="H585" s="42" t="n">
        <f aca="false">-P2_a*P2_al2*SIN(RADIANS($A585))-P2_a*P2_w2^2*COS(RADIANS($A585))+P2_b*G585*SIN(RADIANS(B585))+P2_b*E585^2*COS(RADIANS(B585))</f>
        <v>-93.4583655116785</v>
      </c>
      <c r="I585" s="45" t="n">
        <v>45</v>
      </c>
    </row>
    <row r="586" customFormat="false" ht="15" hidden="false" customHeight="false" outlineLevel="0" collapsed="false">
      <c r="A586" s="41" t="n">
        <v>290</v>
      </c>
      <c r="B586" s="42" t="n">
        <f aca="false">180-DEGREES(ASIN((P2_a*SIN(RADIANS($A586))-P2_c)/P2_b))</f>
        <v>185.603619523136</v>
      </c>
      <c r="C586" s="42" t="n">
        <f aca="false">P2_a*COS(RADIANS($A586))-P2_b*COS(RADIANS(B586))</f>
        <v>143.339907829272</v>
      </c>
      <c r="D586" s="43" t="n">
        <f aca="false">90-DEGREES(ASIN(ABS((P2_a*SIN(RADIANS($A586))-P2_c)/P2_b)))</f>
        <v>84.3963804768642</v>
      </c>
      <c r="E586" s="44" t="n">
        <f aca="false">P2_a*P2_w2*COS(RADIANS($A586))/(P2_b*COS(RADIANS(B586)))</f>
        <v>-0.286270131298402</v>
      </c>
      <c r="F586" s="42" t="n">
        <f aca="false">-P2_a*P2_w2*SIN(RADIANS($A586))+P2_b*E586*SIN(RADIANS(B586))</f>
        <v>107.014405114944</v>
      </c>
      <c r="G586" s="44" t="n">
        <f aca="false">(P2_a*P2_al2*COS(RADIANS($A586))-P2_a*P2_w2^2*SIN(RADIANS($A586))+P2_b*E586^2*SIN(RADIANS(B586)))/(P2_b*COS(RADIANS(B586)))</f>
        <v>-2.46288716864463</v>
      </c>
      <c r="H586" s="42" t="n">
        <f aca="false">-P2_a*P2_al2*SIN(RADIANS($A586))-P2_a*P2_w2^2*COS(RADIANS($A586))+P2_b*G586*SIN(RADIANS(B586))+P2_b*E586^2*COS(RADIANS(B586))</f>
        <v>-97.1671582750282</v>
      </c>
      <c r="I586" s="45" t="n">
        <v>45</v>
      </c>
    </row>
    <row r="587" customFormat="false" ht="15" hidden="false" customHeight="false" outlineLevel="0" collapsed="false">
      <c r="A587" s="41" t="n">
        <v>290.5</v>
      </c>
      <c r="B587" s="42" t="n">
        <f aca="false">180-DEGREES(ASIN((P2_a*SIN(RADIANS($A587))-P2_c)/P2_b))</f>
        <v>185.557514418538</v>
      </c>
      <c r="C587" s="42" t="n">
        <f aca="false">P2_a*COS(RADIANS($A587))-P2_b*COS(RADIANS(B587))</f>
        <v>143.636790414573</v>
      </c>
      <c r="D587" s="43" t="n">
        <f aca="false">90-DEGREES(ASIN(ABS((P2_a*SIN(RADIANS($A587))-P2_c)/P2_b)))</f>
        <v>84.4424855814625</v>
      </c>
      <c r="E587" s="44" t="n">
        <f aca="false">P2_a*P2_w2*COS(RADIANS($A587))/(P2_b*COS(RADIANS(B587)))</f>
        <v>-0.293099786245677</v>
      </c>
      <c r="F587" s="42" t="n">
        <f aca="false">-P2_a*P2_w2*SIN(RADIANS($A587))+P2_b*E587*SIN(RADIANS(B587))</f>
        <v>106.739335320633</v>
      </c>
      <c r="G587" s="44" t="n">
        <f aca="false">(P2_a*P2_al2*COS(RADIANS($A587))-P2_a*P2_w2^2*SIN(RADIANS($A587))+P2_b*E587^2*SIN(RADIANS(B587)))/(P2_b*COS(RADIANS(B587)))</f>
        <v>-2.45443284009887</v>
      </c>
      <c r="H587" s="42" t="n">
        <f aca="false">-P2_a*P2_al2*SIN(RADIANS($A587))-P2_a*P2_w2^2*COS(RADIANS($A587))+P2_b*G587*SIN(RADIANS(B587))+P2_b*E587^2*COS(RADIANS(B587))</f>
        <v>-100.884468481441</v>
      </c>
      <c r="I587" s="45" t="n">
        <v>45</v>
      </c>
    </row>
    <row r="588" customFormat="false" ht="15" hidden="false" customHeight="false" outlineLevel="0" collapsed="false">
      <c r="A588" s="41" t="n">
        <v>291</v>
      </c>
      <c r="B588" s="42" t="n">
        <f aca="false">180-DEGREES(ASIN((P2_a*SIN(RADIANS($A588))-P2_c)/P2_b))</f>
        <v>185.510324223336</v>
      </c>
      <c r="C588" s="42" t="n">
        <f aca="false">P2_a*COS(RADIANS($A588))-P2_b*COS(RADIANS(B588))</f>
        <v>143.932894565202</v>
      </c>
      <c r="D588" s="43" t="n">
        <f aca="false">90-DEGREES(ASIN(ABS((P2_a*SIN(RADIANS($A588))-P2_c)/P2_b)))</f>
        <v>84.4896757766636</v>
      </c>
      <c r="E588" s="44" t="n">
        <f aca="false">P2_a*P2_w2*COS(RADIANS($A588))/(P2_b*COS(RADIANS(B588)))</f>
        <v>-0.29990569462881</v>
      </c>
      <c r="F588" s="42" t="n">
        <f aca="false">-P2_a*P2_w2*SIN(RADIANS($A588))+P2_b*E588*SIN(RADIANS(B588))</f>
        <v>106.453928457601</v>
      </c>
      <c r="G588" s="44" t="n">
        <f aca="false">(P2_a*P2_al2*COS(RADIANS($A588))-P2_a*P2_w2^2*SIN(RADIANS($A588))+P2_b*E588^2*SIN(RADIANS(B588)))/(P2_b*COS(RADIANS(B588)))</f>
        <v>-2.44578986852851</v>
      </c>
      <c r="H588" s="42" t="n">
        <f aca="false">-P2_a*P2_al2*SIN(RADIANS($A588))-P2_a*P2_w2^2*COS(RADIANS($A588))+P2_b*G588*SIN(RADIANS(B588))+P2_b*E588^2*COS(RADIANS(B588))</f>
        <v>-104.609757559372</v>
      </c>
      <c r="I588" s="45" t="n">
        <v>45</v>
      </c>
    </row>
    <row r="589" customFormat="false" ht="15" hidden="false" customHeight="false" outlineLevel="0" collapsed="false">
      <c r="A589" s="41" t="n">
        <v>291.5</v>
      </c>
      <c r="B589" s="42" t="n">
        <f aca="false">180-DEGREES(ASIN((P2_a*SIN(RADIANS($A589))-P2_c)/P2_b))</f>
        <v>185.462052758515</v>
      </c>
      <c r="C589" s="42" t="n">
        <f aca="false">P2_a*COS(RADIANS($A589))-P2_b*COS(RADIANS(B589))</f>
        <v>144.228191536996</v>
      </c>
      <c r="D589" s="43" t="n">
        <f aca="false">90-DEGREES(ASIN(ABS((P2_a*SIN(RADIANS($A589))-P2_c)/P2_b)))</f>
        <v>84.5379472414855</v>
      </c>
      <c r="E589" s="44" t="n">
        <f aca="false">P2_a*P2_w2*COS(RADIANS($A589))/(P2_b*COS(RADIANS(B589)))</f>
        <v>-0.306687334333293</v>
      </c>
      <c r="F589" s="42" t="n">
        <f aca="false">-P2_a*P2_w2*SIN(RADIANS($A589))+P2_b*E589*SIN(RADIANS(B589))</f>
        <v>106.158163116291</v>
      </c>
      <c r="G589" s="44" t="n">
        <f aca="false">(P2_a*P2_al2*COS(RADIANS($A589))-P2_a*P2_w2^2*SIN(RADIANS($A589))+P2_b*E589^2*SIN(RADIANS(B589)))/(P2_b*COS(RADIANS(B589)))</f>
        <v>-2.43695962111616</v>
      </c>
      <c r="H589" s="42" t="n">
        <f aca="false">-P2_a*P2_al2*SIN(RADIANS($A589))-P2_a*P2_w2^2*COS(RADIANS($A589))+P2_b*G589*SIN(RADIANS(B589))+P2_b*E589^2*COS(RADIANS(B589))</f>
        <v>-108.342481804315</v>
      </c>
      <c r="I589" s="45" t="n">
        <v>45</v>
      </c>
    </row>
    <row r="590" customFormat="false" ht="15" hidden="false" customHeight="false" outlineLevel="0" collapsed="false">
      <c r="A590" s="41" t="n">
        <v>292</v>
      </c>
      <c r="B590" s="42" t="n">
        <f aca="false">180-DEGREES(ASIN((P2_a*SIN(RADIANS($A590))-P2_c)/P2_b))</f>
        <v>185.412703927847</v>
      </c>
      <c r="C590" s="42" t="n">
        <f aca="false">P2_a*COS(RADIANS($A590))-P2_b*COS(RADIANS(B590))</f>
        <v>144.522652528421</v>
      </c>
      <c r="D590" s="43" t="n">
        <f aca="false">90-DEGREES(ASIN(ABS((P2_a*SIN(RADIANS($A590))-P2_c)/P2_b)))</f>
        <v>84.5872960721529</v>
      </c>
      <c r="E590" s="44" t="n">
        <f aca="false">P2_a*P2_w2*COS(RADIANS($A590))/(P2_b*COS(RADIANS(B590)))</f>
        <v>-0.313444187071829</v>
      </c>
      <c r="F590" s="42" t="n">
        <f aca="false">-P2_a*P2_w2*SIN(RADIANS($A590))+P2_b*E590*SIN(RADIANS(B590))</f>
        <v>105.852019404385</v>
      </c>
      <c r="G590" s="44" t="n">
        <f aca="false">(P2_a*P2_al2*COS(RADIANS($A590))-P2_a*P2_w2^2*SIN(RADIANS($A590))+P2_b*E590^2*SIN(RADIANS(B590)))/(P2_b*COS(RADIANS(B590)))</f>
        <v>-2.42794348614621</v>
      </c>
      <c r="H590" s="42" t="n">
        <f aca="false">-P2_a*P2_al2*SIN(RADIANS($A590))-P2_a*P2_w2^2*COS(RADIANS($A590))+P2_b*G590*SIN(RADIANS(B590))+P2_b*E590^2*COS(RADIANS(B590))</f>
        <v>-112.082092535856</v>
      </c>
      <c r="I590" s="45" t="n">
        <v>45</v>
      </c>
    </row>
    <row r="591" customFormat="false" ht="15" hidden="false" customHeight="false" outlineLevel="0" collapsed="false">
      <c r="A591" s="41" t="n">
        <v>292.5</v>
      </c>
      <c r="B591" s="42" t="n">
        <f aca="false">180-DEGREES(ASIN((P2_a*SIN(RADIANS($A591))-P2_c)/P2_b))</f>
        <v>185.362281717289</v>
      </c>
      <c r="C591" s="42" t="n">
        <f aca="false">P2_a*COS(RADIANS($A591))-P2_b*COS(RADIANS(B591))</f>
        <v>144.816248684813</v>
      </c>
      <c r="D591" s="43" t="n">
        <f aca="false">90-DEGREES(ASIN(ABS((P2_a*SIN(RADIANS($A591))-P2_c)/P2_b)))</f>
        <v>84.637718282711</v>
      </c>
      <c r="E591" s="44" t="n">
        <f aca="false">P2_a*P2_w2*COS(RADIANS($A591))/(P2_b*COS(RADIANS(B591)))</f>
        <v>-0.320175738441919</v>
      </c>
      <c r="F591" s="42" t="n">
        <f aca="false">-P2_a*P2_w2*SIN(RADIANS($A591))+P2_b*E591*SIN(RADIANS(B591))</f>
        <v>105.535478960403</v>
      </c>
      <c r="G591" s="44" t="n">
        <f aca="false">(P2_a*P2_al2*COS(RADIANS($A591))-P2_a*P2_w2^2*SIN(RADIANS($A591))+P2_b*E591^2*SIN(RADIANS(B591)))/(P2_b*COS(RADIANS(B591)))</f>
        <v>-2.41874287226763</v>
      </c>
      <c r="H591" s="42" t="n">
        <f aca="false">-P2_a*P2_al2*SIN(RADIANS($A591))-P2_a*P2_w2^2*COS(RADIANS($A591))+P2_b*G591*SIN(RADIANS(B591))+P2_b*E591^2*COS(RADIANS(B591))</f>
        <v>-115.82803625625</v>
      </c>
      <c r="I591" s="45" t="n">
        <v>45</v>
      </c>
    </row>
    <row r="592" customFormat="false" ht="15" hidden="false" customHeight="false" outlineLevel="0" collapsed="false">
      <c r="A592" s="41" t="n">
        <v>293</v>
      </c>
      <c r="B592" s="42" t="n">
        <f aca="false">180-DEGREES(ASIN((P2_a*SIN(RADIANS($A592))-P2_c)/P2_b))</f>
        <v>185.310790194352</v>
      </c>
      <c r="C592" s="42" t="n">
        <f aca="false">P2_a*COS(RADIANS($A592))-P2_b*COS(RADIANS(B592))</f>
        <v>145.108951102644</v>
      </c>
      <c r="D592" s="43" t="n">
        <f aca="false">90-DEGREES(ASIN(ABS((P2_a*SIN(RADIANS($A592))-P2_c)/P2_b)))</f>
        <v>84.689209805648</v>
      </c>
      <c r="E592" s="44" t="n">
        <f aca="false">P2_a*P2_w2*COS(RADIANS($A592))/(P2_b*COS(RADIANS(B592)))</f>
        <v>-0.326881477981402</v>
      </c>
      <c r="F592" s="42" t="n">
        <f aca="false">-P2_a*P2_w2*SIN(RADIANS($A592))+P2_b*E592*SIN(RADIANS(B592))</f>
        <v>105.208524966865</v>
      </c>
      <c r="G592" s="44" t="n">
        <f aca="false">(P2_a*P2_al2*COS(RADIANS($A592))-P2_a*P2_w2^2*SIN(RADIANS($A592))+P2_b*E592^2*SIN(RADIANS(B592)))/(P2_b*COS(RADIANS(B592)))</f>
        <v>-2.40935920775103</v>
      </c>
      <c r="H592" s="42" t="n">
        <f aca="false">-P2_a*P2_al2*SIN(RADIANS($A592))-P2_a*P2_w2^2*COS(RADIANS($A592))+P2_b*G592*SIN(RADIANS(B592))+P2_b*E592^2*COS(RADIANS(B592))</f>
        <v>-119.579754810422</v>
      </c>
      <c r="I592" s="45" t="n">
        <v>45</v>
      </c>
    </row>
    <row r="593" customFormat="false" ht="15" hidden="false" customHeight="false" outlineLevel="0" collapsed="false">
      <c r="A593" s="41" t="n">
        <v>293.5</v>
      </c>
      <c r="B593" s="42" t="n">
        <f aca="false">180-DEGREES(ASIN((P2_a*SIN(RADIANS($A593))-P2_c)/P2_b))</f>
        <v>185.258233507473</v>
      </c>
      <c r="C593" s="42" t="n">
        <f aca="false">P2_a*COS(RADIANS($A593))-P2_b*COS(RADIANS(B593))</f>
        <v>145.40073083383</v>
      </c>
      <c r="D593" s="43" t="n">
        <f aca="false">90-DEGREES(ASIN(ABS((P2_a*SIN(RADIANS($A593))-P2_c)/P2_b)))</f>
        <v>84.7417664925266</v>
      </c>
      <c r="E593" s="44" t="n">
        <f aca="false">P2_a*P2_w2*COS(RADIANS($A593))/(P2_b*COS(RADIANS(B593)))</f>
        <v>-0.333560899221926</v>
      </c>
      <c r="F593" s="42" t="n">
        <f aca="false">-P2_a*P2_w2*SIN(RADIANS($A593))+P2_b*E593*SIN(RADIANS(B593))</f>
        <v>104.871142163005</v>
      </c>
      <c r="G593" s="44" t="n">
        <f aca="false">(P2_a*P2_al2*COS(RADIANS($A593))-P2_a*P2_w2^2*SIN(RADIANS($A593))+P2_b*E593^2*SIN(RADIANS(B593)))/(P2_b*COS(RADIANS(B593)))</f>
        <v>-2.3997939397407</v>
      </c>
      <c r="H593" s="42" t="n">
        <f aca="false">-P2_a*P2_al2*SIN(RADIANS($A593))-P2_a*P2_w2^2*COS(RADIANS($A593))+P2_b*G593*SIN(RADIANS(B593))+P2_b*E593^2*COS(RADIANS(B593))</f>
        <v>-123.336685547301</v>
      </c>
      <c r="I593" s="45" t="n">
        <v>45</v>
      </c>
    </row>
    <row r="594" customFormat="false" ht="15" hidden="false" customHeight="false" outlineLevel="0" collapsed="false">
      <c r="A594" s="41" t="n">
        <v>294</v>
      </c>
      <c r="B594" s="42" t="n">
        <f aca="false">180-DEGREES(ASIN((P2_a*SIN(RADIANS($A594))-P2_c)/P2_b))</f>
        <v>185.204615885376</v>
      </c>
      <c r="C594" s="42" t="n">
        <f aca="false">P2_a*COS(RADIANS($A594))-P2_b*COS(RADIANS(B594))</f>
        <v>145.691558890073</v>
      </c>
      <c r="D594" s="43" t="n">
        <f aca="false">90-DEGREES(ASIN(ABS((P2_a*SIN(RADIANS($A594))-P2_c)/P2_b)))</f>
        <v>84.7953841146239</v>
      </c>
      <c r="E594" s="44" t="n">
        <f aca="false">P2_a*P2_w2*COS(RADIANS($A594))/(P2_b*COS(RADIANS(B594)))</f>
        <v>-0.340213499740325</v>
      </c>
      <c r="F594" s="42" t="n">
        <f aca="false">-P2_a*P2_w2*SIN(RADIANS($A594))+P2_b*E594*SIN(RADIANS(B594))</f>
        <v>104.523316857031</v>
      </c>
      <c r="G594" s="44" t="n">
        <f aca="false">(P2_a*P2_al2*COS(RADIANS($A594))-P2_a*P2_w2^2*SIN(RADIANS($A594))+P2_b*E594^2*SIN(RADIANS(B594)))/(P2_b*COS(RADIANS(B594)))</f>
        <v>-2.39004853350234</v>
      </c>
      <c r="H594" s="42" t="n">
        <f aca="false">-P2_a*P2_al2*SIN(RADIANS($A594))-P2_a*P2_w2^2*COS(RADIANS($A594))+P2_b*G594*SIN(RADIANS(B594))+P2_b*E594^2*COS(RADIANS(B594))</f>
        <v>-127.098261482351</v>
      </c>
      <c r="I594" s="45" t="n">
        <v>45</v>
      </c>
    </row>
    <row r="595" customFormat="false" ht="15" hidden="false" customHeight="false" outlineLevel="0" collapsed="false">
      <c r="A595" s="41" t="n">
        <v>294.5</v>
      </c>
      <c r="B595" s="42" t="n">
        <f aca="false">180-DEGREES(ASIN((P2_a*SIN(RADIANS($A595))-P2_c)/P2_b))</f>
        <v>185.149941636421</v>
      </c>
      <c r="C595" s="42" t="n">
        <f aca="false">P2_a*COS(RADIANS($A595))-P2_b*COS(RADIANS(B595))</f>
        <v>145.981406247234</v>
      </c>
      <c r="D595" s="43" t="n">
        <f aca="false">90-DEGREES(ASIN(ABS((P2_a*SIN(RADIANS($A595))-P2_c)/P2_b)))</f>
        <v>84.8500583635792</v>
      </c>
      <c r="E595" s="44" t="n">
        <f aca="false">P2_a*P2_w2*COS(RADIANS($A595))/(P2_b*COS(RADIANS(B595)))</f>
        <v>-0.346838781207911</v>
      </c>
      <c r="F595" s="42" t="n">
        <f aca="false">-P2_a*P2_w2*SIN(RADIANS($A595))+P2_b*E595*SIN(RADIANS(B595))</f>
        <v>104.165036937939</v>
      </c>
      <c r="G595" s="44" t="n">
        <f aca="false">(P2_a*P2_al2*COS(RADIANS($A595))-P2_a*P2_w2^2*SIN(RADIANS($A595))+P2_b*E595^2*SIN(RADIANS(B595)))/(P2_b*COS(RADIANS(B595)))</f>
        <v>-2.38012447166697</v>
      </c>
      <c r="H595" s="42" t="n">
        <f aca="false">-P2_a*P2_al2*SIN(RADIANS($A595))-P2_a*P2_w2^2*COS(RADIANS($A595))+P2_b*G595*SIN(RADIANS(B595))+P2_b*E595^2*COS(RADIANS(B595))</f>
        <v>-130.863911461227</v>
      </c>
      <c r="I595" s="45" t="n">
        <v>45</v>
      </c>
    </row>
    <row r="596" customFormat="false" ht="15" hidden="false" customHeight="false" outlineLevel="0" collapsed="false">
      <c r="A596" s="41" t="n">
        <v>295</v>
      </c>
      <c r="B596" s="42" t="n">
        <f aca="false">180-DEGREES(ASIN((P2_a*SIN(RADIANS($A596))-P2_c)/P2_b))</f>
        <v>185.094215147951</v>
      </c>
      <c r="C596" s="42" t="n">
        <f aca="false">P2_a*COS(RADIANS($A596))-P2_b*COS(RADIANS(B596))</f>
        <v>146.270243849742</v>
      </c>
      <c r="D596" s="43" t="n">
        <f aca="false">90-DEGREES(ASIN(ABS((P2_a*SIN(RADIANS($A596))-P2_c)/P2_b)))</f>
        <v>84.9057848520489</v>
      </c>
      <c r="E596" s="44" t="n">
        <f aca="false">P2_a*P2_w2*COS(RADIANS($A596))/(P2_b*COS(RADIANS(B596)))</f>
        <v>-0.353436249437653</v>
      </c>
      <c r="F596" s="42" t="n">
        <f aca="false">-P2_a*P2_w2*SIN(RADIANS($A596))+P2_b*E596*SIN(RADIANS(B596))</f>
        <v>103.796291886865</v>
      </c>
      <c r="G596" s="44" t="n">
        <f aca="false">(P2_a*P2_al2*COS(RADIANS($A596))-P2_a*P2_w2^2*SIN(RADIANS($A596))+P2_b*E596^2*SIN(RADIANS(B596)))/(P2_b*COS(RADIANS(B596)))</f>
        <v>-2.37002325347177</v>
      </c>
      <c r="H596" s="42" t="n">
        <f aca="false">-P2_a*P2_al2*SIN(RADIANS($A596))-P2_a*P2_w2^2*COS(RADIANS($A596))+P2_b*G596*SIN(RADIANS(B596))+P2_b*E596^2*COS(RADIANS(B596))</f>
        <v>-134.633060324429</v>
      </c>
      <c r="I596" s="45" t="n">
        <v>45</v>
      </c>
    </row>
    <row r="597" customFormat="false" ht="15" hidden="false" customHeight="false" outlineLevel="0" collapsed="false">
      <c r="A597" s="41" t="n">
        <v>295.5</v>
      </c>
      <c r="B597" s="42" t="n">
        <f aca="false">180-DEGREES(ASIN((P2_a*SIN(RADIANS($A597))-P2_c)/P2_b))</f>
        <v>185.03744088563</v>
      </c>
      <c r="C597" s="42" t="n">
        <f aca="false">P2_a*COS(RADIANS($A597))-P2_b*COS(RADIANS(B597))</f>
        <v>146.55804261503</v>
      </c>
      <c r="D597" s="43" t="n">
        <f aca="false">90-DEGREES(ASIN(ABS((P2_a*SIN(RADIANS($A597))-P2_c)/P2_b)))</f>
        <v>84.96255911437</v>
      </c>
      <c r="E597" s="44" t="n">
        <f aca="false">P2_a*P2_w2*COS(RADIANS($A597))/(P2_b*COS(RADIANS(B597)))</f>
        <v>-0.360005414429253</v>
      </c>
      <c r="F597" s="42" t="n">
        <f aca="false">-P2_a*P2_w2*SIN(RADIANS($A597))+P2_b*E597*SIN(RADIANS(B597))</f>
        <v>103.417072787981</v>
      </c>
      <c r="G597" s="44" t="n">
        <f aca="false">(P2_a*P2_al2*COS(RADIANS($A597))-P2_a*P2_w2^2*SIN(RADIANS($A597))+P2_b*E597^2*SIN(RADIANS(B597)))/(P2_b*COS(RADIANS(B597)))</f>
        <v>-2.3597463939985</v>
      </c>
      <c r="H597" s="42" t="n">
        <f aca="false">-P2_a*P2_al2*SIN(RADIANS($A597))-P2_a*P2_w2^2*COS(RADIANS($A597))+P2_b*G597*SIN(RADIANS(B597))+P2_b*E597^2*COS(RADIANS(B597))</f>
        <v>-138.405129072858</v>
      </c>
      <c r="I597" s="45" t="n">
        <v>45</v>
      </c>
    </row>
    <row r="598" customFormat="false" ht="15" hidden="false" customHeight="false" outlineLevel="0" collapsed="false">
      <c r="A598" s="41" t="n">
        <v>296</v>
      </c>
      <c r="B598" s="42" t="n">
        <f aca="false">180-DEGREES(ASIN((P2_a*SIN(RADIANS($A598))-P2_c)/P2_b))</f>
        <v>184.979623392771</v>
      </c>
      <c r="C598" s="42" t="n">
        <f aca="false">P2_a*COS(RADIANS($A598))-P2_b*COS(RADIANS(B598))</f>
        <v>146.844773438004</v>
      </c>
      <c r="D598" s="43" t="n">
        <f aca="false">90-DEGREES(ASIN(ABS((P2_a*SIN(RADIANS($A598))-P2_c)/P2_b)))</f>
        <v>85.0203766072295</v>
      </c>
      <c r="E598" s="44" t="n">
        <f aca="false">P2_a*P2_w2*COS(RADIANS($A598))/(P2_b*COS(RADIANS(B598)))</f>
        <v>-0.366545790412096</v>
      </c>
      <c r="F598" s="42" t="n">
        <f aca="false">-P2_a*P2_w2*SIN(RADIANS($A598))+P2_b*E598*SIN(RADIANS(B598))</f>
        <v>103.027372338932</v>
      </c>
      <c r="G598" s="44" t="n">
        <f aca="false">(P2_a*P2_al2*COS(RADIANS($A598))-P2_a*P2_w2^2*SIN(RADIANS($A598))+P2_b*E598^2*SIN(RADIANS(B598)))/(P2_b*COS(RADIANS(B598)))</f>
        <v>-2.34929542341001</v>
      </c>
      <c r="H598" s="42" t="n">
        <f aca="false">-P2_a*P2_al2*SIN(RADIANS($A598))-P2_a*P2_w2^2*COS(RADIANS($A598))+P2_b*G598*SIN(RADIANS(B598))+P2_b*E598^2*COS(RADIANS(B598))</f>
        <v>-142.179535034175</v>
      </c>
      <c r="I598" s="45" t="n">
        <v>45</v>
      </c>
    </row>
    <row r="599" customFormat="false" ht="15" hidden="false" customHeight="false" outlineLevel="0" collapsed="false">
      <c r="A599" s="41" t="n">
        <v>296.5</v>
      </c>
      <c r="B599" s="42" t="n">
        <f aca="false">180-DEGREES(ASIN((P2_a*SIN(RADIANS($A599))-P2_c)/P2_b))</f>
        <v>184.920767289659</v>
      </c>
      <c r="C599" s="42" t="n">
        <f aca="false">P2_a*COS(RADIANS($A599))-P2_b*COS(RADIANS(B599))</f>
        <v>147.130407195539</v>
      </c>
      <c r="D599" s="43" t="n">
        <f aca="false">90-DEGREES(ASIN(ABS((P2_a*SIN(RADIANS($A599))-P2_c)/P2_b)))</f>
        <v>85.0792327103409</v>
      </c>
      <c r="E599" s="44" t="n">
        <f aca="false">P2_a*P2_w2*COS(RADIANS($A599))/(P2_b*COS(RADIANS(B599)))</f>
        <v>-0.373056895886079</v>
      </c>
      <c r="F599" s="42" t="n">
        <f aca="false">-P2_a*P2_w2*SIN(RADIANS($A599))+P2_b*E599*SIN(RADIANS(B599))</f>
        <v>102.627184860805</v>
      </c>
      <c r="G599" s="44" t="n">
        <f aca="false">(P2_a*P2_al2*COS(RADIANS($A599))-P2_a*P2_w2^2*SIN(RADIANS($A599))+P2_b*E599^2*SIN(RADIANS(B599)))/(P2_b*COS(RADIANS(B599)))</f>
        <v>-2.33867188618562</v>
      </c>
      <c r="H599" s="42" t="n">
        <f aca="false">-P2_a*P2_al2*SIN(RADIANS($A599))-P2_a*P2_w2^2*COS(RADIANS($A599))+P2_b*G599*SIN(RADIANS(B599))+P2_b*E599^2*COS(RADIANS(B599))</f>
        <v>-145.95569202985</v>
      </c>
      <c r="I599" s="45" t="n">
        <v>45</v>
      </c>
    </row>
    <row r="600" customFormat="false" ht="15" hidden="false" customHeight="false" outlineLevel="0" collapsed="false">
      <c r="A600" s="41" t="n">
        <v>297</v>
      </c>
      <c r="B600" s="42" t="n">
        <f aca="false">180-DEGREES(ASIN((P2_a*SIN(RADIANS($A600))-P2_c)/P2_b))</f>
        <v>184.860877272873</v>
      </c>
      <c r="C600" s="42" t="n">
        <f aca="false">P2_a*COS(RADIANS($A600))-P2_b*COS(RADIANS(B600))</f>
        <v>147.414914751</v>
      </c>
      <c r="D600" s="43" t="n">
        <f aca="false">90-DEGREES(ASIN(ABS((P2_a*SIN(RADIANS($A600))-P2_c)/P2_b)))</f>
        <v>85.1391227271269</v>
      </c>
      <c r="E600" s="44" t="n">
        <f aca="false">P2_a*P2_w2*COS(RADIANS($A600))/(P2_b*COS(RADIANS(B600)))</f>
        <v>-0.37953825366032</v>
      </c>
      <c r="F600" s="42" t="n">
        <f aca="false">-P2_a*P2_w2*SIN(RADIANS($A600))+P2_b*E600*SIN(RADIANS(B600))</f>
        <v>102.216506307634</v>
      </c>
      <c r="G600" s="44" t="n">
        <f aca="false">(P2_a*P2_al2*COS(RADIANS($A600))-P2_a*P2_w2^2*SIN(RADIANS($A600))+P2_b*E600^2*SIN(RADIANS(B600)))/(P2_b*COS(RADIANS(B600)))</f>
        <v>-2.3278773403559</v>
      </c>
      <c r="H600" s="42" t="n">
        <f aca="false">-P2_a*P2_al2*SIN(RADIANS($A600))-P2_a*P2_w2^2*COS(RADIANS($A600))+P2_b*G600*SIN(RADIANS(B600))+P2_b*E600^2*COS(RADIANS(B600))</f>
        <v>-149.733010542815</v>
      </c>
      <c r="I600" s="45" t="n">
        <v>45</v>
      </c>
    </row>
    <row r="601" customFormat="false" ht="15" hidden="false" customHeight="false" outlineLevel="0" collapsed="false">
      <c r="A601" s="41" t="n">
        <v>297.5</v>
      </c>
      <c r="B601" s="42" t="n">
        <f aca="false">180-DEGREES(ASIN((P2_a*SIN(RADIANS($A601))-P2_c)/P2_b))</f>
        <v>184.799958114592</v>
      </c>
      <c r="C601" s="42" t="n">
        <f aca="false">P2_a*COS(RADIANS($A601))-P2_b*COS(RADIANS(B601))</f>
        <v>147.698266958791</v>
      </c>
      <c r="D601" s="43" t="n">
        <f aca="false">90-DEGREES(ASIN(ABS((P2_a*SIN(RADIANS($A601))-P2_c)/P2_b)))</f>
        <v>85.2000418854084</v>
      </c>
      <c r="E601" s="44" t="n">
        <f aca="false">P2_a*P2_w2*COS(RADIANS($A601))/(P2_b*COS(RADIANS(B601)))</f>
        <v>-0.385989390889733</v>
      </c>
      <c r="F601" s="42" t="n">
        <f aca="false">-P2_a*P2_w2*SIN(RADIANS($A601))+P2_b*E601*SIN(RADIANS(B601))</f>
        <v>101.795334275447</v>
      </c>
      <c r="G601" s="44" t="n">
        <f aca="false">(P2_a*P2_al2*COS(RADIANS($A601))-P2_a*P2_w2^2*SIN(RADIANS($A601))+P2_b*E601^2*SIN(RADIANS(B601)))/(P2_b*COS(RADIANS(B601)))</f>
        <v>-2.31691335673742</v>
      </c>
      <c r="H601" s="42" t="n">
        <f aca="false">-P2_a*P2_al2*SIN(RADIANS($A601))-P2_a*P2_w2^2*COS(RADIANS($A601))+P2_b*G601*SIN(RADIANS(B601))+P2_b*E601^2*COS(RADIANS(B601))</f>
        <v>-153.510897885599</v>
      </c>
      <c r="I601" s="45" t="n">
        <v>45</v>
      </c>
    </row>
    <row r="602" customFormat="false" ht="15" hidden="false" customHeight="false" outlineLevel="0" collapsed="false">
      <c r="A602" s="41" t="n">
        <v>298</v>
      </c>
      <c r="B602" s="42" t="n">
        <f aca="false">180-DEGREES(ASIN((P2_a*SIN(RADIANS($A602))-P2_c)/P2_b))</f>
        <v>184.738014661901</v>
      </c>
      <c r="C602" s="42" t="n">
        <f aca="false">P2_a*COS(RADIANS($A602))-P2_b*COS(RADIANS(B602))</f>
        <v>147.98043466893</v>
      </c>
      <c r="D602" s="43" t="n">
        <f aca="false">90-DEGREES(ASIN(ABS((P2_a*SIN(RADIANS($A602))-P2_c)/P2_b)))</f>
        <v>85.2619853380988</v>
      </c>
      <c r="E602" s="44" t="n">
        <f aca="false">P2_a*P2_w2*COS(RADIANS($A602))/(P2_b*COS(RADIANS(B602)))</f>
        <v>-0.392409839109485</v>
      </c>
      <c r="F602" s="42" t="n">
        <f aca="false">-P2_a*P2_w2*SIN(RADIANS($A602))+P2_b*E602*SIN(RADIANS(B602))</f>
        <v>101.36366801083</v>
      </c>
      <c r="G602" s="44" t="n">
        <f aca="false">(P2_a*P2_al2*COS(RADIANS($A602))-P2_a*P2_w2^2*SIN(RADIANS($A602))+P2_b*E602^2*SIN(RADIANS(B602)))/(P2_b*COS(RADIANS(B602)))</f>
        <v>-2.30578151816822</v>
      </c>
      <c r="H602" s="42" t="n">
        <f aca="false">-P2_a*P2_al2*SIN(RADIANS($A602))-P2_a*P2_w2^2*COS(RADIANS($A602))+P2_b*G602*SIN(RADIANS(B602))+P2_b*E602^2*COS(RADIANS(B602))</f>
        <v>-157.28875836887</v>
      </c>
      <c r="I602" s="45" t="n">
        <v>45</v>
      </c>
    </row>
    <row r="603" customFormat="false" ht="15" hidden="false" customHeight="false" outlineLevel="0" collapsed="false">
      <c r="A603" s="41" t="n">
        <v>298.5</v>
      </c>
      <c r="B603" s="42" t="n">
        <f aca="false">180-DEGREES(ASIN((P2_a*SIN(RADIANS($A603))-P2_c)/P2_b))</f>
        <v>184.675051836096</v>
      </c>
      <c r="C603" s="42" t="n">
        <f aca="false">P2_a*COS(RADIANS($A603))-P2_b*COS(RADIANS(B603))</f>
        <v>148.261388731645</v>
      </c>
      <c r="D603" s="43" t="n">
        <f aca="false">90-DEGREES(ASIN(ABS((P2_a*SIN(RADIANS($A603))-P2_c)/P2_b)))</f>
        <v>85.3249481639036</v>
      </c>
      <c r="E603" s="44" t="n">
        <f aca="false">P2_a*P2_w2*COS(RADIANS($A603))/(P2_b*COS(RADIANS(B603)))</f>
        <v>-0.39879913426733</v>
      </c>
      <c r="F603" s="42" t="n">
        <f aca="false">-P2_a*P2_w2*SIN(RADIANS($A603))+P2_b*E603*SIN(RADIANS(B603))</f>
        <v>100.921508419039</v>
      </c>
      <c r="G603" s="44" t="n">
        <f aca="false">(P2_a*P2_al2*COS(RADIANS($A603))-P2_a*P2_w2^2*SIN(RADIANS($A603))+P2_b*E603^2*SIN(RADIANS(B603)))/(P2_b*COS(RADIANS(B603)))</f>
        <v>-2.29448341874444</v>
      </c>
      <c r="H603" s="42" t="n">
        <f aca="false">-P2_a*P2_al2*SIN(RADIANS($A603))-P2_a*P2_w2^2*COS(RADIANS($A603))+P2_b*G603*SIN(RADIANS(B603))+P2_b*E603^2*COS(RADIANS(B603))</f>
        <v>-161.06599347027</v>
      </c>
      <c r="I603" s="45" t="n">
        <v>45</v>
      </c>
    </row>
    <row r="604" customFormat="false" ht="15" hidden="false" customHeight="false" outlineLevel="0" collapsed="false">
      <c r="A604" s="41" t="n">
        <v>299</v>
      </c>
      <c r="B604" s="42" t="n">
        <f aca="false">180-DEGREES(ASIN((P2_a*SIN(RADIANS($A604))-P2_c)/P2_b))</f>
        <v>184.611074631975</v>
      </c>
      <c r="C604" s="42" t="n">
        <f aca="false">P2_a*COS(RADIANS($A604))-P2_b*COS(RADIANS(B604))</f>
        <v>148.541100001989</v>
      </c>
      <c r="D604" s="43" t="n">
        <f aca="false">90-DEGREES(ASIN(ABS((P2_a*SIN(RADIANS($A604))-P2_c)/P2_b)))</f>
        <v>85.3889253680254</v>
      </c>
      <c r="E604" s="44" t="n">
        <f aca="false">P2_a*P2_w2*COS(RADIANS($A604))/(P2_b*COS(RADIANS(B604)))</f>
        <v>-0.40515681675382</v>
      </c>
      <c r="F604" s="42" t="n">
        <f aca="false">-P2_a*P2_w2*SIN(RADIANS($A604))+P2_b*E604*SIN(RADIANS(B604))</f>
        <v>100.468858071629</v>
      </c>
      <c r="G604" s="44" t="n">
        <f aca="false">(P2_a*P2_al2*COS(RADIANS($A604))-P2_a*P2_w2^2*SIN(RADIANS($A604))+P2_b*E604^2*SIN(RADIANS(B604)))/(P2_b*COS(RADIANS(B604)))</f>
        <v>-2.28302066305884</v>
      </c>
      <c r="H604" s="42" t="n">
        <f aca="false">-P2_a*P2_al2*SIN(RADIANS($A604))-P2_a*P2_w2^2*COS(RADIANS($A604))+P2_b*G604*SIN(RADIANS(B604))+P2_b*E604^2*COS(RADIANS(B604))</f>
        <v>-164.842002003443</v>
      </c>
      <c r="I604" s="45" t="n">
        <v>45</v>
      </c>
    </row>
    <row r="605" customFormat="false" ht="15" hidden="false" customHeight="false" outlineLevel="0" collapsed="false">
      <c r="A605" s="41" t="n">
        <v>299.5</v>
      </c>
      <c r="B605" s="42" t="n">
        <f aca="false">180-DEGREES(ASIN((P2_a*SIN(RADIANS($A605))-P2_c)/P2_b))</f>
        <v>184.546088117127</v>
      </c>
      <c r="C605" s="42" t="n">
        <f aca="false">P2_a*COS(RADIANS($A605))-P2_b*COS(RADIANS(B605))</f>
        <v>148.819539344481</v>
      </c>
      <c r="D605" s="43" t="n">
        <f aca="false">90-DEGREES(ASIN(ABS((P2_a*SIN(RADIANS($A605))-P2_c)/P2_b)))</f>
        <v>85.453911882873</v>
      </c>
      <c r="E605" s="44" t="n">
        <f aca="false">P2_a*P2_w2*COS(RADIANS($A605))/(P2_b*COS(RADIANS(B605)))</f>
        <v>-0.411482431430406</v>
      </c>
      <c r="F605" s="42" t="n">
        <f aca="false">-P2_a*P2_w2*SIN(RADIANS($A605))+P2_b*E605*SIN(RADIANS(B605))</f>
        <v>100.005721213623</v>
      </c>
      <c r="G605" s="44" t="n">
        <f aca="false">(P2_a*P2_al2*COS(RADIANS($A605))-P2_a*P2_w2^2*SIN(RADIANS($A605))+P2_b*E605^2*SIN(RADIANS(B605)))/(P2_b*COS(RADIANS(B605)))</f>
        <v>-2.27139486544167</v>
      </c>
      <c r="H605" s="42" t="n">
        <f aca="false">-P2_a*P2_al2*SIN(RADIANS($A605))-P2_a*P2_w2^2*COS(RADIANS($A605))+P2_b*G605*SIN(RADIANS(B605))+P2_b*E605^2*COS(RADIANS(B605))</f>
        <v>-168.616180287182</v>
      </c>
      <c r="I605" s="45" t="n">
        <v>45</v>
      </c>
    </row>
    <row r="606" customFormat="false" ht="15" hidden="false" customHeight="false" outlineLevel="0" collapsed="false">
      <c r="A606" s="41" t="n">
        <v>300</v>
      </c>
      <c r="B606" s="42" t="n">
        <f aca="false">180-DEGREES(ASIN((P2_a*SIN(RADIANS($A606))-P2_c)/P2_b))</f>
        <v>184.480097431225</v>
      </c>
      <c r="C606" s="42" t="n">
        <f aca="false">P2_a*COS(RADIANS($A606))-P2_b*COS(RADIANS(B606))</f>
        <v>149.096677637766</v>
      </c>
      <c r="D606" s="43" t="n">
        <f aca="false">90-DEGREES(ASIN(ABS((P2_a*SIN(RADIANS($A606))-P2_c)/P2_b)))</f>
        <v>85.5199025687752</v>
      </c>
      <c r="E606" s="44" t="n">
        <f aca="false">P2_a*P2_w2*COS(RADIANS($A606))/(P2_b*COS(RADIANS(B606)))</f>
        <v>-0.417775527655445</v>
      </c>
      <c r="F606" s="42" t="n">
        <f aca="false">-P2_a*P2_w2*SIN(RADIANS($A606))+P2_b*E606*SIN(RADIANS(B606))</f>
        <v>99.5321037702047</v>
      </c>
      <c r="G606" s="44" t="n">
        <f aca="false">(P2_a*P2_al2*COS(RADIANS($A606))-P2_a*P2_w2^2*SIN(RADIANS($A606))+P2_b*E606^2*SIN(RADIANS(B606)))/(P2_b*COS(RADIANS(B606)))</f>
        <v>-2.25960764920451</v>
      </c>
      <c r="H606" s="42" t="n">
        <f aca="false">-P2_a*P2_al2*SIN(RADIANS($A606))-P2_a*P2_w2^2*COS(RADIANS($A606))+P2_b*G606*SIN(RADIANS(B606))+P2_b*E606^2*COS(RADIANS(B606))</f>
        <v>-172.387922314577</v>
      </c>
      <c r="I606" s="45" t="n">
        <v>45</v>
      </c>
    </row>
    <row r="607" customFormat="false" ht="15" hidden="false" customHeight="false" outlineLevel="0" collapsed="false">
      <c r="A607" s="41" t="n">
        <v>300.5</v>
      </c>
      <c r="B607" s="42" t="n">
        <f aca="false">180-DEGREES(ASIN((P2_a*SIN(RADIANS($A607))-P2_c)/P2_b))</f>
        <v>184.413107785302</v>
      </c>
      <c r="C607" s="42" t="n">
        <f aca="false">P2_a*COS(RADIANS($A607))-P2_b*COS(RADIANS(B607))</f>
        <v>149.372485779288</v>
      </c>
      <c r="D607" s="43" t="n">
        <f aca="false">90-DEGREES(ASIN(ABS((P2_a*SIN(RADIANS($A607))-P2_c)/P2_b)))</f>
        <v>85.5868922146985</v>
      </c>
      <c r="E607" s="44" t="n">
        <f aca="false">P2_a*P2_w2*COS(RADIANS($A607))/(P2_b*COS(RADIANS(B607)))</f>
        <v>-0.42403565930809</v>
      </c>
      <c r="F607" s="42" t="n">
        <f aca="false">-P2_a*P2_w2*SIN(RADIANS($A607))+P2_b*E607*SIN(RADIANS(B607))</f>
        <v>99.0480133529439</v>
      </c>
      <c r="G607" s="44" t="n">
        <f aca="false">(P2_a*P2_al2*COS(RADIANS($A607))-P2_a*P2_w2^2*SIN(RADIANS($A607))+P2_b*E607^2*SIN(RADIANS(B607)))/(P2_b*COS(RADIANS(B607)))</f>
        <v>-2.2476606458877</v>
      </c>
      <c r="H607" s="42" t="n">
        <f aca="false">-P2_a*P2_al2*SIN(RADIANS($A607))-P2_a*P2_w2^2*COS(RADIANS($A607))+P2_b*G607*SIN(RADIANS(B607))+P2_b*E607^2*COS(RADIANS(B607))</f>
        <v>-176.156619922082</v>
      </c>
      <c r="I607" s="45" t="n">
        <v>45</v>
      </c>
    </row>
    <row r="608" customFormat="false" ht="15" hidden="false" customHeight="false" outlineLevel="0" collapsed="false">
      <c r="A608" s="41" t="n">
        <v>301</v>
      </c>
      <c r="B608" s="42" t="n">
        <f aca="false">180-DEGREES(ASIN((P2_a*SIN(RADIANS($A608))-P2_c)/P2_b))</f>
        <v>184.345124461032</v>
      </c>
      <c r="C608" s="42" t="n">
        <f aca="false">P2_a*COS(RADIANS($A608))-P2_b*COS(RADIANS(B608))</f>
        <v>149.64693468998</v>
      </c>
      <c r="D608" s="43" t="n">
        <f aca="false">90-DEGREES(ASIN(ABS((P2_a*SIN(RADIANS($A608))-P2_c)/P2_b)))</f>
        <v>85.6548755389681</v>
      </c>
      <c r="E608" s="44" t="n">
        <f aca="false">P2_a*P2_w2*COS(RADIANS($A608))/(P2_b*COS(RADIANS(B608)))</f>
        <v>-0.430262384810114</v>
      </c>
      <c r="F608" s="42" t="n">
        <f aca="false">-P2_a*P2_w2*SIN(RADIANS($A608))+P2_b*E608*SIN(RADIANS(B608))</f>
        <v>98.5534592655548</v>
      </c>
      <c r="G608" s="44" t="n">
        <f aca="false">(P2_a*P2_al2*COS(RADIANS($A608))-P2_a*P2_w2^2*SIN(RADIANS($A608))+P2_b*E608^2*SIN(RADIANS(B608)))/(P2_b*COS(RADIANS(B608)))</f>
        <v>-2.23555549451178</v>
      </c>
      <c r="H608" s="42" t="n">
        <f aca="false">-P2_a*P2_al2*SIN(RADIANS($A608))-P2_a*P2_w2^2*COS(RADIANS($A608))+P2_b*G608*SIN(RADIANS(B608))+P2_b*E608^2*COS(RADIANS(B608))</f>
        <v>-179.921662958417</v>
      </c>
      <c r="I608" s="45" t="n">
        <v>45</v>
      </c>
    </row>
    <row r="609" customFormat="false" ht="15" hidden="false" customHeight="false" outlineLevel="0" collapsed="false">
      <c r="A609" s="41" t="n">
        <v>301.5</v>
      </c>
      <c r="B609" s="42" t="n">
        <f aca="false">180-DEGREES(ASIN((P2_a*SIN(RADIANS($A609))-P2_c)/P2_b))</f>
        <v>184.276152810007</v>
      </c>
      <c r="C609" s="42" t="n">
        <f aca="false">P2_a*COS(RADIANS($A609))-P2_b*COS(RADIANS(B609))</f>
        <v>149.91999531898</v>
      </c>
      <c r="D609" s="43" t="n">
        <f aca="false">90-DEGREES(ASIN(ABS((P2_a*SIN(RADIANS($A609))-P2_c)/P2_b)))</f>
        <v>85.7238471899927</v>
      </c>
      <c r="E609" s="44" t="n">
        <f aca="false">P2_a*P2_w2*COS(RADIANS($A609))/(P2_b*COS(RADIANS(B609)))</f>
        <v>-0.436455267145653</v>
      </c>
      <c r="F609" s="42" t="n">
        <f aca="false">-P2_a*P2_w2*SIN(RADIANS($A609))+P2_b*E609*SIN(RADIANS(B609))</f>
        <v>98.048452509181</v>
      </c>
      <c r="G609" s="44" t="n">
        <f aca="false">(P2_a*P2_al2*COS(RADIANS($A609))-P2_a*P2_w2^2*SIN(RADIANS($A609))+P2_b*E609^2*SIN(RADIANS(B609)))/(P2_b*COS(RADIANS(B609)))</f>
        <v>-2.22329384083362</v>
      </c>
      <c r="H609" s="42" t="n">
        <f aca="false">-P2_a*P2_al2*SIN(RADIANS($A609))-P2_a*P2_w2^2*COS(RADIANS($A609))+P2_b*G609*SIN(RADIANS(B609))+P2_b*E609^2*COS(RADIANS(B609))</f>
        <v>-183.682439453202</v>
      </c>
      <c r="I609" s="45" t="n">
        <v>45</v>
      </c>
    </row>
    <row r="610" customFormat="false" ht="15" hidden="false" customHeight="false" outlineLevel="0" collapsed="false">
      <c r="A610" s="41" t="n">
        <v>302</v>
      </c>
      <c r="B610" s="42" t="n">
        <f aca="false">180-DEGREES(ASIN((P2_a*SIN(RADIANS($A610))-P2_c)/P2_b))</f>
        <v>184.206198253008</v>
      </c>
      <c r="C610" s="42" t="n">
        <f aca="false">P2_a*COS(RADIANS($A610))-P2_b*COS(RADIANS(B610))</f>
        <v>150.191638648344</v>
      </c>
      <c r="D610" s="43" t="n">
        <f aca="false">90-DEGREES(ASIN(ABS((P2_a*SIN(RADIANS($A610))-P2_c)/P2_b)))</f>
        <v>85.7938017469922</v>
      </c>
      <c r="E610" s="44" t="n">
        <f aca="false">P2_a*P2_w2*COS(RADIANS($A610))/(P2_b*COS(RADIANS(B610)))</f>
        <v>-0.44261387387889</v>
      </c>
      <c r="F610" s="42" t="n">
        <f aca="false">-P2_a*P2_w2*SIN(RADIANS($A610))+P2_b*E610*SIN(RADIANS(B610))</f>
        <v>97.533005787216</v>
      </c>
      <c r="G610" s="44" t="n">
        <f aca="false">(P2_a*P2_al2*COS(RADIANS($A610))-P2_a*P2_w2^2*SIN(RADIANS($A610))+P2_b*E610^2*SIN(RADIANS(B610)))/(P2_b*COS(RADIANS(B610)))</f>
        <v>-2.21087733660765</v>
      </c>
      <c r="H610" s="42" t="n">
        <f aca="false">-P2_a*P2_al2*SIN(RADIANS($A610))-P2_a*P2_w2^2*COS(RADIANS($A610))+P2_b*G610*SIN(RADIANS(B610))+P2_b*E610^2*COS(RADIANS(B610))</f>
        <v>-187.438335785248</v>
      </c>
      <c r="I610" s="45" t="n">
        <v>45</v>
      </c>
    </row>
    <row r="611" customFormat="false" ht="15" hidden="false" customHeight="false" outlineLevel="0" collapsed="false">
      <c r="A611" s="41" t="n">
        <v>302.5</v>
      </c>
      <c r="B611" s="42" t="n">
        <f aca="false">180-DEGREES(ASIN((P2_a*SIN(RADIANS($A611))-P2_c)/P2_b))</f>
        <v>184.135266279272</v>
      </c>
      <c r="C611" s="42" t="n">
        <f aca="false">P2_a*COS(RADIANS($A611))-P2_b*COS(RADIANS(B611))</f>
        <v>150.461835697786</v>
      </c>
      <c r="D611" s="43" t="n">
        <f aca="false">90-DEGREES(ASIN(ABS((P2_a*SIN(RADIANS($A611))-P2_c)/P2_b)))</f>
        <v>85.8647337207275</v>
      </c>
      <c r="E611" s="44" t="n">
        <f aca="false">P2_a*P2_w2*COS(RADIANS($A611))/(P2_b*COS(RADIANS(B611)))</f>
        <v>-0.448737777169696</v>
      </c>
      <c r="F611" s="42" t="n">
        <f aca="false">-P2_a*P2_w2*SIN(RADIANS($A611))+P2_b*E611*SIN(RADIANS(B611))</f>
        <v>97.0071335096547</v>
      </c>
      <c r="G611" s="44" t="n">
        <f aca="false">(P2_a*P2_al2*COS(RADIANS($A611))-P2_a*P2_w2^2*SIN(RADIANS($A611))+P2_b*E611^2*SIN(RADIANS(B611)))/(P2_b*COS(RADIANS(B611)))</f>
        <v>-2.19830763885274</v>
      </c>
      <c r="H611" s="42" t="n">
        <f aca="false">-P2_a*P2_al2*SIN(RADIANS($A611))-P2_a*P2_w2^2*COS(RADIANS($A611))+P2_b*G611*SIN(RADIANS(B611))+P2_b*E611^2*COS(RADIANS(B611))</f>
        <v>-191.188736850415</v>
      </c>
      <c r="I611" s="45" t="n">
        <v>45</v>
      </c>
    </row>
    <row r="612" customFormat="false" ht="15" hidden="false" customHeight="false" outlineLevel="0" collapsed="false">
      <c r="A612" s="41" t="n">
        <v>303</v>
      </c>
      <c r="B612" s="42" t="n">
        <f aca="false">180-DEGREES(ASIN((P2_a*SIN(RADIANS($A612))-P2_c)/P2_b))</f>
        <v>184.063362445767</v>
      </c>
      <c r="C612" s="42" t="n">
        <f aca="false">P2_a*COS(RADIANS($A612))-P2_b*COS(RADIANS(B612))</f>
        <v>150.730557529423</v>
      </c>
      <c r="D612" s="43" t="n">
        <f aca="false">90-DEGREES(ASIN(ABS((P2_a*SIN(RADIANS($A612))-P2_c)/P2_b)))</f>
        <v>85.9366375542334</v>
      </c>
      <c r="E612" s="44" t="n">
        <f aca="false">P2_a*P2_w2*COS(RADIANS($A612))/(P2_b*COS(RADIANS(B612)))</f>
        <v>-0.454826553787239</v>
      </c>
      <c r="F612" s="42" t="n">
        <f aca="false">-P2_a*P2_w2*SIN(RADIANS($A612))+P2_b*E612*SIN(RADIANS(B612))</f>
        <v>96.4708517969807</v>
      </c>
      <c r="G612" s="44" t="n">
        <f aca="false">(P2_a*P2_al2*COS(RADIANS($A612))-P2_a*P2_w2^2*SIN(RADIANS($A612))+P2_b*E612^2*SIN(RADIANS(B612)))/(P2_b*COS(RADIANS(B612)))</f>
        <v>-2.18558640912536</v>
      </c>
      <c r="H612" s="42" t="n">
        <f aca="false">-P2_a*P2_al2*SIN(RADIANS($A612))-P2_a*P2_w2^2*COS(RADIANS($A612))+P2_b*G612*SIN(RADIANS(B612))+P2_b*E612^2*COS(RADIANS(B612))</f>
        <v>-194.933026228951</v>
      </c>
      <c r="I612" s="45" t="n">
        <v>45</v>
      </c>
    </row>
    <row r="613" customFormat="false" ht="15" hidden="false" customHeight="false" outlineLevel="0" collapsed="false">
      <c r="A613" s="41" t="n">
        <v>303.5</v>
      </c>
      <c r="B613" s="42" t="n">
        <f aca="false">180-DEGREES(ASIN((P2_a*SIN(RADIANS($A613))-P2_c)/P2_b))</f>
        <v>183.990492376447</v>
      </c>
      <c r="C613" s="42" t="n">
        <f aca="false">P2_a*COS(RADIANS($A613))-P2_b*COS(RADIANS(B613))</f>
        <v>150.99777525253</v>
      </c>
      <c r="D613" s="43" t="n">
        <f aca="false">90-DEGREES(ASIN(ABS((P2_a*SIN(RADIANS($A613))-P2_c)/P2_b)))</f>
        <v>86.0095076235529</v>
      </c>
      <c r="E613" s="44" t="n">
        <f aca="false">P2_a*P2_w2*COS(RADIANS($A613))/(P2_b*COS(RADIANS(B613)))</f>
        <v>-0.460879785121594</v>
      </c>
      <c r="F613" s="42" t="n">
        <f aca="false">-P2_a*P2_w2*SIN(RADIANS($A613))+P2_b*E613*SIN(RADIANS(B613))</f>
        <v>95.9241784835888</v>
      </c>
      <c r="G613" s="44" t="n">
        <f aca="false">(P2_a*P2_al2*COS(RADIANS($A613))-P2_a*P2_w2^2*SIN(RADIANS($A613))+P2_b*E613^2*SIN(RADIANS(B613)))/(P2_b*COS(RADIANS(B613)))</f>
        <v>-2.17271531279923</v>
      </c>
      <c r="H613" s="42" t="n">
        <f aca="false">-P2_a*P2_al2*SIN(RADIANS($A613))-P2_a*P2_w2^2*COS(RADIANS($A613))+P2_b*G613*SIN(RADIANS(B613))+P2_b*E613^2*COS(RADIANS(B613))</f>
        <v>-198.670586352235</v>
      </c>
      <c r="I613" s="45" t="n">
        <v>45</v>
      </c>
    </row>
    <row r="614" customFormat="false" ht="15" hidden="false" customHeight="false" outlineLevel="0" collapsed="false">
      <c r="A614" s="41" t="n">
        <v>304</v>
      </c>
      <c r="B614" s="42" t="n">
        <f aca="false">180-DEGREES(ASIN((P2_a*SIN(RADIANS($A614))-P2_c)/P2_b))</f>
        <v>183.916661761526</v>
      </c>
      <c r="C614" s="42" t="n">
        <f aca="false">P2_a*COS(RADIANS($A614))-P2_b*COS(RADIANS(B614))</f>
        <v>151.263460028307</v>
      </c>
      <c r="D614" s="43" t="n">
        <f aca="false">90-DEGREES(ASIN(ABS((P2_a*SIN(RADIANS($A614))-P2_c)/P2_b)))</f>
        <v>86.0833382384735</v>
      </c>
      <c r="E614" s="44" t="n">
        <f aca="false">P2_a*P2_w2*COS(RADIANS($A614))/(P2_b*COS(RADIANS(B614)))</f>
        <v>-0.466897057193345</v>
      </c>
      <c r="F614" s="42" t="n">
        <f aca="false">-P2_a*P2_w2*SIN(RADIANS($A614))+P2_b*E614*SIN(RADIANS(B614))</f>
        <v>95.3671331207455</v>
      </c>
      <c r="G614" s="44" t="n">
        <f aca="false">(P2_a*P2_al2*COS(RADIANS($A614))-P2_a*P2_w2^2*SIN(RADIANS($A614))+P2_b*E614^2*SIN(RADIANS(B614)))/(P2_b*COS(RADIANS(B614)))</f>
        <v>-2.15969601835225</v>
      </c>
      <c r="H614" s="42" t="n">
        <f aca="false">-P2_a*P2_al2*SIN(RADIANS($A614))-P2_a*P2_w2^2*COS(RADIANS($A614))+P2_b*G614*SIN(RADIANS(B614))+P2_b*E614^2*COS(RADIANS(B614))</f>
        <v>-202.400798668846</v>
      </c>
      <c r="I614" s="45" t="n">
        <v>45</v>
      </c>
    </row>
    <row r="615" customFormat="false" ht="15" hidden="false" customHeight="false" outlineLevel="0" collapsed="false">
      <c r="A615" s="41" t="n">
        <v>304.5</v>
      </c>
      <c r="B615" s="42" t="n">
        <f aca="false">180-DEGREES(ASIN((P2_a*SIN(RADIANS($A615))-P2_c)/P2_b))</f>
        <v>183.841876356735</v>
      </c>
      <c r="C615" s="42" t="n">
        <f aca="false">P2_a*COS(RADIANS($A615))-P2_b*COS(RADIANS(B615))</f>
        <v>151.527583074649</v>
      </c>
      <c r="D615" s="43" t="n">
        <f aca="false">90-DEGREES(ASIN(ABS((P2_a*SIN(RADIANS($A615))-P2_c)/P2_b)))</f>
        <v>86.1581236432651</v>
      </c>
      <c r="E615" s="44" t="n">
        <f aca="false">P2_a*P2_w2*COS(RADIANS($A615))/(P2_b*COS(RADIANS(B615)))</f>
        <v>-0.472877960661235</v>
      </c>
      <c r="F615" s="42" t="n">
        <f aca="false">-P2_a*P2_w2*SIN(RADIANS($A615))+P2_b*E615*SIN(RADIANS(B615))</f>
        <v>94.7997369790894</v>
      </c>
      <c r="G615" s="44" t="n">
        <f aca="false">(P2_a*P2_al2*COS(RADIANS($A615))-P2_a*P2_w2^2*SIN(RADIANS($A615))+P2_b*E615^2*SIN(RADIANS(B615)))/(P2_b*COS(RADIANS(B615)))</f>
        <v>-2.14653019666095</v>
      </c>
      <c r="H615" s="42" t="n">
        <f aca="false">-P2_a*P2_al2*SIN(RADIANS($A615))-P2_a*P2_w2^2*COS(RADIANS($A615))+P2_b*G615*SIN(RADIANS(B615))+P2_b*E615^2*COS(RADIANS(B615))</f>
        <v>-206.123043809877</v>
      </c>
      <c r="I615" s="45" t="n">
        <v>45</v>
      </c>
    </row>
    <row r="616" customFormat="false" ht="15" hidden="false" customHeight="false" outlineLevel="0" collapsed="false">
      <c r="A616" s="41" t="n">
        <v>305</v>
      </c>
      <c r="B616" s="42" t="n">
        <f aca="false">180-DEGREES(ASIN((P2_a*SIN(RADIANS($A616))-P2_c)/P2_b))</f>
        <v>183.766141982582</v>
      </c>
      <c r="C616" s="42" t="n">
        <f aca="false">P2_a*COS(RADIANS($A616))-P2_b*COS(RADIANS(B616))</f>
        <v>151.790115670928</v>
      </c>
      <c r="D616" s="43" t="n">
        <f aca="false">90-DEGREES(ASIN(ABS((P2_a*SIN(RADIANS($A616))-P2_c)/P2_b)))</f>
        <v>86.233858017418</v>
      </c>
      <c r="E616" s="44" t="n">
        <f aca="false">P2_a*P2_w2*COS(RADIANS($A616))/(P2_b*COS(RADIANS(B616)))</f>
        <v>-0.47882209082785</v>
      </c>
      <c r="F616" s="42" t="n">
        <f aca="false">-P2_a*P2_w2*SIN(RADIANS($A616))+P2_b*E616*SIN(RADIANS(B616))</f>
        <v>94.2220130506732</v>
      </c>
      <c r="G616" s="44" t="n">
        <f aca="false">(P2_a*P2_al2*COS(RADIANS($A616))-P2_a*P2_w2^2*SIN(RADIANS($A616))+P2_b*E616^2*SIN(RADIANS(B616)))/(P2_b*COS(RADIANS(B616)))</f>
        <v>-2.13321952030302</v>
      </c>
      <c r="H616" s="42" t="n">
        <f aca="false">-P2_a*P2_al2*SIN(RADIANS($A616))-P2_a*P2_w2^2*COS(RADIANS($A616))+P2_b*G616*SIN(RADIANS(B616))+P2_b*E616^2*COS(RADIANS(B616))</f>
        <v>-209.836701753421</v>
      </c>
      <c r="I616" s="45" t="n">
        <v>45</v>
      </c>
    </row>
    <row r="617" customFormat="false" ht="15" hidden="false" customHeight="false" outlineLevel="0" collapsed="false">
      <c r="A617" s="41" t="n">
        <v>305.5</v>
      </c>
      <c r="B617" s="42" t="n">
        <f aca="false">180-DEGREES(ASIN((P2_a*SIN(RADIANS($A617))-P2_c)/P2_b))</f>
        <v>183.689464523617</v>
      </c>
      <c r="C617" s="42" t="n">
        <f aca="false">P2_a*COS(RADIANS($A617))-P2_b*COS(RADIANS(B617))</f>
        <v>152.051029162774</v>
      </c>
      <c r="D617" s="43" t="n">
        <f aca="false">90-DEGREES(ASIN(ABS((P2_a*SIN(RADIANS($A617))-P2_c)/P2_b)))</f>
        <v>86.310535476383</v>
      </c>
      <c r="E617" s="44" t="n">
        <f aca="false">P2_a*P2_w2*COS(RADIANS($A617))/(P2_b*COS(RADIANS(B617)))</f>
        <v>-0.484729047643392</v>
      </c>
      <c r="F617" s="42" t="n">
        <f aca="false">-P2_a*P2_w2*SIN(RADIANS($A617))+P2_b*E617*SIN(RADIANS(B617))</f>
        <v>93.63398605055</v>
      </c>
      <c r="G617" s="44" t="n">
        <f aca="false">(P2_a*P2_al2*COS(RADIANS($A617))-P2_a*P2_w2^2*SIN(RADIANS($A617))+P2_b*E617^2*SIN(RADIANS(B617)))/(P2_b*COS(RADIANS(B617)))</f>
        <v>-2.11976566286831</v>
      </c>
      <c r="H617" s="42" t="n">
        <f aca="false">-P2_a*P2_al2*SIN(RADIANS($A617))-P2_a*P2_w2^2*COS(RADIANS($A617))+P2_b*G617*SIN(RADIANS(B617))+P2_b*E617^2*COS(RADIANS(B617))</f>
        <v>-213.541151988151</v>
      </c>
      <c r="I617" s="45" t="n">
        <v>45</v>
      </c>
    </row>
    <row r="618" customFormat="false" ht="15" hidden="false" customHeight="false" outlineLevel="0" collapsed="false">
      <c r="A618" s="41" t="n">
        <v>306</v>
      </c>
      <c r="B618" s="42" t="n">
        <f aca="false">180-DEGREES(ASIN((P2_a*SIN(RADIANS($A618))-P2_c)/P2_b))</f>
        <v>183.611849927689</v>
      </c>
      <c r="C618" s="42" t="n">
        <f aca="false">P2_a*COS(RADIANS($A618))-P2_b*COS(RADIANS(B618))</f>
        <v>152.310294966866</v>
      </c>
      <c r="D618" s="43" t="n">
        <f aca="false">90-DEGREES(ASIN(ABS((P2_a*SIN(RADIANS($A618))-P2_c)/P2_b)))</f>
        <v>86.3881500723109</v>
      </c>
      <c r="E618" s="44" t="n">
        <f aca="false">P2_a*P2_w2*COS(RADIANS($A618))/(P2_b*COS(RADIANS(B618)))</f>
        <v>-0.490598435707541</v>
      </c>
      <c r="F618" s="42" t="n">
        <f aca="false">-P2_a*P2_w2*SIN(RADIANS($A618))+P2_b*E618*SIN(RADIANS(B618))</f>
        <v>93.035682417907</v>
      </c>
      <c r="G618" s="44" t="n">
        <f aca="false">(P2_a*P2_al2*COS(RADIANS($A618))-P2_a*P2_w2^2*SIN(RADIANS($A618))+P2_b*E618^2*SIN(RADIANS(B618)))/(P2_b*COS(RADIANS(B618)))</f>
        <v>-2.10617029827879</v>
      </c>
      <c r="H618" s="42" t="n">
        <f aca="false">-P2_a*P2_al2*SIN(RADIANS($A618))-P2_a*P2_w2^2*COS(RADIANS($A618))+P2_b*G618*SIN(RADIANS(B618))+P2_b*E618^2*COS(RADIANS(B618))</f>
        <v>-217.235773675943</v>
      </c>
      <c r="I618" s="45" t="n">
        <v>45</v>
      </c>
    </row>
    <row r="619" customFormat="false" ht="15" hidden="false" customHeight="false" outlineLevel="0" collapsed="false">
      <c r="A619" s="41" t="n">
        <v>306.5</v>
      </c>
      <c r="B619" s="42" t="n">
        <f aca="false">180-DEGREES(ASIN((P2_a*SIN(RADIANS($A619))-P2_c)/P2_b))</f>
        <v>183.533304205207</v>
      </c>
      <c r="C619" s="42" t="n">
        <f aca="false">P2_a*COS(RADIANS($A619))-P2_b*COS(RADIANS(B619))</f>
        <v>152.56788457572</v>
      </c>
      <c r="D619" s="43" t="n">
        <f aca="false">90-DEGREES(ASIN(ABS((P2_a*SIN(RADIANS($A619))-P2_c)/P2_b)))</f>
        <v>86.4666957947927</v>
      </c>
      <c r="E619" s="44" t="n">
        <f aca="false">P2_a*P2_w2*COS(RADIANS($A619))/(P2_b*COS(RADIANS(B619)))</f>
        <v>-0.496429864269443</v>
      </c>
      <c r="F619" s="42" t="n">
        <f aca="false">-P2_a*P2_w2*SIN(RADIANS($A619))+P2_b*E619*SIN(RADIANS(B619))</f>
        <v>92.4271303167486</v>
      </c>
      <c r="G619" s="44" t="n">
        <f aca="false">(P2_a*P2_al2*COS(RADIANS($A619))-P2_a*P2_w2^2*SIN(RADIANS($A619))+P2_b*E619^2*SIN(RADIANS(B619)))/(P2_b*COS(RADIANS(B619)))</f>
        <v>-2.09243510011774</v>
      </c>
      <c r="H619" s="42" t="n">
        <f aca="false">-P2_a*P2_al2*SIN(RADIANS($A619))-P2_a*P2_w2^2*COS(RADIANS($A619))+P2_b*G619*SIN(RADIANS(B619))+P2_b*E619^2*COS(RADIANS(B619))</f>
        <v>-220.919945813442</v>
      </c>
      <c r="I619" s="45" t="n">
        <v>45</v>
      </c>
    </row>
    <row r="620" customFormat="false" ht="15" hidden="false" customHeight="false" outlineLevel="0" collapsed="false">
      <c r="A620" s="41" t="n">
        <v>307</v>
      </c>
      <c r="B620" s="42" t="n">
        <f aca="false">180-DEGREES(ASIN((P2_a*SIN(RADIANS($A620))-P2_c)/P2_b))</f>
        <v>183.453833428401</v>
      </c>
      <c r="C620" s="42" t="n">
        <f aca="false">P2_a*COS(RADIANS($A620))-P2_b*COS(RADIANS(B620))</f>
        <v>152.823769562481</v>
      </c>
      <c r="D620" s="43" t="n">
        <f aca="false">90-DEGREES(ASIN(ABS((P2_a*SIN(RADIANS($A620))-P2_c)/P2_b)))</f>
        <v>86.546166571599</v>
      </c>
      <c r="E620" s="44" t="n">
        <f aca="false">P2_a*P2_w2*COS(RADIANS($A620))/(P2_b*COS(RADIANS(B620)))</f>
        <v>-0.50222294722585</v>
      </c>
      <c r="F620" s="42" t="n">
        <f aca="false">-P2_a*P2_w2*SIN(RADIANS($A620))+P2_b*E620*SIN(RADIANS(B620))</f>
        <v>91.8083596361319</v>
      </c>
      <c r="G620" s="44" t="n">
        <f aca="false">(P2_a*P2_al2*COS(RADIANS($A620))-P2_a*P2_w2^2*SIN(RADIANS($A620))+P2_b*E620^2*SIN(RADIANS(B620)))/(P2_b*COS(RADIANS(B620)))</f>
        <v>-2.07856174096873</v>
      </c>
      <c r="H620" s="42" t="n">
        <f aca="false">-P2_a*P2_al2*SIN(RADIANS($A620))-P2_a*P2_w2^2*COS(RADIANS($A620))+P2_b*G620*SIN(RADIANS(B620))+P2_b*E620^2*COS(RADIANS(B620))</f>
        <v>-224.593047392536</v>
      </c>
      <c r="I620" s="45" t="n">
        <v>45</v>
      </c>
    </row>
    <row r="621" customFormat="false" ht="15" hidden="false" customHeight="false" outlineLevel="0" collapsed="false">
      <c r="A621" s="41" t="n">
        <v>307.5</v>
      </c>
      <c r="B621" s="42" t="n">
        <f aca="false">180-DEGREES(ASIN((P2_a*SIN(RADIANS($A621))-P2_c)/P2_b))</f>
        <v>183.37344373058</v>
      </c>
      <c r="C621" s="42" t="n">
        <f aca="false">P2_a*COS(RADIANS($A621))-P2_b*COS(RADIANS(B621))</f>
        <v>153.077921585714</v>
      </c>
      <c r="D621" s="43" t="n">
        <f aca="false">90-DEGREES(ASIN(ABS((P2_a*SIN(RADIANS($A621))-P2_c)/P2_b)))</f>
        <v>86.6265562694202</v>
      </c>
      <c r="E621" s="44" t="n">
        <f aca="false">P2_a*P2_w2*COS(RADIANS($A621))/(P2_b*COS(RADIANS(B621)))</f>
        <v>-0.507977303117437</v>
      </c>
      <c r="F621" s="42" t="n">
        <f aca="false">-P2_a*P2_w2*SIN(RADIANS($A621))+P2_b*E621*SIN(RADIANS(B621))</f>
        <v>91.1794019899589</v>
      </c>
      <c r="G621" s="44" t="n">
        <f aca="false">(P2_a*P2_al2*COS(RADIANS($A621))-P2_a*P2_w2^2*SIN(RADIANS($A621))+P2_b*E621^2*SIN(RADIANS(B621)))/(P2_b*COS(RADIANS(B621)))</f>
        <v>-2.0645518917647</v>
      </c>
      <c r="H621" s="42" t="n">
        <f aca="false">-P2_a*P2_al2*SIN(RADIANS($A621))-P2_a*P2_w2^2*COS(RADIANS($A621))+P2_b*G621*SIN(RADIANS(B621))+P2_b*E621^2*COS(RADIANS(B621))</f>
        <v>-228.254457559656</v>
      </c>
      <c r="I621" s="45" t="n">
        <v>45</v>
      </c>
    </row>
    <row r="622" customFormat="false" ht="15" hidden="false" customHeight="false" outlineLevel="0" collapsed="false">
      <c r="A622" s="41" t="n">
        <v>308</v>
      </c>
      <c r="B622" s="42" t="n">
        <f aca="false">180-DEGREES(ASIN((P2_a*SIN(RADIANS($A622))-P2_c)/P2_b))</f>
        <v>183.292141305396</v>
      </c>
      <c r="C622" s="42" t="n">
        <f aca="false">P2_a*COS(RADIANS($A622))-P2_b*COS(RADIANS(B622))</f>
        <v>153.330312394198</v>
      </c>
      <c r="D622" s="43" t="n">
        <f aca="false">90-DEGREES(ASIN(ABS((P2_a*SIN(RADIANS($A622))-P2_c)/P2_b)))</f>
        <v>86.7078586946045</v>
      </c>
      <c r="E622" s="44" t="n">
        <f aca="false">P2_a*P2_w2*COS(RADIANS($A622))/(P2_b*COS(RADIANS(B622)))</f>
        <v>-0.513692555123324</v>
      </c>
      <c r="F622" s="42" t="n">
        <f aca="false">-P2_a*P2_w2*SIN(RADIANS($A622))+P2_b*E622*SIN(RADIANS(B622))</f>
        <v>90.540290716327</v>
      </c>
      <c r="G622" s="44" t="n">
        <f aca="false">(P2_a*P2_al2*COS(RADIANS($A622))-P2_a*P2_w2^2*SIN(RADIANS($A622))+P2_b*E622^2*SIN(RADIANS(B622)))/(P2_b*COS(RADIANS(B622)))</f>
        <v>-2.05040722114742</v>
      </c>
      <c r="H622" s="42" t="n">
        <f aca="false">-P2_a*P2_al2*SIN(RADIANS($A622))-P2_a*P2_w2^2*COS(RADIANS($A622))+P2_b*G622*SIN(RADIANS(B622))+P2_b*E622^2*COS(RADIANS(B622))</f>
        <v>-231.903555773847</v>
      </c>
      <c r="I622" s="45" t="n">
        <v>45</v>
      </c>
    </row>
    <row r="623" customFormat="false" ht="15" hidden="false" customHeight="false" outlineLevel="0" collapsed="false">
      <c r="A623" s="41" t="n">
        <v>308.5</v>
      </c>
      <c r="B623" s="42" t="n">
        <f aca="false">180-DEGREES(ASIN((P2_a*SIN(RADIANS($A623))-P2_c)/P2_b))</f>
        <v>183.209932406104</v>
      </c>
      <c r="C623" s="42" t="n">
        <f aca="false">P2_a*COS(RADIANS($A623))-P2_b*COS(RADIANS(B623))</f>
        <v>153.580913831709</v>
      </c>
      <c r="D623" s="43" t="n">
        <f aca="false">90-DEGREES(ASIN(ABS((P2_a*SIN(RADIANS($A623))-P2_c)/P2_b)))</f>
        <v>86.790067593896</v>
      </c>
      <c r="E623" s="44" t="n">
        <f aca="false">P2_a*P2_w2*COS(RADIANS($A623))/(P2_b*COS(RADIANS(B623)))</f>
        <v>-0.519368331053836</v>
      </c>
      <c r="F623" s="42" t="n">
        <f aca="false">-P2_a*P2_w2*SIN(RADIANS($A623))+P2_b*E623*SIN(RADIANS(B623))</f>
        <v>89.8910608764425</v>
      </c>
      <c r="G623" s="44" t="n">
        <f aca="false">(P2_a*P2_al2*COS(RADIANS($A623))-P2_a*P2_w2^2*SIN(RADIANS($A623))+P2_b*E623^2*SIN(RADIANS(B623)))/(P2_b*COS(RADIANS(B623)))</f>
        <v>-2.03612939483784</v>
      </c>
      <c r="H623" s="42" t="n">
        <f aca="false">-P2_a*P2_al2*SIN(RADIANS($A623))-P2_a*P2_w2^2*COS(RADIANS($A623))+P2_b*G623*SIN(RADIANS(B623))+P2_b*E623^2*COS(RADIANS(B623))</f>
        <v>-235.539721963557</v>
      </c>
      <c r="I623" s="45" t="n">
        <v>45</v>
      </c>
    </row>
    <row r="624" customFormat="false" ht="15" hidden="false" customHeight="false" outlineLevel="0" collapsed="false">
      <c r="A624" s="41" t="n">
        <v>309</v>
      </c>
      <c r="B624" s="42" t="n">
        <f aca="false">180-DEGREES(ASIN((P2_a*SIN(RADIANS($A624))-P2_c)/P2_b))</f>
        <v>183.126823344829</v>
      </c>
      <c r="C624" s="42" t="n">
        <f aca="false">P2_a*COS(RADIANS($A624))-P2_b*COS(RADIANS(B624))</f>
        <v>153.829697841807</v>
      </c>
      <c r="D624" s="43" t="n">
        <f aca="false">90-DEGREES(ASIN(ABS((P2_a*SIN(RADIANS($A624))-P2_c)/P2_b)))</f>
        <v>86.8731766551707</v>
      </c>
      <c r="E624" s="44" t="n">
        <f aca="false">P2_a*P2_w2*COS(RADIANS($A624))/(P2_b*COS(RADIANS(B624)))</f>
        <v>-0.525004263341523</v>
      </c>
      <c r="F624" s="42" t="n">
        <f aca="false">-P2_a*P2_w2*SIN(RADIANS($A624))+P2_b*E624*SIN(RADIANS(B624))</f>
        <v>89.2317492531009</v>
      </c>
      <c r="G624" s="44" t="n">
        <f aca="false">(P2_a*P2_al2*COS(RADIANS($A624))-P2_a*P2_w2^2*SIN(RADIANS($A624))+P2_b*E624^2*SIN(RADIANS(B624)))/(P2_b*COS(RADIANS(B624)))</f>
        <v>-2.02172007501756</v>
      </c>
      <c r="H624" s="42" t="n">
        <f aca="false">-P2_a*P2_al2*SIN(RADIANS($A624))-P2_a*P2_w2^2*COS(RADIANS($A624))+P2_b*G624*SIN(RADIANS(B624))+P2_b*E624^2*COS(RADIANS(B624))</f>
        <v>-239.162336682069</v>
      </c>
      <c r="I624" s="45" t="n">
        <v>45</v>
      </c>
    </row>
    <row r="625" customFormat="false" ht="15" hidden="false" customHeight="false" outlineLevel="0" collapsed="false">
      <c r="A625" s="41" t="n">
        <v>309.5</v>
      </c>
      <c r="B625" s="42" t="n">
        <f aca="false">180-DEGREES(ASIN((P2_a*SIN(RADIANS($A625))-P2_c)/P2_b))</f>
        <v>183.042820491828</v>
      </c>
      <c r="C625" s="42" t="n">
        <f aca="false">P2_a*COS(RADIANS($A625))-P2_b*COS(RADIANS(B625))</f>
        <v>154.076636472617</v>
      </c>
      <c r="D625" s="43" t="n">
        <f aca="false">90-DEGREES(ASIN(ABS((P2_a*SIN(RADIANS($A625))-P2_c)/P2_b)))</f>
        <v>86.9571795081718</v>
      </c>
      <c r="E625" s="44" t="n">
        <f aca="false">P2_a*P2_w2*COS(RADIANS($A625))/(P2_b*COS(RADIANS(B625)))</f>
        <v>-0.530599989030492</v>
      </c>
      <c r="F625" s="42" t="n">
        <f aca="false">-P2_a*P2_w2*SIN(RADIANS($A625))+P2_b*E625*SIN(RADIANS(B625))</f>
        <v>88.5623943487366</v>
      </c>
      <c r="G625" s="44" t="n">
        <f aca="false">(P2_a*P2_al2*COS(RADIANS($A625))-P2_a*P2_w2^2*SIN(RADIANS($A625))+P2_b*E625^2*SIN(RADIANS(B625)))/(P2_b*COS(RADIANS(B625)))</f>
        <v>-2.00718091972177</v>
      </c>
      <c r="H625" s="42" t="n">
        <f aca="false">-P2_a*P2_al2*SIN(RADIANS($A625))-P2_a*P2_w2^2*COS(RADIANS($A625))+P2_b*G625*SIN(RADIANS(B625))+P2_b*E625^2*COS(RADIANS(B625))</f>
        <v>-242.770781261549</v>
      </c>
      <c r="I625" s="45" t="n">
        <v>45</v>
      </c>
    </row>
    <row r="626" customFormat="false" ht="15" hidden="false" customHeight="false" outlineLevel="0" collapsed="false">
      <c r="A626" s="41" t="n">
        <v>310</v>
      </c>
      <c r="B626" s="42" t="n">
        <f aca="false">180-DEGREES(ASIN((P2_a*SIN(RADIANS($A626))-P2_c)/P2_b))</f>
        <v>182.957930274758</v>
      </c>
      <c r="C626" s="42" t="n">
        <f aca="false">P2_a*COS(RADIANS($A626))-P2_b*COS(RADIANS(B626))</f>
        <v>154.321701881598</v>
      </c>
      <c r="D626" s="43" t="n">
        <f aca="false">90-DEGREES(ASIN(ABS((P2_a*SIN(RADIANS($A626))-P2_c)/P2_b)))</f>
        <v>87.0420697252423</v>
      </c>
      <c r="E626" s="44" t="n">
        <f aca="false">P2_a*P2_w2*COS(RADIANS($A626))/(P2_b*COS(RADIANS(B626)))</f>
        <v>-0.536155149764048</v>
      </c>
      <c r="F626" s="42" t="n">
        <f aca="false">-P2_a*P2_w2*SIN(RADIANS($A626))+P2_b*E626*SIN(RADIANS(B626))</f>
        <v>87.8830363830474</v>
      </c>
      <c r="G626" s="44" t="n">
        <f aca="false">(P2_a*P2_al2*COS(RADIANS($A626))-P2_a*P2_w2^2*SIN(RADIANS($A626))+P2_b*E626^2*SIN(RADIANS(B626)))/(P2_b*COS(RADIANS(B626)))</f>
        <v>-1.99251358224395</v>
      </c>
      <c r="H626" s="42" t="n">
        <f aca="false">-P2_a*P2_al2*SIN(RADIANS($A626))-P2_a*P2_w2^2*COS(RADIANS($A626))+P2_b*G626*SIN(RADIANS(B626))+P2_b*E626^2*COS(RADIANS(B626))</f>
        <v>-246.364437965636</v>
      </c>
      <c r="I626" s="45" t="n">
        <v>45</v>
      </c>
    </row>
    <row r="627" customFormat="false" ht="15" hidden="false" customHeight="false" outlineLevel="0" collapsed="false">
      <c r="A627" s="41" t="n">
        <v>310.5</v>
      </c>
      <c r="B627" s="42" t="n">
        <f aca="false">180-DEGREES(ASIN((P2_a*SIN(RADIANS($A627))-P2_c)/P2_b))</f>
        <v>182.872159177944</v>
      </c>
      <c r="C627" s="42" t="n">
        <f aca="false">P2_a*COS(RADIANS($A627))-P2_b*COS(RADIANS(B627))</f>
        <v>154.564866340315</v>
      </c>
      <c r="D627" s="43" t="n">
        <f aca="false">90-DEGREES(ASIN(ABS((P2_a*SIN(RADIANS($A627))-P2_c)/P2_b)))</f>
        <v>87.127840822056</v>
      </c>
      <c r="E627" s="44" t="n">
        <f aca="false">P2_a*P2_w2*COS(RADIANS($A627))/(P2_b*COS(RADIANS(B627)))</f>
        <v>-0.54166939177072</v>
      </c>
      <c r="F627" s="42" t="n">
        <f aca="false">-P2_a*P2_w2*SIN(RADIANS($A627))+P2_b*E627*SIN(RADIANS(B627))</f>
        <v>87.1937172901963</v>
      </c>
      <c r="G627" s="44" t="n">
        <f aca="false">(P2_a*P2_al2*COS(RADIANS($A627))-P2_a*P2_w2^2*SIN(RADIANS($A627))+P2_b*E627^2*SIN(RADIANS(B627)))/(P2_b*COS(RADIANS(B627)))</f>
        <v>-1.97771971055263</v>
      </c>
      <c r="H627" s="42" t="n">
        <f aca="false">-P2_a*P2_al2*SIN(RADIANS($A627))-P2_a*P2_w2^2*COS(RADIANS($A627))+P2_b*G627*SIN(RADIANS(B627))+P2_b*E627^2*COS(RADIANS(B627))</f>
        <v>-249.942690140538</v>
      </c>
      <c r="I627" s="45" t="n">
        <v>45</v>
      </c>
    </row>
    <row r="628" customFormat="false" ht="15" hidden="false" customHeight="false" outlineLevel="0" collapsed="false">
      <c r="A628" s="41" t="n">
        <v>311</v>
      </c>
      <c r="B628" s="42" t="n">
        <f aca="false">180-DEGREES(ASIN((P2_a*SIN(RADIANS($A628))-P2_c)/P2_b))</f>
        <v>182.785513741654</v>
      </c>
      <c r="C628" s="42" t="n">
        <f aca="false">P2_a*COS(RADIANS($A628))-P2_b*COS(RADIANS(B628))</f>
        <v>154.806102239193</v>
      </c>
      <c r="D628" s="43" t="n">
        <f aca="false">90-DEGREES(ASIN(ABS((P2_a*SIN(RADIANS($A628))-P2_c)/P2_b)))</f>
        <v>87.2144862583464</v>
      </c>
      <c r="E628" s="44" t="n">
        <f aca="false">P2_a*P2_w2*COS(RADIANS($A628))/(P2_b*COS(RADIANS(B628)))</f>
        <v>-0.547142365848668</v>
      </c>
      <c r="F628" s="42" t="n">
        <f aca="false">-P2_a*P2_w2*SIN(RADIANS($A628))+P2_b*E628*SIN(RADIANS(B628))</f>
        <v>86.4944807155971</v>
      </c>
      <c r="G628" s="44" t="n">
        <f aca="false">(P2_a*P2_al2*COS(RADIANS($A628))-P2_a*P2_w2^2*SIN(RADIANS($A628))+P2_b*E628^2*SIN(RADIANS(B628)))/(P2_b*COS(RADIANS(B628)))</f>
        <v>-1.96280094672057</v>
      </c>
      <c r="H628" s="42" t="n">
        <f aca="false">-P2_a*P2_al2*SIN(RADIANS($A628))-P2_a*P2_w2^2*COS(RADIANS($A628))+P2_b*G628*SIN(RADIANS(B628))+P2_b*E628^2*COS(RADIANS(B628))</f>
        <v>-253.504922364583</v>
      </c>
      <c r="I628" s="45" t="n">
        <v>45</v>
      </c>
    </row>
    <row r="629" customFormat="false" ht="15" hidden="false" customHeight="false" outlineLevel="0" collapsed="false">
      <c r="A629" s="41" t="n">
        <v>311.5</v>
      </c>
      <c r="B629" s="42" t="n">
        <f aca="false">180-DEGREES(ASIN((P2_a*SIN(RADIANS($A629))-P2_c)/P2_b))</f>
        <v>182.698000561368</v>
      </c>
      <c r="C629" s="42" t="n">
        <f aca="false">P2_a*COS(RADIANS($A629))-P2_b*COS(RADIANS(B629))</f>
        <v>155.045382092267</v>
      </c>
      <c r="D629" s="43" t="n">
        <f aca="false">90-DEGREES(ASIN(ABS((P2_a*SIN(RADIANS($A629))-P2_c)/P2_b)))</f>
        <v>87.3019994386318</v>
      </c>
      <c r="E629" s="44" t="n">
        <f aca="false">P2_a*P2_w2*COS(RADIANS($A629))/(P2_b*COS(RADIANS(B629)))</f>
        <v>-0.55257372734853</v>
      </c>
      <c r="F629" s="42" t="n">
        <f aca="false">-P2_a*P2_w2*SIN(RADIANS($A629))+P2_b*E629*SIN(RADIANS(B629))</f>
        <v>85.785372012285</v>
      </c>
      <c r="G629" s="44" t="n">
        <f aca="false">(P2_a*P2_al2*COS(RADIANS($A629))-P2_a*P2_w2^2*SIN(RADIANS($A629))+P2_b*E629^2*SIN(RADIANS(B629)))/(P2_b*COS(RADIANS(B629)))</f>
        <v>-1.94775892636642</v>
      </c>
      <c r="H629" s="42" t="n">
        <f aca="false">-P2_a*P2_al2*SIN(RADIANS($A629))-P2_a*P2_w2^2*COS(RADIANS($A629))+P2_b*G629*SIN(RADIANS(B629))+P2_b*E629^2*COS(RADIANS(B629))</f>
        <v>-257.050520596181</v>
      </c>
      <c r="I629" s="45" t="n">
        <v>45</v>
      </c>
    </row>
    <row r="630" customFormat="false" ht="15" hidden="false" customHeight="false" outlineLevel="0" collapsed="false">
      <c r="A630" s="41" t="n">
        <v>312</v>
      </c>
      <c r="B630" s="42" t="n">
        <f aca="false">180-DEGREES(ASIN((P2_a*SIN(RADIANS($A630))-P2_c)/P2_b))</f>
        <v>182.609626287061</v>
      </c>
      <c r="C630" s="42" t="n">
        <f aca="false">P2_a*COS(RADIANS($A630))-P2_b*COS(RADIANS(B630))</f>
        <v>155.28267854192</v>
      </c>
      <c r="D630" s="43" t="n">
        <f aca="false">90-DEGREES(ASIN(ABS((P2_a*SIN(RADIANS($A630))-P2_c)/P2_b)))</f>
        <v>87.3903737129393</v>
      </c>
      <c r="E630" s="44" t="n">
        <f aca="false">P2_a*P2_w2*COS(RADIANS($A630))/(P2_b*COS(RADIANS(B630)))</f>
        <v>-0.55796313615473</v>
      </c>
      <c r="F630" s="42" t="n">
        <f aca="false">-P2_a*P2_w2*SIN(RADIANS($A630))+P2_b*E630*SIN(RADIANS(B630))</f>
        <v>85.0664382368806</v>
      </c>
      <c r="G630" s="44" t="n">
        <f aca="false">(P2_a*P2_al2*COS(RADIANS($A630))-P2_a*P2_w2^2*SIN(RADIANS($A630))+P2_b*E630^2*SIN(RADIANS(B630)))/(P2_b*COS(RADIANS(B630)))</f>
        <v>-1.93259527810937</v>
      </c>
      <c r="H630" s="42" t="n">
        <f aca="false">-P2_a*P2_al2*SIN(RADIANS($A630))-P2_a*P2_w2^2*COS(RADIANS($A630))+P2_b*G630*SIN(RADIANS(B630))+P2_b*E630^2*COS(RADIANS(B630))</f>
        <v>-260.578872320153</v>
      </c>
      <c r="I630" s="45" t="n">
        <v>45</v>
      </c>
    </row>
    <row r="631" customFormat="false" ht="15" hidden="false" customHeight="false" outlineLevel="0" collapsed="false">
      <c r="A631" s="41" t="n">
        <v>312.5</v>
      </c>
      <c r="B631" s="42" t="n">
        <f aca="false">180-DEGREES(ASIN((P2_a*SIN(RADIANS($A631))-P2_c)/P2_b))</f>
        <v>182.520397622476</v>
      </c>
      <c r="C631" s="42" t="n">
        <f aca="false">P2_a*COS(RADIANS($A631))-P2_b*COS(RADIANS(B631))</f>
        <v>155.517964363608</v>
      </c>
      <c r="D631" s="43" t="n">
        <f aca="false">90-DEGREES(ASIN(ABS((P2_a*SIN(RADIANS($A631))-P2_c)/P2_b)))</f>
        <v>87.4796023775243</v>
      </c>
      <c r="E631" s="44" t="n">
        <f aca="false">P2_a*P2_w2*COS(RADIANS($A631))/(P2_b*COS(RADIANS(B631)))</f>
        <v>-0.563310256665297</v>
      </c>
      <c r="F631" s="42" t="n">
        <f aca="false">-P2_a*P2_w2*SIN(RADIANS($A631))+P2_b*E631*SIN(RADIANS(B631))</f>
        <v>84.3377281451474</v>
      </c>
      <c r="G631" s="44" t="n">
        <f aca="false">(P2_a*P2_al2*COS(RADIANS($A631))-P2_a*P2_w2^2*SIN(RADIANS($A631))+P2_b*E631^2*SIN(RADIANS(B631)))/(P2_b*COS(RADIANS(B631)))</f>
        <v>-1.91731162303677</v>
      </c>
      <c r="H631" s="42" t="n">
        <f aca="false">-P2_a*P2_al2*SIN(RADIANS($A631))-P2_a*P2_w2^2*COS(RADIANS($A631))+P2_b*G631*SIN(RADIANS(B631))+P2_b*E631^2*COS(RADIANS(B631))</f>
        <v>-264.0893666924</v>
      </c>
      <c r="I631" s="45" t="n">
        <v>45</v>
      </c>
    </row>
    <row r="632" customFormat="false" ht="15" hidden="false" customHeight="false" outlineLevel="0" collapsed="false">
      <c r="A632" s="41" t="n">
        <v>313</v>
      </c>
      <c r="B632" s="42" t="n">
        <f aca="false">180-DEGREES(ASIN((P2_a*SIN(RADIANS($A632))-P2_c)/P2_b))</f>
        <v>182.430321324413</v>
      </c>
      <c r="C632" s="42" t="n">
        <f aca="false">P2_a*COS(RADIANS($A632))-P2_b*COS(RADIANS(B632))</f>
        <v>155.751212470575</v>
      </c>
      <c r="D632" s="43" t="n">
        <f aca="false">90-DEGREES(ASIN(ABS((P2_a*SIN(RADIANS($A632))-P2_c)/P2_b)))</f>
        <v>87.569678675587</v>
      </c>
      <c r="E632" s="44" t="n">
        <f aca="false">P2_a*P2_w2*COS(RADIANS($A632))/(P2_b*COS(RADIANS(B632)))</f>
        <v>-0.568614757770218</v>
      </c>
      <c r="F632" s="42" t="n">
        <f aca="false">-P2_a*P2_w2*SIN(RADIANS($A632))+P2_b*E632*SIN(RADIANS(B632))</f>
        <v>83.5992921871515</v>
      </c>
      <c r="G632" s="44" t="n">
        <f aca="false">(P2_a*P2_al2*COS(RADIANS($A632))-P2_a*P2_w2^2*SIN(RADIANS($A632))+P2_b*E632^2*SIN(RADIANS(B632)))/(P2_b*COS(RADIANS(B632)))</f>
        <v>-1.9019095741851</v>
      </c>
      <c r="H632" s="42" t="n">
        <f aca="false">-P2_a*P2_al2*SIN(RADIANS($A632))-P2_a*P2_w2^2*COS(RADIANS($A632))+P2_b*G632*SIN(RADIANS(B632))+P2_b*E632^2*COS(RADIANS(B632))</f>
        <v>-267.581394682858</v>
      </c>
      <c r="I632" s="45" t="n">
        <v>45</v>
      </c>
    </row>
    <row r="633" customFormat="false" ht="15" hidden="false" customHeight="false" outlineLevel="0" collapsed="false">
      <c r="A633" s="41" t="n">
        <v>313.5</v>
      </c>
      <c r="B633" s="42" t="n">
        <f aca="false">180-DEGREES(ASIN((P2_a*SIN(RADIANS($A633))-P2_c)/P2_b))</f>
        <v>182.339404202014</v>
      </c>
      <c r="C633" s="42" t="n">
        <f aca="false">P2_a*COS(RADIANS($A633))-P2_b*COS(RADIANS(B633))</f>
        <v>155.982395918552</v>
      </c>
      <c r="D633" s="43" t="n">
        <f aca="false">90-DEGREES(ASIN(ABS((P2_a*SIN(RADIANS($A633))-P2_c)/P2_b)))</f>
        <v>87.6605957979861</v>
      </c>
      <c r="E633" s="44" t="n">
        <f aca="false">P2_a*P2_w2*COS(RADIANS($A633))/(P2_b*COS(RADIANS(B633)))</f>
        <v>-0.573876312828365</v>
      </c>
      <c r="F633" s="42" t="n">
        <f aca="false">-P2_a*P2_w2*SIN(RADIANS($A633))+P2_b*E633*SIN(RADIANS(B633))</f>
        <v>82.8511825020263</v>
      </c>
      <c r="G633" s="44" t="n">
        <f aca="false">(P2_a*P2_al2*COS(RADIANS($A633))-P2_a*P2_w2^2*SIN(RADIANS($A633))+P2_b*E633^2*SIN(RADIANS(B633)))/(P2_b*COS(RADIANS(B633)))</f>
        <v>-1.88639073603451</v>
      </c>
      <c r="H633" s="42" t="n">
        <f aca="false">-P2_a*P2_al2*SIN(RADIANS($A633))-P2_a*P2_w2^2*COS(RADIANS($A633))+P2_b*G633*SIN(RADIANS(B633))+P2_b*E633^2*COS(RADIANS(B633))</f>
        <v>-271.054349216715</v>
      </c>
      <c r="I633" s="45" t="n">
        <v>45</v>
      </c>
    </row>
    <row r="634" customFormat="false" ht="15" hidden="false" customHeight="false" outlineLevel="0" collapsed="false">
      <c r="A634" s="41" t="n">
        <v>314</v>
      </c>
      <c r="B634" s="42" t="n">
        <f aca="false">180-DEGREES(ASIN((P2_a*SIN(RADIANS($A634))-P2_c)/P2_b))</f>
        <v>182.247653116052</v>
      </c>
      <c r="C634" s="42" t="n">
        <f aca="false">P2_a*COS(RADIANS($A634))-P2_b*COS(RADIANS(B634))</f>
        <v>156.211487910438</v>
      </c>
      <c r="D634" s="43" t="n">
        <f aca="false">90-DEGREES(ASIN(ABS((P2_a*SIN(RADIANS($A634))-P2_c)/P2_b)))</f>
        <v>87.7523468839476</v>
      </c>
      <c r="E634" s="44" t="n">
        <f aca="false">P2_a*P2_w2*COS(RADIANS($A634))/(P2_b*COS(RADIANS(B634)))</f>
        <v>-0.579094599643049</v>
      </c>
      <c r="F634" s="42" t="n">
        <f aca="false">-P2_a*P2_w2*SIN(RADIANS($A634))+P2_b*E634*SIN(RADIANS(B634))</f>
        <v>82.0934529123467</v>
      </c>
      <c r="G634" s="44" t="n">
        <f aca="false">(P2_a*P2_al2*COS(RADIANS($A634))-P2_a*P2_w2^2*SIN(RADIANS($A634))+P2_b*E634^2*SIN(RADIANS(B634)))/(P2_b*COS(RADIANS(B634)))</f>
        <v>-1.87075670401697</v>
      </c>
      <c r="H634" s="42" t="n">
        <f aca="false">-P2_a*P2_al2*SIN(RADIANS($A634))-P2_a*P2_w2^2*COS(RADIANS($A634))+P2_b*G634*SIN(RADIANS(B634))+P2_b*E634^2*COS(RADIANS(B634))</f>
        <v>-274.507625313863</v>
      </c>
      <c r="I634" s="45" t="n">
        <v>45</v>
      </c>
    </row>
    <row r="635" customFormat="false" ht="15" hidden="false" customHeight="false" outlineLevel="0" collapsed="false">
      <c r="A635" s="41" t="n">
        <v>314.5</v>
      </c>
      <c r="B635" s="42" t="n">
        <f aca="false">180-DEGREES(ASIN((P2_a*SIN(RADIANS($A635))-P2_c)/P2_b))</f>
        <v>182.15507497823</v>
      </c>
      <c r="C635" s="42" t="n">
        <f aca="false">P2_a*COS(RADIANS($A635))-P2_b*COS(RADIANS(B635))</f>
        <v>156.438461800972</v>
      </c>
      <c r="D635" s="43" t="n">
        <f aca="false">90-DEGREES(ASIN(ABS((P2_a*SIN(RADIANS($A635))-P2_c)/P2_b)))</f>
        <v>87.8449250217701</v>
      </c>
      <c r="E635" s="44" t="n">
        <f aca="false">P2_a*P2_w2*COS(RADIANS($A635))/(P2_b*COS(RADIANS(B635)))</f>
        <v>-0.584269300436211</v>
      </c>
      <c r="F635" s="42" t="n">
        <f aca="false">-P2_a*P2_w2*SIN(RADIANS($A635))+P2_b*E635*SIN(RADIANS(B635))</f>
        <v>81.3261589181192</v>
      </c>
      <c r="G635" s="44" t="n">
        <f aca="false">(P2_a*P2_al2*COS(RADIANS($A635))-P2_a*P2_w2^2*SIN(RADIANS($A635))+P2_b*E635^2*SIN(RADIANS(B635)))/(P2_b*COS(RADIANS(B635)))</f>
        <v>-1.85500906403833</v>
      </c>
      <c r="H635" s="42" t="n">
        <f aca="false">-P2_a*P2_al2*SIN(RADIANS($A635))-P2_a*P2_w2^2*COS(RADIANS($A635))+P2_b*G635*SIN(RADIANS(B635))+P2_b*E635^2*COS(RADIANS(B635))</f>
        <v>-277.940620226537</v>
      </c>
      <c r="I635" s="45" t="n">
        <v>45</v>
      </c>
    </row>
    <row r="636" customFormat="false" ht="15" hidden="false" customHeight="false" outlineLevel="0" collapsed="false">
      <c r="A636" s="41" t="n">
        <v>315</v>
      </c>
      <c r="B636" s="42" t="n">
        <f aca="false">180-DEGREES(ASIN((P2_a*SIN(RADIANS($A636))-P2_c)/P2_b))</f>
        <v>182.061676750474</v>
      </c>
      <c r="C636" s="42" t="n">
        <f aca="false">P2_a*COS(RADIANS($A636))-P2_b*COS(RADIANS(B636))</f>
        <v>156.663291101382</v>
      </c>
      <c r="D636" s="43" t="n">
        <f aca="false">90-DEGREES(ASIN(ABS((P2_a*SIN(RADIANS($A636))-P2_c)/P2_b)))</f>
        <v>87.9383232495265</v>
      </c>
      <c r="E636" s="44" t="n">
        <f aca="false">P2_a*P2_w2*COS(RADIANS($A636))/(P2_b*COS(RADIANS(B636)))</f>
        <v>-0.58940010182132</v>
      </c>
      <c r="F636" s="42" t="n">
        <f aca="false">-P2_a*P2_w2*SIN(RADIANS($A636))+P2_b*E636*SIN(RADIANS(B636))</f>
        <v>80.5493576903914</v>
      </c>
      <c r="G636" s="44" t="n">
        <f aca="false">(P2_a*P2_al2*COS(RADIANS($A636))-P2_a*P2_w2^2*SIN(RADIANS($A636))+P2_b*E636^2*SIN(RADIANS(B636)))/(P2_b*COS(RADIANS(B636)))</f>
        <v>-1.83914939201444</v>
      </c>
      <c r="H636" s="42" t="n">
        <f aca="false">-P2_a*P2_al2*SIN(RADIANS($A636))-P2_a*P2_w2^2*COS(RADIANS($A636))+P2_b*G636*SIN(RADIANS(B636))+P2_b*E636^2*COS(RADIANS(B636))</f>
        <v>-281.352733575139</v>
      </c>
      <c r="I636" s="45" t="n">
        <v>45</v>
      </c>
    </row>
    <row r="637" customFormat="false" ht="15" hidden="false" customHeight="false" outlineLevel="0" collapsed="false">
      <c r="A637" s="41" t="n">
        <v>315.5</v>
      </c>
      <c r="B637" s="42" t="n">
        <f aca="false">180-DEGREES(ASIN((P2_a*SIN(RADIANS($A637))-P2_c)/P2_b))</f>
        <v>181.96746544424</v>
      </c>
      <c r="C637" s="42" t="n">
        <f aca="false">P2_a*COS(RADIANS($A637))-P2_b*COS(RADIANS(B637))</f>
        <v>156.885949484018</v>
      </c>
      <c r="D637" s="43" t="n">
        <f aca="false">90-DEGREES(ASIN(ABS((P2_a*SIN(RADIANS($A637))-P2_c)/P2_b)))</f>
        <v>88.0325345557598</v>
      </c>
      <c r="E637" s="44" t="n">
        <f aca="false">P2_a*P2_w2*COS(RADIANS($A637))/(P2_b*COS(RADIANS(B637)))</f>
        <v>-0.594486694774989</v>
      </c>
      <c r="F637" s="42" t="n">
        <f aca="false">-P2_a*P2_w2*SIN(RADIANS($A637))+P2_b*E637*SIN(RADIANS(B637))</f>
        <v>79.7631080644881</v>
      </c>
      <c r="G637" s="44" t="n">
        <f aca="false">(P2_a*P2_al2*COS(RADIANS($A637))-P2_a*P2_w2^2*SIN(RADIANS($A637))+P2_b*E637^2*SIN(RADIANS(B637)))/(P2_b*COS(RADIANS(B637)))</f>
        <v>-1.82317925342145</v>
      </c>
      <c r="H637" s="42" t="n">
        <f aca="false">-P2_a*P2_al2*SIN(RADIANS($A637))-P2_a*P2_w2^2*COS(RADIANS($A637))+P2_b*G637*SIN(RADIANS(B637))+P2_b*E637^2*COS(RADIANS(B637))</f>
        <v>-284.743367482201</v>
      </c>
      <c r="I637" s="45" t="n">
        <v>45</v>
      </c>
    </row>
    <row r="638" customFormat="false" ht="15" hidden="false" customHeight="false" outlineLevel="0" collapsed="false">
      <c r="A638" s="41" t="n">
        <v>316</v>
      </c>
      <c r="B638" s="42" t="n">
        <f aca="false">180-DEGREES(ASIN((P2_a*SIN(RADIANS($A638))-P2_c)/P2_b))</f>
        <v>181.872448119824</v>
      </c>
      <c r="C638" s="42" t="n">
        <f aca="false">P2_a*COS(RADIANS($A638))-P2_b*COS(RADIANS(B638))</f>
        <v>157.106410786962</v>
      </c>
      <c r="D638" s="43" t="n">
        <f aca="false">90-DEGREES(ASIN(ABS((P2_a*SIN(RADIANS($A638))-P2_c)/P2_b)))</f>
        <v>88.127551880176</v>
      </c>
      <c r="E638" s="44" t="n">
        <f aca="false">P2_a*P2_w2*COS(RADIANS($A638))/(P2_b*COS(RADIANS(B638)))</f>
        <v>-0.599528774607373</v>
      </c>
      <c r="F638" s="42" t="n">
        <f aca="false">-P2_a*P2_w2*SIN(RADIANS($A638))+P2_b*E638*SIN(RADIANS(B638))</f>
        <v>78.9674705328764</v>
      </c>
      <c r="G638" s="44" t="n">
        <f aca="false">(P2_a*P2_al2*COS(RADIANS($A638))-P2_a*P2_w2^2*SIN(RADIANS($A638))+P2_b*E638^2*SIN(RADIANS(B638)))/(P2_b*COS(RADIANS(B638)))</f>
        <v>-1.80710020286042</v>
      </c>
      <c r="H638" s="42" t="n">
        <f aca="false">-P2_a*P2_al2*SIN(RADIANS($A638))-P2_a*P2_w2^2*COS(RADIANS($A638))+P2_b*G638*SIN(RADIANS(B638))+P2_b*E638^2*COS(RADIANS(B638))</f>
        <v>-288.111926704475</v>
      </c>
      <c r="I638" s="45" t="n">
        <v>45</v>
      </c>
    </row>
    <row r="639" customFormat="false" ht="15" hidden="false" customHeight="false" outlineLevel="0" collapsed="false">
      <c r="A639" s="41" t="n">
        <v>316.5</v>
      </c>
      <c r="B639" s="42" t="n">
        <f aca="false">180-DEGREES(ASIN((P2_a*SIN(RADIANS($A639))-P2_c)/P2_b))</f>
        <v>181.776631885669</v>
      </c>
      <c r="C639" s="42" t="n">
        <f aca="false">P2_a*COS(RADIANS($A639))-P2_b*COS(RADIANS(B639))</f>
        <v>157.324649018628</v>
      </c>
      <c r="D639" s="43" t="n">
        <f aca="false">90-DEGREES(ASIN(ABS((P2_a*SIN(RADIANS($A639))-P2_c)/P2_b)))</f>
        <v>88.223368114331</v>
      </c>
      <c r="E639" s="44" t="n">
        <f aca="false">P2_a*P2_w2*COS(RADIANS($A639))/(P2_b*COS(RADIANS(B639)))</f>
        <v>-0.604526040931369</v>
      </c>
      <c r="F639" s="42" t="n">
        <f aca="false">-P2_a*P2_w2*SIN(RADIANS($A639))+P2_b*E639*SIN(RADIANS(B639))</f>
        <v>78.162507237667</v>
      </c>
      <c r="G639" s="44" t="n">
        <f aca="false">(P2_a*P2_al2*COS(RADIANS($A639))-P2_a*P2_w2^2*SIN(RADIANS($A639))+P2_b*E639^2*SIN(RADIANS(B639)))/(P2_b*COS(RADIANS(B639)))</f>
        <v>-1.7909137836364</v>
      </c>
      <c r="H639" s="42" t="n">
        <f aca="false">-P2_a*P2_al2*SIN(RADIANS($A639))-P2_a*P2_w2^2*COS(RADIANS($A639))+P2_b*G639*SIN(RADIANS(B639))+P2_b*E639^2*COS(RADIANS(B639))</f>
        <v>-291.45781876313</v>
      </c>
      <c r="I639" s="45" t="n">
        <v>45</v>
      </c>
    </row>
    <row r="640" customFormat="false" ht="15" hidden="false" customHeight="false" outlineLevel="0" collapsed="false">
      <c r="A640" s="41" t="n">
        <v>317</v>
      </c>
      <c r="B640" s="42" t="n">
        <f aca="false">180-DEGREES(ASIN((P2_a*SIN(RADIANS($A640))-P2_c)/P2_b))</f>
        <v>181.680023897687</v>
      </c>
      <c r="C640" s="42" t="n">
        <f aca="false">P2_a*COS(RADIANS($A640))-P2_b*COS(RADIANS(B640))</f>
        <v>157.540638362325</v>
      </c>
      <c r="D640" s="43" t="n">
        <f aca="false">90-DEGREES(ASIN(ABS((P2_a*SIN(RADIANS($A640))-P2_c)/P2_b)))</f>
        <v>88.3199761023126</v>
      </c>
      <c r="E640" s="44" t="n">
        <f aca="false">P2_a*P2_w2*COS(RADIANS($A640))/(P2_b*COS(RADIANS(B640)))</f>
        <v>-0.60947819763067</v>
      </c>
      <c r="F640" s="42" t="n">
        <f aca="false">-P2_a*P2_w2*SIN(RADIANS($A640))+P2_b*E640*SIN(RADIANS(B640))</f>
        <v>77.3482819627575</v>
      </c>
      <c r="G640" s="44" t="n">
        <f aca="false">(P2_a*P2_al2*COS(RADIANS($A640))-P2_a*P2_w2^2*SIN(RADIANS($A640))+P2_b*E640^2*SIN(RADIANS(B640)))/(P2_b*COS(RADIANS(B640)))</f>
        <v>-1.77462152735203</v>
      </c>
      <c r="H640" s="42" t="n">
        <f aca="false">-P2_a*P2_al2*SIN(RADIANS($A640))-P2_a*P2_w2^2*COS(RADIANS($A640))+P2_b*G640*SIN(RADIANS(B640))+P2_b*E640^2*COS(RADIANS(B640))</f>
        <v>-294.780454072033</v>
      </c>
      <c r="I640" s="45" t="n">
        <v>45</v>
      </c>
    </row>
    <row r="641" customFormat="false" ht="15" hidden="false" customHeight="false" outlineLevel="0" collapsed="false">
      <c r="A641" s="41" t="n">
        <v>317.5</v>
      </c>
      <c r="B641" s="42" t="n">
        <f aca="false">180-DEGREES(ASIN((P2_a*SIN(RADIANS($A641))-P2_c)/P2_b))</f>
        <v>181.582631358582</v>
      </c>
      <c r="C641" s="42" t="n">
        <f aca="false">P2_a*COS(RADIANS($A641))-P2_b*COS(RADIANS(B641))</f>
        <v>157.754353180813</v>
      </c>
      <c r="D641" s="43" t="n">
        <f aca="false">90-DEGREES(ASIN(ABS((P2_a*SIN(RADIANS($A641))-P2_c)/P2_b)))</f>
        <v>88.4173686414183</v>
      </c>
      <c r="E641" s="44" t="n">
        <f aca="false">P2_a*P2_w2*COS(RADIANS($A641))/(P2_b*COS(RADIANS(B641)))</f>
        <v>-0.614384952826717</v>
      </c>
      <c r="F641" s="42" t="n">
        <f aca="false">-P2_a*P2_w2*SIN(RADIANS($A641))+P2_b*E641*SIN(RADIANS(B641))</f>
        <v>76.5248601256202</v>
      </c>
      <c r="G641" s="44" t="n">
        <f aca="false">(P2_a*P2_al2*COS(RADIANS($A641))-P2_a*P2_w2^2*SIN(RADIANS($A641))+P2_b*E641^2*SIN(RADIANS(B641)))/(P2_b*COS(RADIANS(B641)))</f>
        <v>-1.75822495351586</v>
      </c>
      <c r="H641" s="42" t="n">
        <f aca="false">-P2_a*P2_al2*SIN(RADIANS($A641))-P2_a*P2_w2^2*COS(RADIANS($A641))+P2_b*G641*SIN(RADIANS(B641))+P2_b*E641^2*COS(RADIANS(B641))</f>
        <v>-298.079246064104</v>
      </c>
      <c r="I641" s="45" t="n">
        <v>45</v>
      </c>
    </row>
    <row r="642" customFormat="false" ht="15" hidden="false" customHeight="false" outlineLevel="0" collapsed="false">
      <c r="A642" s="41" t="n">
        <v>318</v>
      </c>
      <c r="B642" s="42" t="n">
        <f aca="false">180-DEGREES(ASIN((P2_a*SIN(RADIANS($A642))-P2_c)/P2_b))</f>
        <v>181.484461517174</v>
      </c>
      <c r="C642" s="42" t="n">
        <f aca="false">P2_a*COS(RADIANS($A642))-P2_b*COS(RADIANS(B642))</f>
        <v>157.965768020825</v>
      </c>
      <c r="D642" s="43" t="n">
        <f aca="false">90-DEGREES(ASIN(ABS((P2_a*SIN(RADIANS($A642))-P2_c)/P2_b)))</f>
        <v>88.5155384828264</v>
      </c>
      <c r="E642" s="44" t="n">
        <f aca="false">P2_a*P2_w2*COS(RADIANS($A642))/(P2_b*COS(RADIANS(B642)))</f>
        <v>-0.619246018844567</v>
      </c>
      <c r="F642" s="42" t="n">
        <f aca="false">-P2_a*P2_w2*SIN(RADIANS($A642))+P2_b*E642*SIN(RADIANS(B642))</f>
        <v>75.6923087687434</v>
      </c>
      <c r="G642" s="44" t="n">
        <f aca="false">(P2_a*P2_al2*COS(RADIANS($A642))-P2_a*P2_w2^2*SIN(RADIANS($A642))+P2_b*E642^2*SIN(RADIANS(B642)))/(P2_b*COS(RADIANS(B642)))</f>
        <v>-1.74172556916536</v>
      </c>
      <c r="H642" s="42" t="n">
        <f aca="false">-P2_a*P2_al2*SIN(RADIANS($A642))-P2_a*P2_w2^2*COS(RADIANS($A642))+P2_b*G642*SIN(RADIANS(B642))+P2_b*E642^2*COS(RADIANS(B642))</f>
        <v>-301.353611315726</v>
      </c>
      <c r="I642" s="45" t="n">
        <v>45</v>
      </c>
    </row>
    <row r="643" customFormat="false" ht="15" hidden="false" customHeight="false" outlineLevel="0" collapsed="false">
      <c r="A643" s="41" t="n">
        <v>318.5</v>
      </c>
      <c r="B643" s="42" t="n">
        <f aca="false">180-DEGREES(ASIN((P2_a*SIN(RADIANS($A643))-P2_c)/P2_b))</f>
        <v>181.385521667738</v>
      </c>
      <c r="C643" s="42" t="n">
        <f aca="false">P2_a*COS(RADIANS($A643))-P2_b*COS(RADIANS(B643))</f>
        <v>158.17485761757</v>
      </c>
      <c r="D643" s="43" t="n">
        <f aca="false">90-DEGREES(ASIN(ABS((P2_a*SIN(RADIANS($A643))-P2_c)/P2_b)))</f>
        <v>88.6144783322625</v>
      </c>
      <c r="E643" s="44" t="n">
        <f aca="false">P2_a*P2_w2*COS(RADIANS($A643))/(P2_b*COS(RADIANS(B643)))</f>
        <v>-0.624061112177755</v>
      </c>
      <c r="F643" s="42" t="n">
        <f aca="false">-P2_a*P2_w2*SIN(RADIANS($A643))+P2_b*E643*SIN(RADIANS(B643))</f>
        <v>74.8506965507282</v>
      </c>
      <c r="G643" s="44" t="n">
        <f aca="false">(P2_a*P2_al2*COS(RADIANS($A643))-P2_a*P2_w2^2*SIN(RADIANS($A643))+P2_b*E643^2*SIN(RADIANS(B643)))/(P2_b*COS(RADIANS(B643)))</f>
        <v>-1.72512486850472</v>
      </c>
      <c r="H643" s="42" t="n">
        <f aca="false">-P2_a*P2_al2*SIN(RADIANS($A643))-P2_a*P2_w2^2*COS(RADIANS($A643))+P2_b*G643*SIN(RADIANS(B643))+P2_b*E643^2*COS(RADIANS(B643))</f>
        <v>-304.602969669205</v>
      </c>
      <c r="I643" s="45" t="n">
        <v>45</v>
      </c>
    </row>
    <row r="644" customFormat="false" ht="15" hidden="false" customHeight="false" outlineLevel="0" collapsed="false">
      <c r="A644" s="41" t="n">
        <v>319</v>
      </c>
      <c r="B644" s="42" t="n">
        <f aca="false">180-DEGREES(ASIN((P2_a*SIN(RADIANS($A644))-P2_c)/P2_b))</f>
        <v>181.28581914934</v>
      </c>
      <c r="C644" s="42" t="n">
        <f aca="false">P2_a*COS(RADIANS($A644))-P2_b*COS(RADIANS(B644))</f>
        <v>158.38159689921</v>
      </c>
      <c r="D644" s="43" t="n">
        <f aca="false">90-DEGREES(ASIN(ABS((P2_a*SIN(RADIANS($A644))-P2_c)/P2_b)))</f>
        <v>88.7141808506602</v>
      </c>
      <c r="E644" s="44" t="n">
        <f aca="false">P2_a*P2_w2*COS(RADIANS($A644))/(P2_b*COS(RADIANS(B644)))</f>
        <v>-0.628829953452153</v>
      </c>
      <c r="F644" s="42" t="n">
        <f aca="false">-P2_a*P2_w2*SIN(RADIANS($A644))+P2_b*E644*SIN(RADIANS(B644))</f>
        <v>74.0000937370498</v>
      </c>
      <c r="G644" s="44" t="n">
        <f aca="false">(P2_a*P2_al2*COS(RADIANS($A644))-P2_a*P2_w2^2*SIN(RADIANS($A644))+P2_b*E644^2*SIN(RADIANS(B644)))/(P2_b*COS(RADIANS(B644)))</f>
        <v>-1.7084243325576</v>
      </c>
      <c r="H644" s="42" t="n">
        <f aca="false">-P2_a*P2_al2*SIN(RADIANS($A644))-P2_a*P2_w2^2*COS(RADIANS($A644))+P2_b*G644*SIN(RADIANS(B644))+P2_b*E644^2*COS(RADIANS(B644))</f>
        <v>-307.826744353263</v>
      </c>
      <c r="I644" s="45" t="n">
        <v>45</v>
      </c>
    </row>
    <row r="645" customFormat="false" ht="15" hidden="false" customHeight="false" outlineLevel="0" collapsed="false">
      <c r="A645" s="41" t="n">
        <v>319.5</v>
      </c>
      <c r="B645" s="42" t="n">
        <f aca="false">180-DEGREES(ASIN((P2_a*SIN(RADIANS($A645))-P2_c)/P2_b))</f>
        <v>181.185361345184</v>
      </c>
      <c r="C645" s="42" t="n">
        <f aca="false">P2_a*COS(RADIANS($A645))-P2_b*COS(RADIANS(B645))</f>
        <v>158.585960991308</v>
      </c>
      <c r="D645" s="43" t="n">
        <f aca="false">90-DEGREES(ASIN(ABS((P2_a*SIN(RADIANS($A645))-P2_c)/P2_b)))</f>
        <v>88.8146386548157</v>
      </c>
      <c r="E645" s="44" t="n">
        <f aca="false">P2_a*P2_w2*COS(RADIANS($A645))/(P2_b*COS(RADIANS(B645)))</f>
        <v>-0.633552267388895</v>
      </c>
      <c r="F645" s="42" t="n">
        <f aca="false">-P2_a*P2_w2*SIN(RADIANS($A645))+P2_b*E645*SIN(RADIANS(B645))</f>
        <v>73.1405721904847</v>
      </c>
      <c r="G645" s="44" t="n">
        <f aca="false">(P2_a*P2_al2*COS(RADIANS($A645))-P2_a*P2_w2^2*SIN(RADIANS($A645))+P2_b*E645^2*SIN(RADIANS(B645)))/(P2_b*COS(RADIANS(B645)))</f>
        <v>-1.69162542883476</v>
      </c>
      <c r="H645" s="42" t="n">
        <f aca="false">-P2_a*P2_al2*SIN(RADIANS($A645))-P2_a*P2_w2^2*COS(RADIANS($A645))+P2_b*G645*SIN(RADIANS(B645))+P2_b*E645^2*COS(RADIANS(B645))</f>
        <v>-311.024362101567</v>
      </c>
      <c r="I645" s="45" t="n">
        <v>45</v>
      </c>
    </row>
    <row r="646" customFormat="false" ht="15" hidden="false" customHeight="false" outlineLevel="0" collapsed="false">
      <c r="A646" s="41" t="n">
        <v>320</v>
      </c>
      <c r="B646" s="42" t="n">
        <f aca="false">180-DEGREES(ASIN((P2_a*SIN(RADIANS($A646))-P2_c)/P2_b))</f>
        <v>181.084155681964</v>
      </c>
      <c r="C646" s="42" t="n">
        <f aca="false">P2_a*COS(RADIANS($A646))-P2_b*COS(RADIANS(B646))</f>
        <v>158.787925221254</v>
      </c>
      <c r="D646" s="43" t="n">
        <f aca="false">90-DEGREES(ASIN(ABS((P2_a*SIN(RADIANS($A646))-P2_c)/P2_b)))</f>
        <v>88.9158443180365</v>
      </c>
      <c r="E646" s="44" t="n">
        <f aca="false">P2_a*P2_w2*COS(RADIANS($A646))/(P2_b*COS(RADIANS(B646)))</f>
        <v>-0.638227782766398</v>
      </c>
      <c r="F646" s="42" t="n">
        <f aca="false">-P2_a*P2_w2*SIN(RADIANS($A646))+P2_b*E646*SIN(RADIANS(B646))</f>
        <v>72.2722053612125</v>
      </c>
      <c r="G646" s="44" t="n">
        <f aca="false">(P2_a*P2_al2*COS(RADIANS($A646))-P2_a*P2_w2^2*SIN(RADIANS($A646))+P2_b*E646^2*SIN(RADIANS(B646)))/(P2_b*COS(RADIANS(B646)))</f>
        <v>-1.67472961101659</v>
      </c>
      <c r="H646" s="42" t="n">
        <f aca="false">-P2_a*P2_al2*SIN(RADIANS($A646))-P2_a*P2_w2^2*COS(RADIANS($A646))+P2_b*G646*SIN(RADIANS(B646))+P2_b*E646^2*COS(RADIANS(B646))</f>
        <v>-314.195253269277</v>
      </c>
      <c r="I646" s="45" t="n">
        <v>45</v>
      </c>
    </row>
    <row r="647" customFormat="false" ht="15" hidden="false" customHeight="false" outlineLevel="0" collapsed="false">
      <c r="A647" s="41" t="n">
        <v>320.5</v>
      </c>
      <c r="B647" s="42" t="n">
        <f aca="false">180-DEGREES(ASIN((P2_a*SIN(RADIANS($A647))-P2_c)/P2_b))</f>
        <v>180.982209629216</v>
      </c>
      <c r="C647" s="42" t="n">
        <f aca="false">P2_a*COS(RADIANS($A647))-P2_b*COS(RADIANS(B647))</f>
        <v>158.987465122659</v>
      </c>
      <c r="D647" s="43" t="n">
        <f aca="false">90-DEGREES(ASIN(ABS((P2_a*SIN(RADIANS($A647))-P2_c)/P2_b)))</f>
        <v>89.0177903707841</v>
      </c>
      <c r="E647" s="44" t="n">
        <f aca="false">P2_a*P2_w2*COS(RADIANS($A647))/(P2_b*COS(RADIANS(B647)))</f>
        <v>-0.642856232381517</v>
      </c>
      <c r="F647" s="42" t="n">
        <f aca="false">-P2_a*P2_w2*SIN(RADIANS($A647))+P2_b*E647*SIN(RADIANS(B647))</f>
        <v>71.3950682765976</v>
      </c>
      <c r="G647" s="44" t="n">
        <f aca="false">(P2_a*P2_al2*COS(RADIANS($A647))-P2_a*P2_w2^2*SIN(RADIANS($A647))+P2_b*E647^2*SIN(RADIANS(B647)))/(P2_b*COS(RADIANS(B647)))</f>
        <v>-1.65773831865078</v>
      </c>
      <c r="H647" s="42" t="n">
        <f aca="false">-P2_a*P2_al2*SIN(RADIANS($A647))-P2_a*P2_w2^2*COS(RADIANS($A647))+P2_b*G647*SIN(RADIANS(B647))+P2_b*E647^2*COS(RADIANS(B647))</f>
        <v>-317.338851947619</v>
      </c>
      <c r="I647" s="45" t="n">
        <v>45</v>
      </c>
    </row>
    <row r="648" customFormat="false" ht="15" hidden="false" customHeight="false" outlineLevel="0" collapsed="false">
      <c r="A648" s="41" t="n">
        <v>321</v>
      </c>
      <c r="B648" s="42" t="n">
        <f aca="false">180-DEGREES(ASIN((P2_a*SIN(RADIANS($A648))-P2_c)/P2_b))</f>
        <v>180.879530698689</v>
      </c>
      <c r="C648" s="42" t="n">
        <f aca="false">P2_a*COS(RADIANS($A648))-P2_b*COS(RADIANS(B648))</f>
        <v>159.184556439723</v>
      </c>
      <c r="D648" s="43" t="n">
        <f aca="false">90-DEGREES(ASIN(ABS((P2_a*SIN(RADIANS($A648))-P2_c)/P2_b)))</f>
        <v>89.1204693013107</v>
      </c>
      <c r="E648" s="44" t="n">
        <f aca="false">P2_a*P2_w2*COS(RADIANS($A648))/(P2_b*COS(RADIANS(B648)))</f>
        <v>-0.647437353009893</v>
      </c>
      <c r="F648" s="42" t="n">
        <f aca="false">-P2_a*P2_w2*SIN(RADIANS($A648))+P2_b*E648*SIN(RADIANS(B648))</f>
        <v>70.509237530653</v>
      </c>
      <c r="G648" s="44" t="n">
        <f aca="false">(P2_a*P2_al2*COS(RADIANS($A648))-P2_a*P2_w2^2*SIN(RADIANS($A648))+P2_b*E648^2*SIN(RADIANS(B648)))/(P2_b*COS(RADIANS(B648)))</f>
        <v>-1.64065297686481</v>
      </c>
      <c r="H648" s="42" t="n">
        <f aca="false">-P2_a*P2_al2*SIN(RADIANS($A648))-P2_a*P2_w2^2*COS(RADIANS($A648))+P2_b*G648*SIN(RADIANS(B648))+P2_b*E648^2*COS(RADIANS(B648))</f>
        <v>-320.454596076482</v>
      </c>
      <c r="I648" s="45" t="n">
        <v>45</v>
      </c>
    </row>
    <row r="649" customFormat="false" ht="15" hidden="false" customHeight="false" outlineLevel="0" collapsed="false">
      <c r="A649" s="41" t="n">
        <v>321.5</v>
      </c>
      <c r="B649" s="42" t="n">
        <f aca="false">180-DEGREES(ASIN((P2_a*SIN(RADIANS($A649))-P2_c)/P2_b))</f>
        <v>180.776126443711</v>
      </c>
      <c r="C649" s="42" t="n">
        <f aca="false">P2_a*COS(RADIANS($A649))-P2_b*COS(RADIANS(B649))</f>
        <v>159.379175131567</v>
      </c>
      <c r="D649" s="43" t="n">
        <f aca="false">90-DEGREES(ASIN(ABS((P2_a*SIN(RADIANS($A649))-P2_c)/P2_b)))</f>
        <v>89.2238735562887</v>
      </c>
      <c r="E649" s="44" t="n">
        <f aca="false">P2_a*P2_w2*COS(RADIANS($A649))/(P2_b*COS(RADIANS(B649)))</f>
        <v>-0.651970885365501</v>
      </c>
      <c r="F649" s="42" t="n">
        <f aca="false">-P2_a*P2_w2*SIN(RADIANS($A649))+P2_b*E649*SIN(RADIANS(B649))</f>
        <v>69.6147912731966</v>
      </c>
      <c r="G649" s="44" t="n">
        <f aca="false">(P2_a*P2_al2*COS(RADIANS($A649))-P2_a*P2_w2^2*SIN(RADIANS($A649))+P2_b*E649^2*SIN(RADIANS(B649)))/(P2_b*COS(RADIANS(B649)))</f>
        <v>-1.6234749960936</v>
      </c>
      <c r="H649" s="42" t="n">
        <f aca="false">-P2_a*P2_al2*SIN(RADIANS($A649))-P2_a*P2_w2^2*COS(RADIANS($A649))+P2_b*G649*SIN(RADIANS(B649))+P2_b*E649^2*COS(RADIANS(B649))</f>
        <v>-323.541927555025</v>
      </c>
      <c r="I649" s="45" t="n">
        <v>45</v>
      </c>
    </row>
    <row r="650" customFormat="false" ht="15" hidden="false" customHeight="false" outlineLevel="0" collapsed="false">
      <c r="A650" s="41" t="n">
        <v>322</v>
      </c>
      <c r="B650" s="42" t="n">
        <f aca="false">180-DEGREES(ASIN((P2_a*SIN(RADIANS($A650))-P2_c)/P2_b))</f>
        <v>180.672004458565</v>
      </c>
      <c r="C650" s="42" t="n">
        <f aca="false">P2_a*COS(RADIANS($A650))-P2_b*COS(RADIANS(B650))</f>
        <v>159.571297376548</v>
      </c>
      <c r="D650" s="43" t="n">
        <f aca="false">90-DEGREES(ASIN(ABS((P2_a*SIN(RADIANS($A650))-P2_c)/P2_b)))</f>
        <v>89.3279955414346</v>
      </c>
      <c r="E650" s="44" t="n">
        <f aca="false">P2_a*P2_w2*COS(RADIANS($A650))/(P2_b*COS(RADIANS(B650)))</f>
        <v>-0.656456574059492</v>
      </c>
      <c r="F650" s="42" t="n">
        <f aca="false">-P2_a*P2_w2*SIN(RADIANS($A650))+P2_b*E650*SIN(RADIANS(B650))</f>
        <v>68.7118091987014</v>
      </c>
      <c r="G650" s="44" t="n">
        <f aca="false">(P2_a*P2_al2*COS(RADIANS($A650))-P2_a*P2_w2^2*SIN(RADIANS($A650))+P2_b*E650^2*SIN(RADIANS(B650)))/(P2_b*COS(RADIANS(B650)))</f>
        <v>-1.60620577182209</v>
      </c>
      <c r="H650" s="42" t="n">
        <f aca="false">-P2_a*P2_al2*SIN(RADIANS($A650))-P2_a*P2_w2^2*COS(RADIANS($A650))+P2_b*G650*SIN(RADIANS(B650))+P2_b*E650^2*COS(RADIANS(B650))</f>
        <v>-326.600292350325</v>
      </c>
      <c r="I650" s="45" t="n">
        <v>45</v>
      </c>
    </row>
    <row r="651" customFormat="false" ht="15" hidden="false" customHeight="false" outlineLevel="0" collapsed="false">
      <c r="A651" s="41" t="n">
        <v>322.5</v>
      </c>
      <c r="B651" s="42" t="n">
        <f aca="false">180-DEGREES(ASIN((P2_a*SIN(RADIANS($A651))-P2_c)/P2_b))</f>
        <v>180.567172377874</v>
      </c>
      <c r="C651" s="42" t="n">
        <f aca="false">P2_a*COS(RADIANS($A651))-P2_b*COS(RADIANS(B651))</f>
        <v>159.760899576523</v>
      </c>
      <c r="D651" s="43" t="n">
        <f aca="false">90-DEGREES(ASIN(ABS((P2_a*SIN(RADIANS($A651))-P2_c)/P2_b)))</f>
        <v>89.4328276221261</v>
      </c>
      <c r="E651" s="44" t="n">
        <f aca="false">P2_a*P2_w2*COS(RADIANS($A651))/(P2_b*COS(RADIANS(B651)))</f>
        <v>-0.660894167558315</v>
      </c>
      <c r="F651" s="42" t="n">
        <f aca="false">-P2_a*P2_w2*SIN(RADIANS($A651))+P2_b*E651*SIN(RADIANS(B651))</f>
        <v>67.800372534847</v>
      </c>
      <c r="G651" s="44" t="n">
        <f aca="false">(P2_a*P2_al2*COS(RADIANS($A651))-P2_a*P2_w2^2*SIN(RADIANS($A651))+P2_b*E651^2*SIN(RADIANS(B651)))/(P2_b*COS(RADIANS(B651)))</f>
        <v>-1.58884668434283</v>
      </c>
      <c r="H651" s="42" t="n">
        <f aca="false">-P2_a*P2_al2*SIN(RADIANS($A651))-P2_a*P2_w2^2*COS(RADIANS($A651))+P2_b*G651*SIN(RADIANS(B651))+P2_b*E651^2*COS(RADIANS(B651))</f>
        <v>-329.629140604036</v>
      </c>
      <c r="I651" s="45" t="n">
        <v>45</v>
      </c>
    </row>
    <row r="652" customFormat="false" ht="15" hidden="false" customHeight="false" outlineLevel="0" collapsed="false">
      <c r="A652" s="41" t="n">
        <v>323</v>
      </c>
      <c r="B652" s="42" t="n">
        <f aca="false">180-DEGREES(ASIN((P2_a*SIN(RADIANS($A652))-P2_c)/P2_b))</f>
        <v>180.461637875988</v>
      </c>
      <c r="C652" s="42" t="n">
        <f aca="false">P2_a*COS(RADIANS($A652))-P2_b*COS(RADIANS(B652))</f>
        <v>159.947958361102</v>
      </c>
      <c r="D652" s="43" t="n">
        <f aca="false">90-DEGREES(ASIN(ABS((P2_a*SIN(RADIANS($A652))-P2_c)/P2_b)))</f>
        <v>89.5383621240116</v>
      </c>
      <c r="E652" s="44" t="n">
        <f aca="false">P2_a*P2_w2*COS(RADIANS($A652))/(P2_b*COS(RADIANS(B652)))</f>
        <v>-0.665283418141199</v>
      </c>
      <c r="F652" s="42" t="n">
        <f aca="false">-P2_a*P2_w2*SIN(RADIANS($A652))+P2_b*E652*SIN(RADIANS(B652))</f>
        <v>66.8805640307778</v>
      </c>
      <c r="G652" s="44" t="n">
        <f aca="false">(P2_a*P2_al2*COS(RADIANS($A652))-P2_a*P2_w2^2*SIN(RADIANS($A652))+P2_b*E652^2*SIN(RADIANS(B652)))/(P2_b*COS(RADIANS(B652)))</f>
        <v>-1.57139909852856</v>
      </c>
      <c r="H652" s="42" t="n">
        <f aca="false">-P2_a*P2_al2*SIN(RADIANS($A652))-P2_a*P2_w2^2*COS(RADIANS($A652))+P2_b*G652*SIN(RADIANS(B652))+P2_b*E652^2*COS(RADIANS(B652))</f>
        <v>-332.627926737093</v>
      </c>
      <c r="I652" s="45" t="n">
        <v>45</v>
      </c>
    </row>
    <row r="653" customFormat="false" ht="15" hidden="false" customHeight="false" outlineLevel="0" collapsed="false">
      <c r="A653" s="41" t="n">
        <v>323.5</v>
      </c>
      <c r="B653" s="42" t="n">
        <f aca="false">180-DEGREES(ASIN((P2_a*SIN(RADIANS($A653))-P2_c)/P2_b))</f>
        <v>180.355408666385</v>
      </c>
      <c r="C653" s="42" t="n">
        <f aca="false">P2_a*COS(RADIANS($A653))-P2_b*COS(RADIANS(B653))</f>
        <v>160.13245059185</v>
      </c>
      <c r="D653" s="43" t="n">
        <f aca="false">90-DEGREES(ASIN(ABS((P2_a*SIN(RADIANS($A653))-P2_c)/P2_b)))</f>
        <v>89.6445913336146</v>
      </c>
      <c r="E653" s="44" t="n">
        <f aca="false">P2_a*P2_w2*COS(RADIANS($A653))/(P2_b*COS(RADIANS(B653)))</f>
        <v>-0.669624081857023</v>
      </c>
      <c r="F653" s="42" t="n">
        <f aca="false">-P2_a*P2_w2*SIN(RADIANS($A653))+P2_b*E653*SIN(RADIANS(B653))</f>
        <v>65.9524679450733</v>
      </c>
      <c r="G653" s="44" t="n">
        <f aca="false">(P2_a*P2_al2*COS(RADIANS($A653))-P2_a*P2_w2^2*SIN(RADIANS($A653))+P2_b*E653^2*SIN(RADIANS(B653)))/(P2_b*COS(RADIANS(B653)))</f>
        <v>-1.55386436361965</v>
      </c>
      <c r="H653" s="42" t="n">
        <f aca="false">-P2_a*P2_al2*SIN(RADIANS($A653))-P2_a*P2_w2^2*COS(RADIANS($A653))+P2_b*G653*SIN(RADIANS(B653))+P2_b*E653^2*COS(RADIANS(B653))</f>
        <v>-335.596109552454</v>
      </c>
      <c r="I653" s="45" t="n">
        <v>45</v>
      </c>
    </row>
    <row r="654" customFormat="false" ht="15" hidden="false" customHeight="false" outlineLevel="0" collapsed="false">
      <c r="A654" s="41" t="n">
        <v>324</v>
      </c>
      <c r="B654" s="42" t="n">
        <f aca="false">180-DEGREES(ASIN((P2_a*SIN(RADIANS($A654))-P2_c)/P2_b))</f>
        <v>180.248492501071</v>
      </c>
      <c r="C654" s="42" t="n">
        <f aca="false">P2_a*COS(RADIANS($A654))-P2_b*COS(RADIANS(B654))</f>
        <v>160.314353366468</v>
      </c>
      <c r="D654" s="43" t="n">
        <f aca="false">90-DEGREES(ASIN(ABS((P2_a*SIN(RADIANS($A654))-P2_c)/P2_b)))</f>
        <v>89.7515074989293</v>
      </c>
      <c r="E654" s="44" t="n">
        <f aca="false">P2_a*P2_w2*COS(RADIANS($A654))/(P2_b*COS(RADIANS(B654)))</f>
        <v>-0.673915918480613</v>
      </c>
      <c r="F654" s="42" t="n">
        <f aca="false">-P2_a*P2_w2*SIN(RADIANS($A654))+P2_b*E654*SIN(RADIANS(B654))</f>
        <v>65.0161700334352</v>
      </c>
      <c r="G654" s="44" t="n">
        <f aca="false">(P2_a*P2_al2*COS(RADIANS($A654))-P2_a*P2_w2^2*SIN(RADIANS($A654))+P2_b*E654^2*SIN(RADIANS(B654)))/(P2_b*COS(RADIANS(B654)))</f>
        <v>-1.53624381302659</v>
      </c>
      <c r="H654" s="42" t="n">
        <f aca="false">-P2_a*P2_al2*SIN(RADIANS($A654))-P2_a*P2_w2^2*COS(RADIANS($A654))+P2_b*G654*SIN(RADIANS(B654))+P2_b*E654^2*COS(RADIANS(B654))</f>
        <v>-338.533152335895</v>
      </c>
      <c r="I654" s="45" t="n">
        <v>45</v>
      </c>
    </row>
    <row r="655" customFormat="false" ht="15" hidden="false" customHeight="false" outlineLevel="0" collapsed="false">
      <c r="A655" s="41" t="n">
        <v>324.5</v>
      </c>
      <c r="B655" s="42" t="n">
        <f aca="false">180-DEGREES(ASIN((P2_a*SIN(RADIANS($A655))-P2_c)/P2_b))</f>
        <v>180.14089716999</v>
      </c>
      <c r="C655" s="42" t="n">
        <f aca="false">P2_a*COS(RADIANS($A655))-P2_b*COS(RADIANS(B655))</f>
        <v>160.49364402293</v>
      </c>
      <c r="D655" s="43" t="n">
        <f aca="false">90-DEGREES(ASIN(ABS((P2_a*SIN(RADIANS($A655))-P2_c)/P2_b)))</f>
        <v>89.8591028300105</v>
      </c>
      <c r="E655" s="44" t="n">
        <f aca="false">P2_a*P2_w2*COS(RADIANS($A655))/(P2_b*COS(RADIANS(B655)))</f>
        <v>-0.678158691468516</v>
      </c>
      <c r="F655" s="42" t="n">
        <f aca="false">-P2_a*P2_w2*SIN(RADIANS($A655))+P2_b*E655*SIN(RADIANS(B655))</f>
        <v>64.0717575360966</v>
      </c>
      <c r="G655" s="44" t="n">
        <f aca="false">(P2_a*P2_al2*COS(RADIANS($A655))-P2_a*P2_w2^2*SIN(RADIANS($A655))+P2_b*E655^2*SIN(RADIANS(B655)))/(P2_b*COS(RADIANS(B655)))</f>
        <v>-1.51853876414717</v>
      </c>
      <c r="H655" s="42" t="n">
        <f aca="false">-P2_a*P2_al2*SIN(RADIANS($A655))-P2_a*P2_w2^2*COS(RADIANS($A655))+P2_b*G655*SIN(RADIANS(B655))+P2_b*E655^2*COS(RADIANS(B655))</f>
        <v>-341.438522954864</v>
      </c>
      <c r="I655" s="45" t="n">
        <v>45</v>
      </c>
    </row>
    <row r="656" customFormat="false" ht="15" hidden="false" customHeight="false" outlineLevel="0" collapsed="false">
      <c r="A656" s="41" t="n">
        <v>325</v>
      </c>
      <c r="B656" s="42" t="n">
        <f aca="false">180-DEGREES(ASIN((P2_a*SIN(RADIANS($A656))-P2_c)/P2_b))</f>
        <v>180.032630500444</v>
      </c>
      <c r="C656" s="42" t="n">
        <f aca="false">P2_a*COS(RADIANS($A656))-P2_b*COS(RADIANS(B656))</f>
        <v>160.670300143592</v>
      </c>
      <c r="D656" s="43" t="n">
        <f aca="false">90-DEGREES(ASIN(ABS((P2_a*SIN(RADIANS($A656))-P2_c)/P2_b)))</f>
        <v>89.967369499556</v>
      </c>
      <c r="E656" s="44" t="n">
        <f aca="false">P2_a*P2_w2*COS(RADIANS($A656))/(P2_b*COS(RADIANS(B656)))</f>
        <v>-0.682352167914278</v>
      </c>
      <c r="F656" s="42" t="n">
        <f aca="false">-P2_a*P2_w2*SIN(RADIANS($A656))+P2_b*E656*SIN(RADIANS(B656))</f>
        <v>63.1193191649615</v>
      </c>
      <c r="G656" s="44" t="n">
        <f aca="false">(P2_a*P2_al2*COS(RADIANS($A656))-P2_a*P2_w2^2*SIN(RADIANS($A656))+P2_b*E656^2*SIN(RADIANS(B656)))/(P2_b*COS(RADIANS(B656)))</f>
        <v>-1.50075051819855</v>
      </c>
      <c r="H656" s="42" t="n">
        <f aca="false">-P2_a*P2_al2*SIN(RADIANS($A656))-P2_a*P2_w2^2*COS(RADIANS($A656))+P2_b*G656*SIN(RADIANS(B656))+P2_b*E656^2*COS(RADIANS(B656))</f>
        <v>-344.311693955412</v>
      </c>
      <c r="I656" s="45" t="n">
        <v>45</v>
      </c>
    </row>
    <row r="657" customFormat="false" ht="15" hidden="false" customHeight="false" outlineLevel="0" collapsed="false">
      <c r="A657" s="41" t="n">
        <v>325.5</v>
      </c>
      <c r="B657" s="42" t="n">
        <f aca="false">180-DEGREES(ASIN((P2_a*SIN(RADIANS($A657))-P2_c)/P2_b))</f>
        <v>179.923700356518</v>
      </c>
      <c r="C657" s="42" t="n">
        <f aca="false">P2_a*COS(RADIANS($A657))-P2_b*COS(RADIANS(B657))</f>
        <v>160.844299559261</v>
      </c>
      <c r="D657" s="43" t="n">
        <f aca="false">90-DEGREES(ASIN(ABS((P2_a*SIN(RADIANS($A657))-P2_c)/P2_b)))</f>
        <v>89.9237003565181</v>
      </c>
      <c r="E657" s="44" t="n">
        <f aca="false">P2_a*P2_w2*COS(RADIANS($A657))/(P2_b*COS(RADIANS(B657)))</f>
        <v>-0.686496118503289</v>
      </c>
      <c r="F657" s="42" t="n">
        <f aca="false">-P2_a*P2_w2*SIN(RADIANS($A657))+P2_b*E657*SIN(RADIANS(B657))</f>
        <v>62.1589450904748</v>
      </c>
      <c r="G657" s="44" t="n">
        <f aca="false">(P2_a*P2_al2*COS(RADIANS($A657))-P2_a*P2_w2^2*SIN(RADIANS($A657))+P2_b*E657^2*SIN(RADIANS(B657)))/(P2_b*COS(RADIANS(B657)))</f>
        <v>-1.48288036006403</v>
      </c>
      <c r="H657" s="42" t="n">
        <f aca="false">-P2_a*P2_al2*SIN(RADIANS($A657))-P2_a*P2_w2^2*COS(RADIANS($A657))+P2_b*G657*SIN(RADIANS(B657))+P2_b*E657^2*COS(RADIANS(B657))</f>
        <v>-347.152142657211</v>
      </c>
      <c r="I657" s="45" t="n">
        <v>45</v>
      </c>
    </row>
    <row r="658" customFormat="false" ht="15" hidden="false" customHeight="false" outlineLevel="0" collapsed="false">
      <c r="A658" s="41" t="n">
        <v>326</v>
      </c>
      <c r="B658" s="42" t="n">
        <f aca="false">180-DEGREES(ASIN((P2_a*SIN(RADIANS($A658))-P2_c)/P2_b))</f>
        <v>179.814114638509</v>
      </c>
      <c r="C658" s="42" t="n">
        <f aca="false">P2_a*COS(RADIANS($A658))-P2_b*COS(RADIANS(B658))</f>
        <v>161.015620353228</v>
      </c>
      <c r="D658" s="43" t="n">
        <f aca="false">90-DEGREES(ASIN(ABS((P2_a*SIN(RADIANS($A658))-P2_c)/P2_b)))</f>
        <v>89.8141146385095</v>
      </c>
      <c r="E658" s="44" t="n">
        <f aca="false">P2_a*P2_w2*COS(RADIANS($A658))/(P2_b*COS(RADIANS(B658)))</f>
        <v>-0.690590317467206</v>
      </c>
      <c r="F658" s="42" t="n">
        <f aca="false">-P2_a*P2_w2*SIN(RADIANS($A658))+P2_b*E658*SIN(RADIANS(B658))</f>
        <v>61.190726928234</v>
      </c>
      <c r="G658" s="44" t="n">
        <f aca="false">(P2_a*P2_al2*COS(RADIANS($A658))-P2_a*P2_w2^2*SIN(RADIANS($A658))+P2_b*E658^2*SIN(RADIANS(B658)))/(P2_b*COS(RADIANS(B658)))</f>
        <v>-1.46492955815447</v>
      </c>
      <c r="H658" s="42" t="n">
        <f aca="false">-P2_a*P2_al2*SIN(RADIANS($A658))-P2_a*P2_w2^2*COS(RADIANS($A658))+P2_b*G658*SIN(RADIANS(B658))+P2_b*E658^2*COS(RADIANS(B658))</f>
        <v>-349.959351246679</v>
      </c>
      <c r="I658" s="45" t="n">
        <v>45</v>
      </c>
    </row>
    <row r="659" customFormat="false" ht="15" hidden="false" customHeight="false" outlineLevel="0" collapsed="false">
      <c r="A659" s="41" t="n">
        <v>326.5</v>
      </c>
      <c r="B659" s="42" t="n">
        <f aca="false">180-DEGREES(ASIN((P2_a*SIN(RADIANS($A659))-P2_c)/P2_b))</f>
        <v>179.703881282369</v>
      </c>
      <c r="C659" s="42" t="n">
        <f aca="false">P2_a*COS(RADIANS($A659))-P2_b*COS(RADIANS(B659))</f>
        <v>161.184240865263</v>
      </c>
      <c r="D659" s="43" t="n">
        <f aca="false">90-DEGREES(ASIN(ABS((P2_a*SIN(RADIANS($A659))-P2_c)/P2_b)))</f>
        <v>89.7038812823689</v>
      </c>
      <c r="E659" s="44" t="n">
        <f aca="false">P2_a*P2_w2*COS(RADIANS($A659))/(P2_b*COS(RADIANS(B659)))</f>
        <v>-0.694634542538032</v>
      </c>
      <c r="F659" s="42" t="n">
        <f aca="false">-P2_a*P2_w2*SIN(RADIANS($A659))+P2_b*E659*SIN(RADIANS(B659))</f>
        <v>60.2147577253416</v>
      </c>
      <c r="G659" s="44" t="n">
        <f aca="false">(P2_a*P2_al2*COS(RADIANS($A659))-P2_a*P2_w2^2*SIN(RADIANS($A659))+P2_b*E659^2*SIN(RADIANS(B659)))/(P2_b*COS(RADIANS(B659)))</f>
        <v>-1.44689936428432</v>
      </c>
      <c r="H659" s="42" t="n">
        <f aca="false">-P2_a*P2_al2*SIN(RADIANS($A659))-P2_a*P2_w2^2*COS(RADIANS($A659))+P2_b*G659*SIN(RADIANS(B659))+P2_b*E659^2*COS(RADIANS(B659))</f>
        <v>-352.732806868223</v>
      </c>
      <c r="I659" s="45" t="n">
        <v>45</v>
      </c>
    </row>
    <row r="660" customFormat="false" ht="15" hidden="false" customHeight="false" outlineLevel="0" collapsed="false">
      <c r="A660" s="41" t="n">
        <v>327</v>
      </c>
      <c r="B660" s="42" t="n">
        <f aca="false">180-DEGREES(ASIN((P2_a*SIN(RADIANS($A660))-P2_c)/P2_b))</f>
        <v>179.593008259147</v>
      </c>
      <c r="C660" s="42" t="n">
        <f aca="false">P2_a*COS(RADIANS($A660))-P2_b*COS(RADIANS(B660))</f>
        <v>161.35013969557</v>
      </c>
      <c r="D660" s="43" t="n">
        <f aca="false">90-DEGREES(ASIN(ABS((P2_a*SIN(RADIANS($A660))-P2_c)/P2_b)))</f>
        <v>89.5930082591467</v>
      </c>
      <c r="E660" s="44" t="n">
        <f aca="false">P2_a*P2_w2*COS(RADIANS($A660))/(P2_b*COS(RADIANS(B660)))</f>
        <v>-0.698628574901849</v>
      </c>
      <c r="F660" s="42" t="n">
        <f aca="false">-P2_a*P2_w2*SIN(RADIANS($A660))+P2_b*E660*SIN(RADIANS(B660))</f>
        <v>59.2311319465098</v>
      </c>
      <c r="G660" s="44" t="n">
        <f aca="false">(P2_a*P2_al2*COS(RADIANS($A660))-P2_a*P2_w2^2*SIN(RADIANS($A660))+P2_b*E660^2*SIN(RADIANS(B660)))/(P2_b*COS(RADIANS(B660)))</f>
        <v>-1.42879101356211</v>
      </c>
      <c r="H660" s="42" t="n">
        <f aca="false">-P2_a*P2_al2*SIN(RADIANS($A660))-P2_a*P2_w2^2*COS(RADIANS($A660))+P2_b*G660*SIN(RADIANS(B660))+P2_b*E660^2*COS(RADIANS(B660))</f>
        <v>-355.472001713616</v>
      </c>
      <c r="I660" s="45" t="n">
        <v>45</v>
      </c>
    </row>
    <row r="661" customFormat="false" ht="15" hidden="false" customHeight="false" outlineLevel="0" collapsed="false">
      <c r="A661" s="41" t="n">
        <v>327.5</v>
      </c>
      <c r="B661" s="42" t="n">
        <f aca="false">180-DEGREES(ASIN((P2_a*SIN(RADIANS($A661))-P2_c)/P2_b))</f>
        <v>179.481503574447</v>
      </c>
      <c r="C661" s="42" t="n">
        <f aca="false">P2_a*COS(RADIANS($A661))-P2_b*COS(RADIANS(B661))</f>
        <v>161.513295708712</v>
      </c>
      <c r="D661" s="43" t="n">
        <f aca="false">90-DEGREES(ASIN(ABS((P2_a*SIN(RADIANS($A661))-P2_c)/P2_b)))</f>
        <v>89.4815035744466</v>
      </c>
      <c r="E661" s="44" t="n">
        <f aca="false">P2_a*P2_w2*COS(RADIANS($A661))/(P2_b*COS(RADIANS(B661)))</f>
        <v>-0.702572199152283</v>
      </c>
      <c r="F661" s="42" t="n">
        <f aca="false">-P2_a*P2_w2*SIN(RADIANS($A661))+P2_b*E661*SIN(RADIANS(B661))</f>
        <v>58.2399454599174</v>
      </c>
      <c r="G661" s="44" t="n">
        <f aca="false">(P2_a*P2_al2*COS(RADIANS($A661))-P2_a*P2_w2^2*SIN(RADIANS($A661))+P2_b*E661^2*SIN(RADIANS(B661)))/(P2_b*COS(RADIANS(B661)))</f>
        <v>-1.41060572429535</v>
      </c>
      <c r="H661" s="42" t="n">
        <f aca="false">-P2_a*P2_al2*SIN(RADIANS($A661))-P2_a*P2_w2^2*COS(RADIANS($A661))+P2_b*G661*SIN(RADIANS(B661))+P2_b*E661^2*COS(RADIANS(B661))</f>
        <v>-358.176433109544</v>
      </c>
      <c r="I661" s="45" t="n">
        <v>45</v>
      </c>
    </row>
    <row r="662" customFormat="false" ht="15" hidden="false" customHeight="false" outlineLevel="0" collapsed="false">
      <c r="A662" s="41" t="n">
        <v>328</v>
      </c>
      <c r="B662" s="42" t="n">
        <f aca="false">180-DEGREES(ASIN((P2_a*SIN(RADIANS($A662))-P2_c)/P2_b))</f>
        <v>179.369375267887</v>
      </c>
      <c r="C662" s="42" t="n">
        <f aca="false">P2_a*COS(RADIANS($A662))-P2_b*COS(RADIANS(B662))</f>
        <v>161.673688037481</v>
      </c>
      <c r="D662" s="43" t="n">
        <f aca="false">90-DEGREES(ASIN(ABS((P2_a*SIN(RADIANS($A662))-P2_c)/P2_b)))</f>
        <v>89.3693752678873</v>
      </c>
      <c r="E662" s="44" t="n">
        <f aca="false">P2_a*P2_w2*COS(RADIANS($A662))/(P2_b*COS(RADIANS(B662)))</f>
        <v>-0.706465203243718</v>
      </c>
      <c r="F662" s="42" t="n">
        <f aca="false">-P2_a*P2_w2*SIN(RADIANS($A662))+P2_b*E662*SIN(RADIANS(B662))</f>
        <v>57.2412955228262</v>
      </c>
      <c r="G662" s="44" t="n">
        <f aca="false">(P2_a*P2_al2*COS(RADIANS($A662))-P2_a*P2_w2^2*SIN(RADIANS($A662))+P2_b*E662^2*SIN(RADIANS(B662)))/(P2_b*COS(RADIANS(B662)))</f>
        <v>-1.39234469790979</v>
      </c>
      <c r="H662" s="42" t="n">
        <f aca="false">-P2_a*P2_al2*SIN(RADIANS($A662))-P2_a*P2_w2^2*COS(RADIANS($A662))+P2_b*G662*SIN(RADIANS(B662))+P2_b*E662^2*COS(RADIANS(B662))</f>
        <v>-360.845603603321</v>
      </c>
      <c r="I662" s="45" t="n">
        <v>45</v>
      </c>
    </row>
    <row r="663" customFormat="false" ht="15" hidden="false" customHeight="false" outlineLevel="0" collapsed="false">
      <c r="A663" s="41" t="n">
        <v>328.5</v>
      </c>
      <c r="B663" s="42" t="n">
        <f aca="false">180-DEGREES(ASIN((P2_a*SIN(RADIANS($A663))-P2_c)/P2_b))</f>
        <v>179.256631412571</v>
      </c>
      <c r="C663" s="42" t="n">
        <f aca="false">P2_a*COS(RADIANS($A663))-P2_b*COS(RADIANS(B663))</f>
        <v>161.831296086742</v>
      </c>
      <c r="D663" s="43" t="n">
        <f aca="false">90-DEGREES(ASIN(ABS((P2_a*SIN(RADIANS($A663))-P2_c)/P2_b)))</f>
        <v>89.2566314125715</v>
      </c>
      <c r="E663" s="44" t="n">
        <f aca="false">P2_a*P2_w2*COS(RADIANS($A663))/(P2_b*COS(RADIANS(B663)))</f>
        <v>-0.710307378444305</v>
      </c>
      <c r="F663" s="42" t="n">
        <f aca="false">-P2_a*P2_w2*SIN(RADIANS($A663))+P2_b*E663*SIN(RADIANS(B663))</f>
        <v>56.2352807669637</v>
      </c>
      <c r="G663" s="44" t="n">
        <f aca="false">(P2_a*P2_al2*COS(RADIANS($A663))-P2_a*P2_w2^2*SIN(RADIANS($A663))+P2_b*E663^2*SIN(RADIANS(B663)))/(P2_b*COS(RADIANS(B663)))</f>
        <v>-1.37400911888279</v>
      </c>
      <c r="H663" s="42" t="n">
        <f aca="false">-P2_a*P2_al2*SIN(RADIANS($A663))-P2_a*P2_w2^2*COS(RADIANS($A663))+P2_b*G663*SIN(RADIANS(B663))+P2_b*E663^2*COS(RADIANS(B663))</f>
        <v>-363.479021046807</v>
      </c>
      <c r="I663" s="45" t="n">
        <v>45</v>
      </c>
    </row>
    <row r="664" customFormat="false" ht="15" hidden="false" customHeight="false" outlineLevel="0" collapsed="false">
      <c r="A664" s="41" t="n">
        <v>329</v>
      </c>
      <c r="B664" s="42" t="n">
        <f aca="false">180-DEGREES(ASIN((P2_a*SIN(RADIANS($A664))-P2_c)/P2_b))</f>
        <v>179.143280114562</v>
      </c>
      <c r="C664" s="42" t="n">
        <f aca="false">P2_a*COS(RADIANS($A664))-P2_b*COS(RADIANS(B664))</f>
        <v>161.98609953723</v>
      </c>
      <c r="D664" s="43" t="n">
        <f aca="false">90-DEGREES(ASIN(ABS((P2_a*SIN(RADIANS($A664))-P2_c)/P2_b)))</f>
        <v>89.1432801145616</v>
      </c>
      <c r="E664" s="44" t="n">
        <f aca="false">P2_a*P2_w2*COS(RADIANS($A664))/(P2_b*COS(RADIANS(B664)))</f>
        <v>-0.71409851928881</v>
      </c>
      <c r="F664" s="42" t="n">
        <f aca="false">-P2_a*P2_w2*SIN(RADIANS($A664))+P2_b*E664*SIN(RADIANS(B664))</f>
        <v>55.2220011836717</v>
      </c>
      <c r="G664" s="44" t="n">
        <f aca="false">(P2_a*P2_al2*COS(RADIANS($A664))-P2_a*P2_w2^2*SIN(RADIANS($A664))+P2_b*E664^2*SIN(RADIANS(B664)))/(P2_b*COS(RADIANS(B664)))</f>
        <v>-1.35560015469085</v>
      </c>
      <c r="H664" s="42" t="n">
        <f aca="false">-P2_a*P2_al2*SIN(RADIANS($A664))-P2_a*P2_w2^2*COS(RADIANS($A664))+P2_b*G664*SIN(RADIANS(B664))+P2_b*E664^2*COS(RADIANS(B664))</f>
        <v>-366.076198678548</v>
      </c>
      <c r="I664" s="45" t="n">
        <v>45</v>
      </c>
    </row>
    <row r="665" customFormat="false" ht="15" hidden="false" customHeight="false" outlineLevel="0" collapsed="false">
      <c r="A665" s="41" t="n">
        <v>329.5</v>
      </c>
      <c r="B665" s="42" t="n">
        <f aca="false">180-DEGREES(ASIN((P2_a*SIN(RADIANS($A665))-P2_c)/P2_b))</f>
        <v>179.029329512364</v>
      </c>
      <c r="C665" s="42" t="n">
        <f aca="false">P2_a*COS(RADIANS($A665))-P2_b*COS(RADIANS(B665))</f>
        <v>162.138078349303</v>
      </c>
      <c r="D665" s="43" t="n">
        <f aca="false">90-DEGREES(ASIN(ABS((P2_a*SIN(RADIANS($A665))-P2_c)/P2_b)))</f>
        <v>89.0293295123644</v>
      </c>
      <c r="E665" s="44" t="n">
        <f aca="false">P2_a*P2_w2*COS(RADIANS($A665))/(P2_b*COS(RADIANS(B665)))</f>
        <v>-0.717838423531329</v>
      </c>
      <c r="F665" s="42" t="n">
        <f aca="false">-P2_a*P2_w2*SIN(RADIANS($A665))+P2_b*E665*SIN(RADIANS(B665))</f>
        <v>54.2015581088338</v>
      </c>
      <c r="G665" s="44" t="n">
        <f aca="false">(P2_a*P2_al2*COS(RADIANS($A665))-P2_a*P2_w2^2*SIN(RADIANS($A665))+P2_b*E665^2*SIN(RADIANS(B665)))/(P2_b*COS(RADIANS(B665)))</f>
        <v>-1.33711895577114</v>
      </c>
      <c r="H665" s="42" t="n">
        <f aca="false">-P2_a*P2_al2*SIN(RADIANS($A665))-P2_a*P2_w2^2*COS(RADIANS($A665))+P2_b*G665*SIN(RADIANS(B665))+P2_b*E665^2*COS(RADIANS(B665))</f>
        <v>-368.636655204167</v>
      </c>
      <c r="I665" s="45" t="n">
        <v>45</v>
      </c>
    </row>
    <row r="666" customFormat="false" ht="15" hidden="false" customHeight="false" outlineLevel="0" collapsed="false">
      <c r="A666" s="41" t="n">
        <v>330</v>
      </c>
      <c r="B666" s="42" t="n">
        <f aca="false">180-DEGREES(ASIN((P2_a*SIN(RADIANS($A666))-P2_c)/P2_b))</f>
        <v>178.914787776422</v>
      </c>
      <c r="C666" s="42" t="n">
        <f aca="false">P2_a*COS(RADIANS($A666))-P2_b*COS(RADIANS(B666))</f>
        <v>162.287212766659</v>
      </c>
      <c r="D666" s="43" t="n">
        <f aca="false">90-DEGREES(ASIN(ABS((P2_a*SIN(RADIANS($A666))-P2_c)/P2_b)))</f>
        <v>88.9147877764219</v>
      </c>
      <c r="E666" s="44" t="n">
        <f aca="false">P2_a*P2_w2*COS(RADIANS($A666))/(P2_b*COS(RADIANS(B666)))</f>
        <v>-0.721526892097922</v>
      </c>
      <c r="F666" s="42" t="n">
        <f aca="false">-P2_a*P2_w2*SIN(RADIANS($A666))+P2_b*E666*SIN(RADIANS(B666))</f>
        <v>53.1740542075766</v>
      </c>
      <c r="G666" s="44" t="n">
        <f aca="false">(P2_a*P2_al2*COS(RADIANS($A666))-P2_a*P2_w2^2*SIN(RADIANS($A666))+P2_b*E666^2*SIN(RADIANS(B666)))/(P2_b*COS(RADIANS(B666)))</f>
        <v>-1.3185666554968</v>
      </c>
      <c r="H666" s="42" t="n">
        <f aca="false">-P2_a*P2_al2*SIN(RADIANS($A666))-P2_a*P2_w2^2*COS(RADIANS($A666))+P2_b*G666*SIN(RADIANS(B666))+P2_b*E666^2*COS(RADIANS(B666))</f>
        <v>-371.159914875023</v>
      </c>
      <c r="I666" s="45" t="n">
        <v>45</v>
      </c>
    </row>
    <row r="667" customFormat="false" ht="15" hidden="false" customHeight="false" outlineLevel="0" collapsed="false">
      <c r="A667" s="41" t="n">
        <v>330.5</v>
      </c>
      <c r="B667" s="42" t="n">
        <f aca="false">180-DEGREES(ASIN((P2_a*SIN(RADIANS($A667))-P2_c)/P2_b))</f>
        <v>178.79966310861</v>
      </c>
      <c r="C667" s="42" t="n">
        <f aca="false">P2_a*COS(RADIANS($A667))-P2_b*COS(RADIANS(B667))</f>
        <v>162.433483320002</v>
      </c>
      <c r="D667" s="43" t="n">
        <f aca="false">90-DEGREES(ASIN(ABS((P2_a*SIN(RADIANS($A667))-P2_c)/P2_b)))</f>
        <v>88.7996631086104</v>
      </c>
      <c r="E667" s="44" t="n">
        <f aca="false">P2_a*P2_w2*COS(RADIANS($A667))/(P2_b*COS(RADIANS(B667)))</f>
        <v>-0.725163729039194</v>
      </c>
      <c r="F667" s="42" t="n">
        <f aca="false">-P2_a*P2_w2*SIN(RADIANS($A667))+P2_b*E667*SIN(RADIANS(B667))</f>
        <v>52.1395934587601</v>
      </c>
      <c r="G667" s="44" t="n">
        <f aca="false">(P2_a*P2_al2*COS(RADIANS($A667))-P2_a*P2_w2^2*SIN(RADIANS($A667))+P2_b*E667^2*SIN(RADIANS(B667)))/(P2_b*COS(RADIANS(B667)))</f>
        <v>-1.29994437016614</v>
      </c>
      <c r="H667" s="42" t="n">
        <f aca="false">-P2_a*P2_al2*SIN(RADIANS($A667))-P2_a*P2_w2^2*COS(RADIANS($A667))+P2_b*G667*SIN(RADIANS(B667))+P2_b*E667^2*COS(RADIANS(B667))</f>
        <v>-373.645507565165</v>
      </c>
      <c r="I667" s="45" t="n">
        <v>45</v>
      </c>
    </row>
    <row r="668" customFormat="false" ht="15" hidden="false" customHeight="false" outlineLevel="0" collapsed="false">
      <c r="A668" s="41" t="n">
        <v>331</v>
      </c>
      <c r="B668" s="42" t="n">
        <f aca="false">180-DEGREES(ASIN((P2_a*SIN(RADIANS($A668))-P2_c)/P2_b))</f>
        <v>178.683963741747</v>
      </c>
      <c r="C668" s="42" t="n">
        <f aca="false">P2_a*COS(RADIANS($A668))-P2_b*COS(RADIANS(B668))</f>
        <v>162.576870830676</v>
      </c>
      <c r="D668" s="43" t="n">
        <f aca="false">90-DEGREES(ASIN(ABS((P2_a*SIN(RADIANS($A668))-P2_c)/P2_b)))</f>
        <v>88.6839637417471</v>
      </c>
      <c r="E668" s="44" t="n">
        <f aca="false">P2_a*P2_w2*COS(RADIANS($A668))/(P2_b*COS(RADIANS(B668)))</f>
        <v>-0.728748741482862</v>
      </c>
      <c r="F668" s="42" t="n">
        <f aca="false">-P2_a*P2_w2*SIN(RADIANS($A668))+P2_b*E668*SIN(RADIANS(B668))</f>
        <v>51.0982811392527</v>
      </c>
      <c r="G668" s="44" t="n">
        <f aca="false">(P2_a*P2_al2*COS(RADIANS($A668))-P2_a*P2_w2^2*SIN(RADIANS($A668))+P2_b*E668^2*SIN(RADIANS(B668)))/(P2_b*COS(RADIANS(B668)))</f>
        <v>-1.28125319900527</v>
      </c>
      <c r="H668" s="42" t="n">
        <f aca="false">-P2_a*P2_al2*SIN(RADIANS($A668))-P2_a*P2_w2^2*COS(RADIANS($A668))+P2_b*G668*SIN(RADIANS(B668))+P2_b*E668^2*COS(RADIANS(B668))</f>
        <v>-376.092968846616</v>
      </c>
      <c r="I668" s="45" t="n">
        <v>45</v>
      </c>
    </row>
    <row r="669" customFormat="false" ht="15" hidden="false" customHeight="false" outlineLevel="0" collapsed="false">
      <c r="A669" s="41" t="n">
        <v>331.5</v>
      </c>
      <c r="B669" s="42" t="n">
        <f aca="false">180-DEGREES(ASIN((P2_a*SIN(RADIANS($A669))-P2_c)/P2_b))</f>
        <v>178.567697939104</v>
      </c>
      <c r="C669" s="42" t="n">
        <f aca="false">P2_a*COS(RADIANS($A669))-P2_b*COS(RADIANS(B669))</f>
        <v>162.717356414244</v>
      </c>
      <c r="D669" s="43" t="n">
        <f aca="false">90-DEGREES(ASIN(ABS((P2_a*SIN(RADIANS($A669))-P2_c)/P2_b)))</f>
        <v>88.5676979391041</v>
      </c>
      <c r="E669" s="44" t="n">
        <f aca="false">P2_a*P2_w2*COS(RADIANS($A669))/(P2_b*COS(RADIANS(B669)))</f>
        <v>-0.73228173958636</v>
      </c>
      <c r="F669" s="42" t="n">
        <f aca="false">-P2_a*P2_w2*SIN(RADIANS($A669))+P2_b*E669*SIN(RADIANS(B669))</f>
        <v>50.050223808001</v>
      </c>
      <c r="G669" s="44" t="n">
        <f aca="false">(P2_a*P2_al2*COS(RADIANS($A669))-P2_a*P2_w2^2*SIN(RADIANS($A669))+P2_b*E669^2*SIN(RADIANS(B669)))/(P2_b*COS(RADIANS(B669)))</f>
        <v>-1.26249422418438</v>
      </c>
      <c r="H669" s="42" t="n">
        <f aca="false">-P2_a*P2_al2*SIN(RADIANS($A669))-P2_a*P2_w2^2*COS(RADIANS($A669))+P2_b*G669*SIN(RADIANS(B669))+P2_b*E669^2*COS(RADIANS(B669))</f>
        <v>-378.501840063003</v>
      </c>
      <c r="I669" s="45" t="n">
        <v>45</v>
      </c>
    </row>
    <row r="670" customFormat="false" ht="15" hidden="false" customHeight="false" outlineLevel="0" collapsed="false">
      <c r="A670" s="41" t="n">
        <v>332</v>
      </c>
      <c r="B670" s="42" t="n">
        <f aca="false">180-DEGREES(ASIN((P2_a*SIN(RADIANS($A670))-P2_c)/P2_b))</f>
        <v>178.45087399393</v>
      </c>
      <c r="C670" s="42" t="n">
        <f aca="false">P2_a*COS(RADIANS($A670))-P2_b*COS(RADIANS(B670))</f>
        <v>162.854921484028</v>
      </c>
      <c r="D670" s="43" t="n">
        <f aca="false">90-DEGREES(ASIN(ABS((P2_a*SIN(RADIANS($A670))-P2_c)/P2_b)))</f>
        <v>88.4508739939298</v>
      </c>
      <c r="E670" s="44" t="n">
        <f aca="false">P2_a*P2_w2*COS(RADIANS($A670))/(P2_b*COS(RADIANS(B670)))</f>
        <v>-0.735762536489489</v>
      </c>
      <c r="F670" s="42" t="n">
        <f aca="false">-P2_a*P2_w2*SIN(RADIANS($A670))+P2_b*E670*SIN(RADIANS(B670))</f>
        <v>48.9955292898979</v>
      </c>
      <c r="G670" s="44" t="n">
        <f aca="false">(P2_a*P2_al2*COS(RADIANS($A670))-P2_a*P2_w2^2*SIN(RADIANS($A670))+P2_b*E670^2*SIN(RADIANS(B670)))/(P2_b*COS(RADIANS(B670)))</f>
        <v>-1.24366851084729</v>
      </c>
      <c r="H670" s="42" t="n">
        <f aca="false">-P2_a*P2_al2*SIN(RADIANS($A670))-P2_a*P2_w2^2*COS(RADIANS($A670))+P2_b*G670*SIN(RADIANS(B670))+P2_b*E670^2*COS(RADIANS(B670))</f>
        <v>-380.871668401569</v>
      </c>
      <c r="I670" s="45" t="n">
        <v>45</v>
      </c>
    </row>
    <row r="671" customFormat="false" ht="15" hidden="false" customHeight="false" outlineLevel="0" collapsed="false">
      <c r="A671" s="41" t="n">
        <v>332.5</v>
      </c>
      <c r="B671" s="42" t="n">
        <f aca="false">180-DEGREES(ASIN((P2_a*SIN(RADIANS($A671))-P2_c)/P2_b))</f>
        <v>178.333500228978</v>
      </c>
      <c r="C671" s="42" t="n">
        <f aca="false">P2_a*COS(RADIANS($A671))-P2_b*COS(RADIANS(B671))</f>
        <v>162.989547754602</v>
      </c>
      <c r="D671" s="43" t="n">
        <f aca="false">90-DEGREES(ASIN(ABS((P2_a*SIN(RADIANS($A671))-P2_c)/P2_b)))</f>
        <v>88.3335002289782</v>
      </c>
      <c r="E671" s="44" t="n">
        <f aca="false">P2_a*P2_w2*COS(RADIANS($A671))/(P2_b*COS(RADIANS(B671)))</f>
        <v>-0.739190948267186</v>
      </c>
      <c r="F671" s="42" t="n">
        <f aca="false">-P2_a*P2_w2*SIN(RADIANS($A671))+P2_b*E671*SIN(RADIANS(B671))</f>
        <v>47.9343066594514</v>
      </c>
      <c r="G671" s="44" t="n">
        <f aca="false">(P2_a*P2_al2*COS(RADIANS($A671))-P2_a*P2_w2^2*SIN(RADIANS($A671))+P2_b*E671^2*SIN(RADIANS(B671)))/(P2_b*COS(RADIANS(B671)))</f>
        <v>-1.22477710715421</v>
      </c>
      <c r="H671" s="42" t="n">
        <f aca="false">-P2_a*P2_al2*SIN(RADIANS($A671))-P2_a*P2_w2^2*COS(RADIANS($A671))+P2_b*G671*SIN(RADIANS(B671))+P2_b*E671^2*COS(RADIANS(B671))</f>
        <v>-383.202006963592</v>
      </c>
      <c r="I671" s="45" t="n">
        <v>45</v>
      </c>
    </row>
    <row r="672" customFormat="false" ht="15" hidden="false" customHeight="false" outlineLevel="0" collapsed="false">
      <c r="A672" s="41" t="n">
        <v>333</v>
      </c>
      <c r="B672" s="42" t="n">
        <f aca="false">180-DEGREES(ASIN((P2_a*SIN(RADIANS($A672))-P2_c)/P2_b))</f>
        <v>178.215584996045</v>
      </c>
      <c r="C672" s="42" t="n">
        <f aca="false">P2_a*COS(RADIANS($A672))-P2_b*COS(RADIANS(B672))</f>
        <v>163.121217245242</v>
      </c>
      <c r="D672" s="43" t="n">
        <f aca="false">90-DEGREES(ASIN(ABS((P2_a*SIN(RADIANS($A672))-P2_c)/P2_b)))</f>
        <v>88.2155849960454</v>
      </c>
      <c r="E672" s="44" t="n">
        <f aca="false">P2_a*P2_w2*COS(RADIANS($A672))/(P2_b*COS(RADIANS(B672)))</f>
        <v>-0.742566793882418</v>
      </c>
      <c r="F672" s="42" t="n">
        <f aca="false">-P2_a*P2_w2*SIN(RADIANS($A672))+P2_b*E672*SIN(RADIANS(B672))</f>
        <v>46.8666662242613</v>
      </c>
      <c r="G672" s="44" t="n">
        <f aca="false">(P2_a*P2_al2*COS(RADIANS($A672))-P2_a*P2_w2^2*SIN(RADIANS($A672))+P2_b*E672^2*SIN(RADIANS(B672)))/(P2_b*COS(RADIANS(B672)))</f>
        <v>-1.20582104433766</v>
      </c>
      <c r="H672" s="42" t="n">
        <f aca="false">-P2_a*P2_al2*SIN(RADIANS($A672))-P2_a*P2_w2^2*COS(RADIANS($A672))+P2_b*G672*SIN(RADIANS(B672))+P2_b*E672^2*COS(RADIANS(B672))</f>
        <v>-385.492414833245</v>
      </c>
      <c r="I672" s="45" t="n">
        <v>45</v>
      </c>
    </row>
    <row r="673" customFormat="false" ht="15" hidden="false" customHeight="false" outlineLevel="0" collapsed="false">
      <c r="A673" s="41" t="n">
        <v>333.5</v>
      </c>
      <c r="B673" s="42" t="n">
        <f aca="false">180-DEGREES(ASIN((P2_a*SIN(RADIANS($A673))-P2_c)/P2_b))</f>
        <v>178.097136675514</v>
      </c>
      <c r="C673" s="42" t="n">
        <f aca="false">P2_a*COS(RADIANS($A673))-P2_b*COS(RADIANS(B673))</f>
        <v>163.249912283328</v>
      </c>
      <c r="D673" s="43" t="n">
        <f aca="false">90-DEGREES(ASIN(ABS((P2_a*SIN(RADIANS($A673))-P2_c)/P2_b)))</f>
        <v>88.0971366755137</v>
      </c>
      <c r="E673" s="44" t="n">
        <f aca="false">P2_a*P2_w2*COS(RADIANS($A673))/(P2_b*COS(RADIANS(B673)))</f>
        <v>-0.745889895139256</v>
      </c>
      <c r="F673" s="42" t="n">
        <f aca="false">-P2_a*P2_w2*SIN(RADIANS($A673))+P2_b*E673*SIN(RADIANS(B673))</f>
        <v>45.7927195083055</v>
      </c>
      <c r="G673" s="44" t="n">
        <f aca="false">(P2_a*P2_al2*COS(RADIANS($A673))-P2_a*P2_w2^2*SIN(RADIANS($A673))+P2_b*E673^2*SIN(RADIANS(B673)))/(P2_b*COS(RADIANS(B673)))</f>
        <v>-1.18680133677122</v>
      </c>
      <c r="H673" s="42" t="n">
        <f aca="false">-P2_a*P2_al2*SIN(RADIANS($A673))-P2_a*P2_w2^2*COS(RADIANS($A673))+P2_b*G673*SIN(RADIANS(B673))+P2_b*E673^2*COS(RADIANS(B673))</f>
        <v>-387.742457144923</v>
      </c>
      <c r="I673" s="45" t="n">
        <v>45</v>
      </c>
    </row>
    <row r="674" customFormat="false" ht="15" hidden="false" customHeight="false" outlineLevel="0" collapsed="false">
      <c r="A674" s="41" t="n">
        <v>334</v>
      </c>
      <c r="B674" s="42" t="n">
        <f aca="false">180-DEGREES(ASIN((P2_a*SIN(RADIANS($A674))-P2_c)/P2_b))</f>
        <v>177.978163675903</v>
      </c>
      <c r="C674" s="42" t="n">
        <f aca="false">P2_a*COS(RADIANS($A674))-P2_b*COS(RADIANS(B674))</f>
        <v>163.375615507699</v>
      </c>
      <c r="D674" s="43" t="n">
        <f aca="false">90-DEGREES(ASIN(ABS((P2_a*SIN(RADIANS($A674))-P2_c)/P2_b)))</f>
        <v>87.9781636759033</v>
      </c>
      <c r="E674" s="44" t="n">
        <f aca="false">P2_a*P2_w2*COS(RADIANS($A674))/(P2_b*COS(RADIANS(B674)))</f>
        <v>-0.74916007663615</v>
      </c>
      <c r="F674" s="42" t="n">
        <f aca="false">-P2_a*P2_w2*SIN(RADIANS($A674))+P2_b*E674*SIN(RADIANS(B674))</f>
        <v>44.7125792350429</v>
      </c>
      <c r="G674" s="44" t="n">
        <f aca="false">(P2_a*P2_al2*COS(RADIANS($A674))-P2_a*P2_w2^2*SIN(RADIANS($A674))+P2_b*E674^2*SIN(RADIANS(B674)))/(P2_b*COS(RADIANS(B674)))</f>
        <v>-1.16771898205114</v>
      </c>
      <c r="H674" s="42" t="n">
        <f aca="false">-P2_a*P2_al2*SIN(RADIANS($A674))-P2_a*P2_w2^2*COS(RADIANS($A674))+P2_b*G674*SIN(RADIANS(B674))+P2_b*E674^2*COS(RADIANS(B674))</f>
        <v>-389.951705149066</v>
      </c>
      <c r="I674" s="45" t="n">
        <v>45</v>
      </c>
    </row>
    <row r="675" customFormat="false" ht="15" hidden="false" customHeight="false" outlineLevel="0" collapsed="false">
      <c r="A675" s="41" t="n">
        <v>334.5</v>
      </c>
      <c r="B675" s="42" t="n">
        <f aca="false">180-DEGREES(ASIN((P2_a*SIN(RADIANS($A675))-P2_c)/P2_b))</f>
        <v>177.858674433431</v>
      </c>
      <c r="C675" s="42" t="n">
        <f aca="false">P2_a*COS(RADIANS($A675))-P2_b*COS(RADIANS(B675))</f>
        <v>163.498309871958</v>
      </c>
      <c r="D675" s="43" t="n">
        <f aca="false">90-DEGREES(ASIN(ABS((P2_a*SIN(RADIANS($A675))-P2_c)/P2_b)))</f>
        <v>87.858674433431</v>
      </c>
      <c r="E675" s="44" t="n">
        <f aca="false">P2_a*P2_w2*COS(RADIANS($A675))/(P2_b*COS(RADIANS(B675)))</f>
        <v>-0.752377165719458</v>
      </c>
      <c r="F675" s="42" t="n">
        <f aca="false">-P2_a*P2_w2*SIN(RADIANS($A675))+P2_b*E675*SIN(RADIANS(B675))</f>
        <v>43.6263593103337</v>
      </c>
      <c r="G675" s="44" t="n">
        <f aca="false">(P2_a*P2_al2*COS(RADIANS($A675))-P2_a*P2_w2^2*SIN(RADIANS($A675))+P2_b*E675^2*SIN(RADIANS(B675)))/(P2_b*COS(RADIANS(B675)))</f>
        <v>-1.1485749610906</v>
      </c>
      <c r="H675" s="42" t="n">
        <f aca="false">-P2_a*P2_al2*SIN(RADIANS($A675))-P2_a*P2_w2^2*COS(RADIANS($A675))+P2_b*G675*SIN(RADIANS(B675))+P2_b*E675^2*COS(RADIANS(B675))</f>
        <v>-392.119736276521</v>
      </c>
      <c r="I675" s="45" t="n">
        <v>45</v>
      </c>
    </row>
    <row r="676" customFormat="false" ht="15" hidden="false" customHeight="false" outlineLevel="0" collapsed="false">
      <c r="A676" s="41" t="n">
        <v>335</v>
      </c>
      <c r="B676" s="42" t="n">
        <f aca="false">180-DEGREES(ASIN((P2_a*SIN(RADIANS($A676))-P2_c)/P2_b))</f>
        <v>177.738677411577</v>
      </c>
      <c r="C676" s="42" t="n">
        <f aca="false">P2_a*COS(RADIANS($A676))-P2_b*COS(RADIANS(B676))</f>
        <v>163.617978647739</v>
      </c>
      <c r="D676" s="43" t="n">
        <f aca="false">90-DEGREES(ASIN(ABS((P2_a*SIN(RADIANS($A676))-P2_c)/P2_b)))</f>
        <v>87.7386774115768</v>
      </c>
      <c r="E676" s="44" t="n">
        <f aca="false">P2_a*P2_w2*COS(RADIANS($A676))/(P2_b*COS(RADIANS(B676)))</f>
        <v>-0.75554099243725</v>
      </c>
      <c r="F676" s="42" t="n">
        <f aca="false">-P2_a*P2_w2*SIN(RADIANS($A676))+P2_b*E676*SIN(RADIANS(B676))</f>
        <v>42.534174805185</v>
      </c>
      <c r="G676" s="44" t="n">
        <f aca="false">(P2_a*P2_al2*COS(RADIANS($A676))-P2_a*P2_w2^2*SIN(RADIANS($A676))+P2_b*E676^2*SIN(RADIANS(B676)))/(P2_b*COS(RADIANS(B676)))</f>
        <v>-1.12937023822642</v>
      </c>
      <c r="H676" s="42" t="n">
        <f aca="false">-P2_a*P2_al2*SIN(RADIANS($A676))-P2_a*P2_w2^2*COS(RADIANS($A676))+P2_b*G676*SIN(RADIANS(B676))+P2_b*E676^2*COS(RADIANS(B676))</f>
        <v>-394.246134201455</v>
      </c>
      <c r="I676" s="45" t="n">
        <v>45</v>
      </c>
    </row>
    <row r="677" customFormat="false" ht="15" hidden="false" customHeight="false" outlineLevel="0" collapsed="false">
      <c r="A677" s="41" t="n">
        <v>335.5</v>
      </c>
      <c r="B677" s="42" t="n">
        <f aca="false">180-DEGREES(ASIN((P2_a*SIN(RADIANS($A677))-P2_c)/P2_b))</f>
        <v>177.618181100657</v>
      </c>
      <c r="C677" s="42" t="n">
        <f aca="false">P2_a*COS(RADIANS($A677))-P2_b*COS(RADIANS(B677))</f>
        <v>163.734605427913</v>
      </c>
      <c r="D677" s="43" t="n">
        <f aca="false">90-DEGREES(ASIN(ABS((P2_a*SIN(RADIANS($A677))-P2_c)/P2_b)))</f>
        <v>87.6181811006573</v>
      </c>
      <c r="E677" s="44" t="n">
        <f aca="false">P2_a*P2_w2*COS(RADIANS($A677))/(P2_b*COS(RADIANS(B677)))</f>
        <v>-0.75865138949342</v>
      </c>
      <c r="F677" s="42" t="n">
        <f aca="false">-P2_a*P2_w2*SIN(RADIANS($A677))+P2_b*E677*SIN(RADIANS(B677))</f>
        <v>41.4361419383216</v>
      </c>
      <c r="G677" s="44" t="n">
        <f aca="false">(P2_a*P2_al2*COS(RADIANS($A677))-P2_a*P2_w2^2*SIN(RADIANS($A677))+P2_b*E677^2*SIN(RADIANS(B677)))/(P2_b*COS(RADIANS(B677)))</f>
        <v>-1.11010576133817</v>
      </c>
      <c r="H677" s="42" t="n">
        <f aca="false">-P2_a*P2_al2*SIN(RADIANS($A677))-P2_a*P2_w2^2*COS(RADIANS($A677))+P2_b*G677*SIN(RADIANS(B677))+P2_b*E677^2*COS(RADIANS(B677))</f>
        <v>-396.330488902874</v>
      </c>
      <c r="I677" s="45" t="n">
        <v>45</v>
      </c>
    </row>
    <row r="678" customFormat="false" ht="15" hidden="false" customHeight="false" outlineLevel="0" collapsed="false">
      <c r="A678" s="41" t="n">
        <v>336</v>
      </c>
      <c r="B678" s="42" t="n">
        <f aca="false">180-DEGREES(ASIN((P2_a*SIN(RADIANS($A678))-P2_c)/P2_b))</f>
        <v>177.497194017407</v>
      </c>
      <c r="C678" s="42" t="n">
        <f aca="false">P2_a*COS(RADIANS($A678))-P2_b*COS(RADIANS(B678))</f>
        <v>163.848174129757</v>
      </c>
      <c r="D678" s="43" t="n">
        <f aca="false">90-DEGREES(ASIN(ABS((P2_a*SIN(RADIANS($A678))-P2_c)/P2_b)))</f>
        <v>87.4971940174069</v>
      </c>
      <c r="E678" s="44" t="n">
        <f aca="false">P2_a*P2_w2*COS(RADIANS($A678))/(P2_b*COS(RADIANS(B678)))</f>
        <v>-0.761708192202156</v>
      </c>
      <c r="F678" s="42" t="n">
        <f aca="false">-P2_a*P2_w2*SIN(RADIANS($A678))+P2_b*E678*SIN(RADIANS(B678))</f>
        <v>40.3323780585891</v>
      </c>
      <c r="G678" s="44" t="n">
        <f aca="false">(P2_a*P2_al2*COS(RADIANS($A678))-P2_a*P2_w2^2*SIN(RADIANS($A678))+P2_b*E678^2*SIN(RADIANS(B678)))/(P2_b*COS(RADIANS(B678)))</f>
        <v>-1.09078246197942</v>
      </c>
      <c r="H678" s="42" t="n">
        <f aca="false">-P2_a*P2_al2*SIN(RADIANS($A678))-P2_a*P2_w2^2*COS(RADIANS($A678))+P2_b*G678*SIN(RADIANS(B678))+P2_b*E678^2*COS(RADIANS(B678))</f>
        <v>-398.372396724764</v>
      </c>
      <c r="I678" s="45" t="n">
        <v>45</v>
      </c>
    </row>
    <row r="679" customFormat="false" ht="15" hidden="false" customHeight="false" outlineLevel="0" collapsed="false">
      <c r="A679" s="41" t="n">
        <v>336.5</v>
      </c>
      <c r="B679" s="42" t="n">
        <f aca="false">180-DEGREES(ASIN((P2_a*SIN(RADIANS($A679))-P2_c)/P2_b))</f>
        <v>177.375724704566</v>
      </c>
      <c r="C679" s="42" t="n">
        <f aca="false">P2_a*COS(RADIANS($A679))-P2_b*COS(RADIANS(B679))</f>
        <v>163.958668998065</v>
      </c>
      <c r="D679" s="43" t="n">
        <f aca="false">90-DEGREES(ASIN(ABS((P2_a*SIN(RADIANS($A679))-P2_c)/P2_b)))</f>
        <v>87.3757247045658</v>
      </c>
      <c r="E679" s="44" t="n">
        <f aca="false">P2_a*P2_w2*COS(RADIANS($A679))/(P2_b*COS(RADIANS(B679)))</f>
        <v>-0.764711238442782</v>
      </c>
      <c r="F679" s="42" t="n">
        <f aca="false">-P2_a*P2_w2*SIN(RADIANS($A679))+P2_b*E679*SIN(RADIANS(B679))</f>
        <v>39.2230016271913</v>
      </c>
      <c r="G679" s="44" t="n">
        <f aca="false">(P2_a*P2_al2*COS(RADIANS($A679))-P2_a*P2_w2^2*SIN(RADIANS($A679))+P2_b*E679^2*SIN(RADIANS(B679)))/(P2_b*COS(RADIANS(B679)))</f>
        <v>-1.07140125552112</v>
      </c>
      <c r="H679" s="42" t="n">
        <f aca="false">-P2_a*P2_al2*SIN(RADIANS($A679))-P2_a*P2_w2^2*COS(RADIANS($A679))+P2_b*G679*SIN(RADIANS(B679))+P2_b*E679^2*COS(RADIANS(B679))</f>
        <v>-400.371460434889</v>
      </c>
      <c r="I679" s="45" t="n">
        <v>45</v>
      </c>
    </row>
    <row r="680" customFormat="false" ht="15" hidden="false" customHeight="false" outlineLevel="0" collapsed="false">
      <c r="A680" s="41" t="n">
        <v>337</v>
      </c>
      <c r="B680" s="42" t="n">
        <f aca="false">180-DEGREES(ASIN((P2_a*SIN(RADIANS($A680))-P2_c)/P2_b))</f>
        <v>177.253781730475</v>
      </c>
      <c r="C680" s="42" t="n">
        <f aca="false">P2_a*COS(RADIANS($A680))-P2_b*COS(RADIANS(B680))</f>
        <v>164.066074608212</v>
      </c>
      <c r="D680" s="43" t="n">
        <f aca="false">90-DEGREES(ASIN(ABS((P2_a*SIN(RADIANS($A680))-P2_c)/P2_b)))</f>
        <v>87.2537817304754</v>
      </c>
      <c r="E680" s="44" t="n">
        <f aca="false">P2_a*P2_w2*COS(RADIANS($A680))/(P2_b*COS(RADIANS(B680)))</f>
        <v>-0.767660368615026</v>
      </c>
      <c r="F680" s="42" t="n">
        <f aca="false">-P2_a*P2_w2*SIN(RADIANS($A680))+P2_b*E680*SIN(RADIANS(B680))</f>
        <v>38.1081321997662</v>
      </c>
      <c r="G680" s="44" t="n">
        <f aca="false">(P2_a*P2_al2*COS(RADIANS($A680))-P2_a*P2_w2^2*SIN(RADIANS($A680))+P2_b*E680^2*SIN(RADIANS(B680)))/(P2_b*COS(RADIANS(B680)))</f>
        <v>-1.05196304130673</v>
      </c>
      <c r="H680" s="42" t="n">
        <f aca="false">-P2_a*P2_al2*SIN(RADIANS($A680))-P2_a*P2_w2^2*COS(RADIANS($A680))+P2_b*G680*SIN(RADIANS(B680))+P2_b*E680^2*COS(RADIANS(B680))</f>
        <v>-402.327289282293</v>
      </c>
      <c r="I680" s="45" t="n">
        <v>45</v>
      </c>
    </row>
    <row r="681" customFormat="false" ht="15" hidden="false" customHeight="false" outlineLevel="0" collapsed="false">
      <c r="A681" s="41" t="n">
        <v>337.5</v>
      </c>
      <c r="B681" s="42" t="n">
        <f aca="false">180-DEGREES(ASIN((P2_a*SIN(RADIANS($A681))-P2_c)/P2_b))</f>
        <v>177.13137368868</v>
      </c>
      <c r="C681" s="42" t="n">
        <f aca="false">P2_a*COS(RADIANS($A681))-P2_b*COS(RADIANS(B681))</f>
        <v>164.170375869175</v>
      </c>
      <c r="D681" s="43" t="n">
        <f aca="false">90-DEGREES(ASIN(ABS((P2_a*SIN(RADIANS($A681))-P2_c)/P2_b)))</f>
        <v>87.1313736886804</v>
      </c>
      <c r="E681" s="44" t="n">
        <f aca="false">P2_a*P2_w2*COS(RADIANS($A681))/(P2_b*COS(RADIANS(B681)))</f>
        <v>-0.770555425594718</v>
      </c>
      <c r="F681" s="42" t="n">
        <f aca="false">-P2_a*P2_w2*SIN(RADIANS($A681))+P2_b*E681*SIN(RADIANS(B681))</f>
        <v>36.9878904083045</v>
      </c>
      <c r="G681" s="44" t="n">
        <f aca="false">(P2_a*P2_al2*COS(RADIANS($A681))-P2_a*P2_w2^2*SIN(RADIANS($A681))+P2_b*E681^2*SIN(RADIANS(B681)))/(P2_b*COS(RADIANS(B681)))</f>
        <v>-1.03246870281925</v>
      </c>
      <c r="H681" s="42" t="n">
        <f aca="false">-P2_a*P2_al2*SIN(RADIANS($A681))-P2_a*P2_w2^2*COS(RADIANS($A681))+P2_b*G681*SIN(RADIANS(B681))+P2_b*E681^2*COS(RADIANS(B681))</f>
        <v>-404.239499053516</v>
      </c>
      <c r="I681" s="45" t="n">
        <v>45</v>
      </c>
    </row>
    <row r="682" customFormat="false" ht="15" hidden="false" customHeight="false" outlineLevel="0" collapsed="false">
      <c r="A682" s="41" t="n">
        <v>338</v>
      </c>
      <c r="B682" s="42" t="n">
        <f aca="false">180-DEGREES(ASIN((P2_a*SIN(RADIANS($A682))-P2_c)/P2_b))</f>
        <v>177.008509197539</v>
      </c>
      <c r="C682" s="42" t="n">
        <f aca="false">P2_a*COS(RADIANS($A682))-P2_b*COS(RADIANS(B682))</f>
        <v>164.271558026491</v>
      </c>
      <c r="D682" s="43" t="n">
        <f aca="false">90-DEGREES(ASIN(ABS((P2_a*SIN(RADIANS($A682))-P2_c)/P2_b)))</f>
        <v>87.0085091975388</v>
      </c>
      <c r="E682" s="44" t="n">
        <f aca="false">P2_a*P2_w2*COS(RADIANS($A682))/(P2_b*COS(RADIANS(B682)))</f>
        <v>-0.773396254689988</v>
      </c>
      <c r="F682" s="42" t="n">
        <f aca="false">-P2_a*P2_w2*SIN(RADIANS($A682))+P2_b*E682*SIN(RADIANS(B682))</f>
        <v>35.8623979429122</v>
      </c>
      <c r="G682" s="44" t="n">
        <f aca="false">(P2_a*P2_al2*COS(RADIANS($A682))-P2_a*P2_w2^2*SIN(RADIANS($A682))+P2_b*E682^2*SIN(RADIANS(B682)))/(P2_b*COS(RADIANS(B682)))</f>
        <v>-1.01291910785969</v>
      </c>
      <c r="H682" s="42" t="n">
        <f aca="false">-P2_a*P2_al2*SIN(RADIANS($A682))-P2_a*P2_w2^2*COS(RADIANS($A682))+P2_b*G682*SIN(RADIANS(B682))+P2_b*E682^2*COS(RADIANS(B682))</f>
        <v>-406.107712127586</v>
      </c>
      <c r="I682" s="45" t="n">
        <v>45</v>
      </c>
    </row>
    <row r="683" customFormat="false" ht="15" hidden="false" customHeight="false" outlineLevel="0" collapsed="false">
      <c r="A683" s="41" t="n">
        <v>338.5</v>
      </c>
      <c r="B683" s="42" t="n">
        <f aca="false">180-DEGREES(ASIN((P2_a*SIN(RADIANS($A683))-P2_c)/P2_b))</f>
        <v>176.885196899838</v>
      </c>
      <c r="C683" s="42" t="n">
        <f aca="false">P2_a*COS(RADIANS($A683))-P2_b*COS(RADIANS(B683))</f>
        <v>164.369606665174</v>
      </c>
      <c r="D683" s="43" t="n">
        <f aca="false">90-DEGREES(ASIN(ABS((P2_a*SIN(RADIANS($A683))-P2_c)/P2_b)))</f>
        <v>86.8851968998378</v>
      </c>
      <c r="E683" s="44" t="n">
        <f aca="false">P2_a*P2_w2*COS(RADIANS($A683))/(P2_b*COS(RADIANS(B683)))</f>
        <v>-0.776182703597963</v>
      </c>
      <c r="F683" s="42" t="n">
        <f aca="false">-P2_a*P2_w2*SIN(RADIANS($A683))+P2_b*E683*SIN(RADIANS(B683))</f>
        <v>34.7317775334244</v>
      </c>
      <c r="G683" s="44" t="n">
        <f aca="false">(P2_a*P2_al2*COS(RADIANS($A683))-P2_a*P2_w2^2*SIN(RADIANS($A683))+P2_b*E683^2*SIN(RADIANS(B683)))/(P2_b*COS(RADIANS(B683)))</f>
        <v>-0.993315108737049</v>
      </c>
      <c r="H683" s="42" t="n">
        <f aca="false">-P2_a*P2_al2*SIN(RADIANS($A683))-P2_a*P2_w2^2*COS(RADIANS($A683))+P2_b*G683*SIN(RADIANS(B683))+P2_b*E683^2*COS(RADIANS(B683))</f>
        <v>-407.931557529788</v>
      </c>
      <c r="I683" s="45" t="n">
        <v>45</v>
      </c>
    </row>
    <row r="684" customFormat="false" ht="15" hidden="false" customHeight="false" outlineLevel="0" collapsed="false">
      <c r="A684" s="41" t="n">
        <v>339</v>
      </c>
      <c r="B684" s="42" t="n">
        <f aca="false">180-DEGREES(ASIN((P2_a*SIN(RADIANS($A684))-P2_c)/P2_b))</f>
        <v>176.761445462417</v>
      </c>
      <c r="C684" s="42" t="n">
        <f aca="false">P2_a*COS(RADIANS($A684))-P2_b*COS(RADIANS(B684))</f>
        <v>164.464507712578</v>
      </c>
      <c r="D684" s="43" t="n">
        <f aca="false">90-DEGREES(ASIN(ABS((P2_a*SIN(RADIANS($A684))-P2_c)/P2_b)))</f>
        <v>86.7614454624168</v>
      </c>
      <c r="E684" s="44" t="n">
        <f aca="false">P2_a*P2_w2*COS(RADIANS($A684))/(P2_b*COS(RADIANS(B684)))</f>
        <v>-0.778914622362007</v>
      </c>
      <c r="F684" s="42" t="n">
        <f aca="false">-P2_a*P2_w2*SIN(RADIANS($A684))+P2_b*E684*SIN(RADIANS(B684))</f>
        <v>33.5961529308696</v>
      </c>
      <c r="G684" s="44" t="n">
        <f aca="false">(P2_a*P2_al2*COS(RADIANS($A684))-P2_a*P2_w2^2*SIN(RADIANS($A684))+P2_b*E684^2*SIN(RADIANS(B684)))/(P2_b*COS(RADIANS(B684)))</f>
        <v>-0.973657542469529</v>
      </c>
      <c r="H684" s="42" t="n">
        <f aca="false">-P2_a*P2_al2*SIN(RADIANS($A684))-P2_a*P2_w2^2*COS(RADIANS($A684))+P2_b*G684*SIN(RADIANS(B684))+P2_b*E684^2*COS(RADIANS(B684))</f>
        <v>-409.710670984281</v>
      </c>
      <c r="I684" s="45" t="n">
        <v>45</v>
      </c>
    </row>
    <row r="685" customFormat="false" ht="15" hidden="false" customHeight="false" outlineLevel="0" collapsed="false">
      <c r="A685" s="41" t="n">
        <v>339.5</v>
      </c>
      <c r="B685" s="42" t="n">
        <f aca="false">180-DEGREES(ASIN((P2_a*SIN(RADIANS($A685))-P2_c)/P2_b))</f>
        <v>176.637263575798</v>
      </c>
      <c r="C685" s="42" t="n">
        <f aca="false">P2_a*COS(RADIANS($A685))-P2_b*COS(RADIANS(B685))</f>
        <v>164.556247441205</v>
      </c>
      <c r="D685" s="43" t="n">
        <f aca="false">90-DEGREES(ASIN(ABS((P2_a*SIN(RADIANS($A685))-P2_c)/P2_b)))</f>
        <v>86.637263575798</v>
      </c>
      <c r="E685" s="44" t="n">
        <f aca="false">P2_a*P2_w2*COS(RADIANS($A685))/(P2_b*COS(RADIANS(B685)))</f>
        <v>-0.781591863329544</v>
      </c>
      <c r="F685" s="42" t="n">
        <f aca="false">-P2_a*P2_w2*SIN(RADIANS($A685))+P2_b*E685*SIN(RADIANS(B685))</f>
        <v>32.4556488887895</v>
      </c>
      <c r="G685" s="44" t="n">
        <f aca="false">(P2_a*P2_al2*COS(RADIANS($A685))-P2_a*P2_w2^2*SIN(RADIANS($A685))+P2_b*E685^2*SIN(RADIANS(B685)))/(P2_b*COS(RADIANS(B685)))</f>
        <v>-0.953947230996849</v>
      </c>
      <c r="H685" s="42" t="n">
        <f aca="false">-P2_a*P2_al2*SIN(RADIANS($A685))-P2_a*P2_w2^2*COS(RADIANS($A685))+P2_b*G685*SIN(RADIANS(B685))+P2_b*E685^2*COS(RADIANS(B685))</f>
        <v>-411.44469496556</v>
      </c>
      <c r="I685" s="45" t="n">
        <v>45</v>
      </c>
    </row>
    <row r="686" customFormat="false" ht="15" hidden="false" customHeight="false" outlineLevel="0" collapsed="false">
      <c r="A686" s="41" t="n">
        <v>340</v>
      </c>
      <c r="B686" s="42" t="n">
        <f aca="false">180-DEGREES(ASIN((P2_a*SIN(RADIANS($A686))-P2_c)/P2_b))</f>
        <v>176.512659953823</v>
      </c>
      <c r="C686" s="42" t="n">
        <f aca="false">P2_a*COS(RADIANS($A686))-P2_b*COS(RADIANS(B686))</f>
        <v>164.644812471466</v>
      </c>
      <c r="D686" s="43" t="n">
        <f aca="false">90-DEGREES(ASIN(ABS((P2_a*SIN(RADIANS($A686))-P2_c)/P2_b)))</f>
        <v>86.5126599538225</v>
      </c>
      <c r="E686" s="44" t="n">
        <f aca="false">P2_a*P2_w2*COS(RADIANS($A686))/(P2_b*COS(RADIANS(B686)))</f>
        <v>-0.784214281110477</v>
      </c>
      <c r="F686" s="42" t="n">
        <f aca="false">-P2_a*P2_w2*SIN(RADIANS($A686))+P2_b*E686*SIN(RADIANS(B686))</f>
        <v>31.3103911444187</v>
      </c>
      <c r="G686" s="44" t="n">
        <f aca="false">(P2_a*P2_al2*COS(RADIANS($A686))-P2_a*P2_w2^2*SIN(RADIANS($A686))+P2_b*E686^2*SIN(RADIANS(B686)))/(P2_b*COS(RADIANS(B686)))</f>
        <v>-0.934184981403542</v>
      </c>
      <c r="H686" s="42" t="n">
        <f aca="false">-P2_a*P2_al2*SIN(RADIANS($A686))-P2_a*P2_w2^2*COS(RADIANS($A686))+P2_b*G686*SIN(RADIANS(B686))+P2_b*E686^2*COS(RADIANS(B686))</f>
        <v>-413.133278748828</v>
      </c>
      <c r="I686" s="45" t="n">
        <v>45</v>
      </c>
    </row>
    <row r="687" customFormat="false" ht="15" hidden="false" customHeight="false" outlineLevel="0" collapsed="false">
      <c r="A687" s="41" t="n">
        <v>340.5</v>
      </c>
      <c r="B687" s="42" t="n">
        <f aca="false">180-DEGREES(ASIN((P2_a*SIN(RADIANS($A687))-P2_c)/P2_b))</f>
        <v>176.387643333294</v>
      </c>
      <c r="C687" s="42" t="n">
        <f aca="false">P2_a*COS(RADIANS($A687))-P2_b*COS(RADIANS(B687))</f>
        <v>164.730189774385</v>
      </c>
      <c r="D687" s="43" t="n">
        <f aca="false">90-DEGREES(ASIN(ABS((P2_a*SIN(RADIANS($A687))-P2_c)/P2_b)))</f>
        <v>86.3876433332936</v>
      </c>
      <c r="E687" s="44" t="n">
        <f aca="false">P2_a*P2_w2*COS(RADIANS($A687))/(P2_b*COS(RADIANS(B687)))</f>
        <v>-0.78678173253625</v>
      </c>
      <c r="F687" s="42" t="n">
        <f aca="false">-P2_a*P2_w2*SIN(RADIANS($A687))+P2_b*E687*SIN(RADIANS(B687))</f>
        <v>30.1605063997245</v>
      </c>
      <c r="G687" s="44" t="n">
        <f aca="false">(P2_a*P2_al2*COS(RADIANS($A687))-P2_a*P2_w2^2*SIN(RADIANS($A687))+P2_b*E687^2*SIN(RADIANS(B687)))/(P2_b*COS(RADIANS(B687)))</f>
        <v>-0.914371586153025</v>
      </c>
      <c r="H687" s="42" t="n">
        <f aca="false">-P2_a*P2_al2*SIN(RADIANS($A687))-P2_a*P2_w2^2*COS(RADIANS($A687))+P2_b*G687*SIN(RADIANS(B687))+P2_b*E687^2*COS(RADIANS(B687))</f>
        <v>-414.776078459292</v>
      </c>
      <c r="I687" s="45" t="n">
        <v>45</v>
      </c>
    </row>
    <row r="688" customFormat="false" ht="15" hidden="false" customHeight="false" outlineLevel="0" collapsed="false">
      <c r="A688" s="41" t="n">
        <v>341</v>
      </c>
      <c r="B688" s="42" t="n">
        <f aca="false">180-DEGREES(ASIN((P2_a*SIN(RADIANS($A688))-P2_c)/P2_b))</f>
        <v>176.262222473627</v>
      </c>
      <c r="C688" s="42" t="n">
        <f aca="false">P2_a*COS(RADIANS($A688))-P2_b*COS(RADIANS(B688))</f>
        <v>164.812366674257</v>
      </c>
      <c r="D688" s="43" t="n">
        <f aca="false">90-DEGREES(ASIN(ABS((P2_a*SIN(RADIANS($A688))-P2_c)/P2_b)))</f>
        <v>86.2622224736265</v>
      </c>
      <c r="E688" s="44" t="n">
        <f aca="false">P2_a*P2_w2*COS(RADIANS($A688))/(P2_b*COS(RADIANS(B688)))</f>
        <v>-0.789294076619569</v>
      </c>
      <c r="F688" s="42" t="n">
        <f aca="false">-P2_a*P2_w2*SIN(RADIANS($A688))+P2_b*E688*SIN(RADIANS(B688))</f>
        <v>29.0061223023122</v>
      </c>
      <c r="G688" s="44" t="n">
        <f aca="false">(P2_a*P2_al2*COS(RADIANS($A688))-P2_a*P2_w2^2*SIN(RADIANS($A688))+P2_b*E688^2*SIN(RADIANS(B688)))/(P2_b*COS(RADIANS(B688)))</f>
        <v>-0.894507823332334</v>
      </c>
      <c r="H688" s="42" t="n">
        <f aca="false">-P2_a*P2_al2*SIN(RADIANS($A688))-P2_a*P2_w2^2*COS(RADIANS($A688))+P2_b*G688*SIN(RADIANS(B688))+P2_b*E688^2*COS(RADIANS(B688))</f>
        <v>-416.372757120423</v>
      </c>
      <c r="I688" s="45" t="n">
        <v>45</v>
      </c>
    </row>
    <row r="689" customFormat="false" ht="15" hidden="false" customHeight="false" outlineLevel="0" collapsed="false">
      <c r="A689" s="41" t="n">
        <v>341.5</v>
      </c>
      <c r="B689" s="42" t="n">
        <f aca="false">180-DEGREES(ASIN((P2_a*SIN(RADIANS($A689))-P2_c)/P2_b))</f>
        <v>176.136406156504</v>
      </c>
      <c r="C689" s="42" t="n">
        <f aca="false">P2_a*COS(RADIANS($A689))-P2_b*COS(RADIANS(B689))</f>
        <v>164.891330851242</v>
      </c>
      <c r="D689" s="43" t="n">
        <f aca="false">90-DEGREES(ASIN(ABS((P2_a*SIN(RADIANS($A689))-P2_c)/P2_b)))</f>
        <v>86.1364061565043</v>
      </c>
      <c r="E689" s="44" t="n">
        <f aca="false">P2_a*P2_w2*COS(RADIANS($A689))/(P2_b*COS(RADIANS(B689)))</f>
        <v>-0.791751174514817</v>
      </c>
      <c r="F689" s="42" t="n">
        <f aca="false">-P2_a*P2_w2*SIN(RADIANS($A689))+P2_b*E689*SIN(RADIANS(B689))</f>
        <v>27.8473674261975</v>
      </c>
      <c r="G689" s="44" t="n">
        <f aca="false">(P2_a*P2_al2*COS(RADIANS($A689))-P2_a*P2_w2^2*SIN(RADIANS($A689))+P2_b*E689^2*SIN(RADIANS(B689)))/(P2_b*COS(RADIANS(B689)))</f>
        <v>-0.874594456907322</v>
      </c>
      <c r="H689" s="42" t="n">
        <f aca="false">-P2_a*P2_al2*SIN(RADIANS($A689))-P2_a*P2_w2^2*COS(RADIANS($A689))+P2_b*G689*SIN(RADIANS(B689))+P2_b*E689^2*COS(RADIANS(B689))</f>
        <v>-417.922984701221</v>
      </c>
      <c r="I689" s="45" t="n">
        <v>45</v>
      </c>
    </row>
    <row r="690" customFormat="false" ht="15" hidden="false" customHeight="false" outlineLevel="0" collapsed="false">
      <c r="A690" s="41" t="n">
        <v>342</v>
      </c>
      <c r="B690" s="42" t="n">
        <f aca="false">180-DEGREES(ASIN((P2_a*SIN(RADIANS($A690))-P2_c)/P2_b))</f>
        <v>176.01020318554</v>
      </c>
      <c r="C690" s="42" t="n">
        <f aca="false">P2_a*COS(RADIANS($A690))-P2_b*COS(RADIANS(B690))</f>
        <v>164.967070343914</v>
      </c>
      <c r="D690" s="43" t="n">
        <f aca="false">90-DEGREES(ASIN(ABS((P2_a*SIN(RADIANS($A690))-P2_c)/P2_b)))</f>
        <v>86.0102031855402</v>
      </c>
      <c r="E690" s="44" t="n">
        <f aca="false">P2_a*P2_w2*COS(RADIANS($A690))/(P2_b*COS(RADIANS(B690)))</f>
        <v>-0.794152889479201</v>
      </c>
      <c r="F690" s="42" t="n">
        <f aca="false">-P2_a*P2_w2*SIN(RADIANS($A690))+P2_b*E690*SIN(RADIANS(B690))</f>
        <v>26.6843712524481</v>
      </c>
      <c r="G690" s="44" t="n">
        <f aca="false">(P2_a*P2_al2*COS(RADIANS($A690))-P2_a*P2_w2^2*SIN(RADIANS($A690))+P2_b*E690^2*SIN(RADIANS(B690)))/(P2_b*COS(RADIANS(B690)))</f>
        <v>-0.8546322369882</v>
      </c>
      <c r="H690" s="42" t="n">
        <f aca="false">-P2_a*P2_al2*SIN(RADIANS($A690))-P2_a*P2_w2^2*COS(RADIANS($A690))+P2_b*G690*SIN(RADIANS(B690))+P2_b*E690^2*COS(RADIANS(B690))</f>
        <v>-419.426438162505</v>
      </c>
      <c r="I690" s="45" t="n">
        <v>45</v>
      </c>
    </row>
    <row r="691" customFormat="false" ht="15" hidden="false" customHeight="false" outlineLevel="0" collapsed="false">
      <c r="A691" s="41" t="n">
        <v>342.5</v>
      </c>
      <c r="B691" s="42" t="n">
        <f aca="false">180-DEGREES(ASIN((P2_a*SIN(RADIANS($A691))-P2_c)/P2_b))</f>
        <v>175.883622385946</v>
      </c>
      <c r="C691" s="42" t="n">
        <f aca="false">P2_a*COS(RADIANS($A691))-P2_b*COS(RADIANS(B691))</f>
        <v>165.039573551757</v>
      </c>
      <c r="D691" s="43" t="n">
        <f aca="false">90-DEGREES(ASIN(ABS((P2_a*SIN(RADIANS($A691))-P2_c)/P2_b)))</f>
        <v>85.8836223859459</v>
      </c>
      <c r="E691" s="44" t="n">
        <f aca="false">P2_a*P2_w2*COS(RADIANS($A691))/(P2_b*COS(RADIANS(B691)))</f>
        <v>-0.796499086834639</v>
      </c>
      <c r="F691" s="42" t="n">
        <f aca="false">-P2_a*P2_w2*SIN(RADIANS($A691))+P2_b*E691*SIN(RADIANS(B691))</f>
        <v>25.5172641496999</v>
      </c>
      <c r="G691" s="44" t="n">
        <f aca="false">(P2_a*P2_al2*COS(RADIANS($A691))-P2_a*P2_w2^2*SIN(RADIANS($A691))+P2_b*E691^2*SIN(RADIANS(B691)))/(P2_b*COS(RADIANS(B691)))</f>
        <v>-0.834621900105262</v>
      </c>
      <c r="H691" s="42" t="n">
        <f aca="false">-P2_a*P2_al2*SIN(RADIANS($A691))-P2_a*P2_w2^2*COS(RADIANS($A691))+P2_b*G691*SIN(RADIANS(B691))+P2_b*E691^2*COS(RADIANS(B691))</f>
        <v>-420.88280150227</v>
      </c>
      <c r="I691" s="45" t="n">
        <v>45</v>
      </c>
    </row>
    <row r="692" customFormat="false" ht="15" hidden="false" customHeight="false" outlineLevel="0" collapsed="false">
      <c r="A692" s="41" t="n">
        <v>343</v>
      </c>
      <c r="B692" s="42" t="n">
        <f aca="false">180-DEGREES(ASIN((P2_a*SIN(RADIANS($A692))-P2_c)/P2_b))</f>
        <v>175.756672604206</v>
      </c>
      <c r="C692" s="42" t="n">
        <f aca="false">P2_a*COS(RADIANS($A692))-P2_b*COS(RADIANS(B692))</f>
        <v>165.108829237597</v>
      </c>
      <c r="D692" s="43" t="n">
        <f aca="false">90-DEGREES(ASIN(ABS((P2_a*SIN(RADIANS($A692))-P2_c)/P2_b)))</f>
        <v>85.7566726042059</v>
      </c>
      <c r="E692" s="44" t="n">
        <f aca="false">P2_a*P2_w2*COS(RADIANS($A692))/(P2_b*COS(RADIANS(B692)))</f>
        <v>-0.798789633930438</v>
      </c>
      <c r="F692" s="42" t="n">
        <f aca="false">-P2_a*P2_w2*SIN(RADIANS($A692))+P2_b*E692*SIN(RADIANS(B692))</f>
        <v>24.3461773545461</v>
      </c>
      <c r="G692" s="44" t="n">
        <f aca="false">(P2_a*P2_al2*COS(RADIANS($A692))-P2_a*P2_w2^2*SIN(RADIANS($A692))+P2_b*E692^2*SIN(RADIANS(B692)))/(P2_b*COS(RADIANS(B692)))</f>
        <v>-0.814564169494612</v>
      </c>
      <c r="H692" s="42" t="n">
        <f aca="false">-P2_a*P2_al2*SIN(RADIANS($A692))-P2_a*P2_w2^2*COS(RADIANS($A692))+P2_b*G692*SIN(RADIANS(B692))+P2_b*E692^2*COS(RADIANS(B692))</f>
        <v>-422.291765800151</v>
      </c>
      <c r="I692" s="45" t="n">
        <v>45</v>
      </c>
    </row>
    <row r="693" customFormat="false" ht="15" hidden="false" customHeight="false" outlineLevel="0" collapsed="false">
      <c r="A693" s="41" t="n">
        <v>343.5</v>
      </c>
      <c r="B693" s="42" t="n">
        <f aca="false">180-DEGREES(ASIN((P2_a*SIN(RADIANS($A693))-P2_c)/P2_b))</f>
        <v>175.629362707758</v>
      </c>
      <c r="C693" s="42" t="n">
        <f aca="false">P2_a*COS(RADIANS($A693))-P2_b*COS(RADIANS(B693))</f>
        <v>165.174826529991</v>
      </c>
      <c r="D693" s="43" t="n">
        <f aca="false">90-DEGREES(ASIN(ABS((P2_a*SIN(RADIANS($A693))-P2_c)/P2_b)))</f>
        <v>85.6293627077578</v>
      </c>
      <c r="E693" s="44" t="n">
        <f aca="false">P2_a*P2_w2*COS(RADIANS($A693))/(P2_b*COS(RADIANS(B693)))</f>
        <v>-0.80102440010677</v>
      </c>
      <c r="F693" s="42" t="n">
        <f aca="false">-P2_a*P2_w2*SIN(RADIANS($A693))+P2_b*E693*SIN(RADIANS(B693))</f>
        <v>23.1712429518064</v>
      </c>
      <c r="G693" s="44" t="n">
        <f aca="false">(P2_a*P2_al2*COS(RADIANS($A693))-P2_a*P2_w2^2*SIN(RADIANS($A693))+P2_b*E693^2*SIN(RADIANS(B693)))/(P2_b*COS(RADIANS(B693)))</f>
        <v>-0.794459755393779</v>
      </c>
      <c r="H693" s="42" t="n">
        <f aca="false">-P2_a*P2_al2*SIN(RADIANS($A693))-P2_a*P2_w2^2*COS(RADIANS($A693))+P2_b*G693*SIN(RADIANS(B693))+P2_b*E693^2*COS(RADIANS(B693))</f>
        <v>-423.653029261006</v>
      </c>
      <c r="I693" s="45" t="n">
        <v>45</v>
      </c>
    </row>
    <row r="694" customFormat="false" ht="15" hidden="false" customHeight="false" outlineLevel="0" collapsed="false">
      <c r="A694" s="41" t="n">
        <v>344</v>
      </c>
      <c r="B694" s="42" t="n">
        <f aca="false">180-DEGREES(ASIN((P2_a*SIN(RADIANS($A694))-P2_c)/P2_b))</f>
        <v>175.501701584679</v>
      </c>
      <c r="C694" s="42" t="n">
        <f aca="false">P2_a*COS(RADIANS($A694))-P2_b*COS(RADIANS(B694))</f>
        <v>165.23755492555</v>
      </c>
      <c r="D694" s="43" t="n">
        <f aca="false">90-DEGREES(ASIN(ABS((P2_a*SIN(RADIANS($A694))-P2_c)/P2_b)))</f>
        <v>85.5017015846785</v>
      </c>
      <c r="E694" s="44" t="n">
        <f aca="false">P2_a*P2_w2*COS(RADIANS($A694))/(P2_b*COS(RADIANS(B694)))</f>
        <v>-0.803203256658985</v>
      </c>
      <c r="F694" s="42" t="n">
        <f aca="false">-P2_a*P2_w2*SIN(RADIANS($A694))+P2_b*E694*SIN(RADIANS(B694))</f>
        <v>21.9925938546743</v>
      </c>
      <c r="G694" s="44" t="n">
        <f aca="false">(P2_a*P2_al2*COS(RADIANS($A694))-P2_a*P2_w2^2*SIN(RADIANS($A694))+P2_b*E694^2*SIN(RADIANS(B694)))/(P2_b*COS(RADIANS(B694)))</f>
        <v>-0.774309355347042</v>
      </c>
      <c r="H694" s="42" t="n">
        <f aca="false">-P2_a*P2_al2*SIN(RADIANS($A694))-P2_a*P2_w2^2*COS(RADIANS($A694))+P2_b*G694*SIN(RADIANS(B694))+P2_b*E694^2*COS(RADIANS(B694))</f>
        <v>-424.966297257674</v>
      </c>
      <c r="I694" s="45" t="n">
        <v>45</v>
      </c>
    </row>
    <row r="695" customFormat="false" ht="15" hidden="false" customHeight="false" outlineLevel="0" collapsed="false">
      <c r="A695" s="41" t="n">
        <v>344.5</v>
      </c>
      <c r="B695" s="42" t="n">
        <f aca="false">180-DEGREES(ASIN((P2_a*SIN(RADIANS($A695))-P2_c)/P2_b))</f>
        <v>175.373698143375</v>
      </c>
      <c r="C695" s="42" t="n">
        <f aca="false">P2_a*COS(RADIANS($A695))-P2_b*COS(RADIANS(B695))</f>
        <v>165.297004291221</v>
      </c>
      <c r="D695" s="43" t="n">
        <f aca="false">90-DEGREES(ASIN(ABS((P2_a*SIN(RADIANS($A695))-P2_c)/P2_b)))</f>
        <v>85.3736981433754</v>
      </c>
      <c r="E695" s="44" t="n">
        <f aca="false">P2_a*P2_w2*COS(RADIANS($A695))/(P2_b*COS(RADIANS(B695)))</f>
        <v>-0.805326076802792</v>
      </c>
      <c r="F695" s="42" t="n">
        <f aca="false">-P2_a*P2_w2*SIN(RADIANS($A695))+P2_b*E695*SIN(RADIANS(B695))</f>
        <v>20.8103637847481</v>
      </c>
      <c r="G695" s="44" t="n">
        <f aca="false">(P2_a*P2_al2*COS(RADIANS($A695))-P2_a*P2_w2^2*SIN(RADIANS($A695))+P2_b*E695^2*SIN(RADIANS(B695)))/(P2_b*COS(RADIANS(B695)))</f>
        <v>-0.75411365452031</v>
      </c>
      <c r="H695" s="42" t="n">
        <f aca="false">-P2_a*P2_al2*SIN(RADIANS($A695))-P2_a*P2_w2^2*COS(RADIANS($A695))+P2_b*G695*SIN(RADIANS(B695))+P2_b*E695^2*COS(RADIANS(B695))</f>
        <v>-426.231282372926</v>
      </c>
      <c r="I695" s="45" t="n">
        <v>45</v>
      </c>
    </row>
    <row r="696" customFormat="false" ht="15" hidden="false" customHeight="false" outlineLevel="0" collapsed="false">
      <c r="A696" s="41" t="n">
        <v>345</v>
      </c>
      <c r="B696" s="42" t="n">
        <f aca="false">180-DEGREES(ASIN((P2_a*SIN(RADIANS($A696))-P2_c)/P2_b))</f>
        <v>175.245361312284</v>
      </c>
      <c r="C696" s="42" t="n">
        <f aca="false">P2_a*COS(RADIANS($A696))-P2_b*COS(RADIANS(B696))</f>
        <v>165.353164866495</v>
      </c>
      <c r="D696" s="43" t="n">
        <f aca="false">90-DEGREES(ASIN(ABS((P2_a*SIN(RADIANS($A696))-P2_c)/P2_b)))</f>
        <v>85.2453613122837</v>
      </c>
      <c r="E696" s="44" t="n">
        <f aca="false">P2_a*P2_w2*COS(RADIANS($A696))/(P2_b*COS(RADIANS(B696)))</f>
        <v>-0.807392735640322</v>
      </c>
      <c r="F696" s="42" t="n">
        <f aca="false">-P2_a*P2_w2*SIN(RADIANS($A696))+P2_b*E696*SIN(RADIANS(B696))</f>
        <v>19.6246872519456</v>
      </c>
      <c r="G696" s="44" t="n">
        <f aca="false">(P2_a*P2_al2*COS(RADIANS($A696))-P2_a*P2_w2^2*SIN(RADIANS($A696))+P2_b*E696^2*SIN(RADIANS(B696)))/(P2_b*COS(RADIANS(B696)))</f>
        <v>-0.733873326025425</v>
      </c>
      <c r="H696" s="42" t="n">
        <f aca="false">-P2_a*P2_al2*SIN(RADIANS($A696))-P2_a*P2_w2^2*COS(RADIANS($A696))+P2_b*G696*SIN(RADIANS(B696))+P2_b*E696^2*COS(RADIANS(B696))</f>
        <v>-427.447704440647</v>
      </c>
      <c r="I696" s="45" t="n">
        <v>45</v>
      </c>
    </row>
    <row r="697" customFormat="false" ht="15" hidden="false" customHeight="false" outlineLevel="0" collapsed="false">
      <c r="A697" s="41" t="n">
        <v>345.5</v>
      </c>
      <c r="B697" s="42" t="n">
        <f aca="false">180-DEGREES(ASIN((P2_a*SIN(RADIANS($A697))-P2_c)/P2_b))</f>
        <v>175.116700039569</v>
      </c>
      <c r="C697" s="42" t="n">
        <f aca="false">P2_a*COS(RADIANS($A697))-P2_b*COS(RADIANS(B697))</f>
        <v>165.406027265575</v>
      </c>
      <c r="D697" s="43" t="n">
        <f aca="false">90-DEGREES(ASIN(ABS((P2_a*SIN(RADIANS($A697))-P2_c)/P2_b)))</f>
        <v>85.1167000395689</v>
      </c>
      <c r="E697" s="44" t="n">
        <f aca="false">P2_a*P2_w2*COS(RADIANS($A697))/(P2_b*COS(RADIANS(B697)))</f>
        <v>-0.809403110127102</v>
      </c>
      <c r="F697" s="42" t="n">
        <f aca="false">-P2_a*P2_w2*SIN(RADIANS($A697))+P2_b*E697*SIN(RADIANS(B697))</f>
        <v>18.435699534306</v>
      </c>
      <c r="G697" s="44" t="n">
        <f aca="false">(P2_a*P2_al2*COS(RADIANS($A697))-P2_a*P2_w2^2*SIN(RADIANS($A697))+P2_b*E697^2*SIN(RADIANS(B697)))/(P2_b*COS(RADIANS(B697)))</f>
        <v>-0.713589031253727</v>
      </c>
      <c r="H697" s="42" t="n">
        <f aca="false">-P2_a*P2_al2*SIN(RADIANS($A697))-P2_a*P2_w2^2*COS(RADIANS($A697))+P2_b*G697*SIN(RADIANS(B697))+P2_b*E697^2*COS(RADIANS(B697))</f>
        <v>-428.615290586275</v>
      </c>
      <c r="I697" s="45" t="n">
        <v>45</v>
      </c>
    </row>
    <row r="698" customFormat="false" ht="15" hidden="false" customHeight="false" outlineLevel="0" collapsed="false">
      <c r="A698" s="41" t="n">
        <v>346</v>
      </c>
      <c r="B698" s="42" t="n">
        <f aca="false">180-DEGREES(ASIN((P2_a*SIN(RADIANS($A698))-P2_c)/P2_b))</f>
        <v>174.987723292834</v>
      </c>
      <c r="C698" s="42" t="n">
        <f aca="false">P2_a*COS(RADIANS($A698))-P2_b*COS(RADIANS(B698))</f>
        <v>165.455582479479</v>
      </c>
      <c r="D698" s="43" t="n">
        <f aca="false">90-DEGREES(ASIN(ABS((P2_a*SIN(RADIANS($A698))-P2_c)/P2_b)))</f>
        <v>84.9877232928342</v>
      </c>
      <c r="E698" s="44" t="n">
        <f aca="false">P2_a*P2_w2*COS(RADIANS($A698))/(P2_b*COS(RADIANS(B698)))</f>
        <v>-0.811357079039976</v>
      </c>
      <c r="F698" s="42" t="n">
        <f aca="false">-P2_a*P2_w2*SIN(RADIANS($A698))+P2_b*E698*SIN(RADIANS(B698))</f>
        <v>17.2435366576802</v>
      </c>
      <c r="G698" s="44" t="n">
        <f aca="false">(P2_a*P2_al2*COS(RADIANS($A698))-P2_a*P2_w2^2*SIN(RADIANS($A698))+P2_b*E698^2*SIN(RADIANS(B698)))/(P2_b*COS(RADIANS(B698)))</f>
        <v>-0.693261420218731</v>
      </c>
      <c r="H698" s="42" t="n">
        <f aca="false">-P2_a*P2_al2*SIN(RADIANS($A698))-P2_a*P2_w2^2*COS(RADIANS($A698))+P2_b*G698*SIN(RADIANS(B698))+P2_b*E698^2*COS(RADIANS(B698))</f>
        <v>-429.733775266538</v>
      </c>
      <c r="I698" s="45" t="n">
        <v>45</v>
      </c>
    </row>
    <row r="699" customFormat="false" ht="15" hidden="false" customHeight="false" outlineLevel="0" collapsed="false">
      <c r="A699" s="41" t="n">
        <v>346.5</v>
      </c>
      <c r="B699" s="42" t="n">
        <f aca="false">180-DEGREES(ASIN((P2_a*SIN(RADIANS($A699))-P2_c)/P2_b))</f>
        <v>174.858440058833</v>
      </c>
      <c r="C699" s="42" t="n">
        <f aca="false">P2_a*COS(RADIANS($A699))-P2_b*COS(RADIANS(B699))</f>
        <v>165.50182187809</v>
      </c>
      <c r="D699" s="43" t="n">
        <f aca="false">90-DEGREES(ASIN(ABS((P2_a*SIN(RADIANS($A699))-P2_c)/P2_b)))</f>
        <v>84.8584400588331</v>
      </c>
      <c r="E699" s="44" t="n">
        <f aca="false">P2_a*P2_w2*COS(RADIANS($A699))/(P2_b*COS(RADIANS(B699)))</f>
        <v>-0.813254522945984</v>
      </c>
      <c r="F699" s="42" t="n">
        <f aca="false">-P2_a*P2_w2*SIN(RADIANS($A699))+P2_b*E699*SIN(RADIANS(B699))</f>
        <v>16.0483353753116</v>
      </c>
      <c r="G699" s="44" t="n">
        <f aca="false">(P2_a*P2_al2*COS(RADIANS($A699))-P2_a*P2_w2^2*SIN(RADIANS($A699))+P2_b*E699^2*SIN(RADIANS(B699)))/(P2_b*COS(RADIANS(B699)))</f>
        <v>-0.672891131907757</v>
      </c>
      <c r="H699" s="42" t="n">
        <f aca="false">-P2_a*P2_al2*SIN(RADIANS($A699))-P2_a*P2_w2^2*COS(RADIANS($A699))+P2_b*G699*SIN(RADIANS(B699))+P2_b*E699^2*COS(RADIANS(B699))</f>
        <v>-430.802900308505</v>
      </c>
      <c r="I699" s="45" t="n">
        <v>45</v>
      </c>
    </row>
    <row r="700" customFormat="false" ht="15" hidden="false" customHeight="false" outlineLevel="0" collapsed="false">
      <c r="A700" s="41" t="n">
        <v>347</v>
      </c>
      <c r="B700" s="42" t="n">
        <f aca="false">180-DEGREES(ASIN((P2_a*SIN(RADIANS($A700))-P2_c)/P2_b))</f>
        <v>174.728859343187</v>
      </c>
      <c r="C700" s="42" t="n">
        <f aca="false">P2_a*COS(RADIANS($A700))-P2_b*COS(RADIANS(B700))</f>
        <v>165.544737212149</v>
      </c>
      <c r="D700" s="43" t="n">
        <f aca="false">90-DEGREES(ASIN(ABS((P2_a*SIN(RADIANS($A700))-P2_c)/P2_b)))</f>
        <v>84.7288593431873</v>
      </c>
      <c r="E700" s="44" t="n">
        <f aca="false">P2_a*P2_w2*COS(RADIANS($A700))/(P2_b*COS(RADIANS(B700)))</f>
        <v>-0.815095324172231</v>
      </c>
      <c r="F700" s="42" t="n">
        <f aca="false">-P2_a*P2_w2*SIN(RADIANS($A700))+P2_b*E700*SIN(RADIANS(B700))</f>
        <v>14.8502331473096</v>
      </c>
      <c r="G700" s="44" t="n">
        <f aca="false">(P2_a*P2_al2*COS(RADIANS($A700))-P2_a*P2_w2^2*SIN(RADIANS($A700))+P2_b*E700^2*SIN(RADIANS(B700)))/(P2_b*COS(RADIANS(B700)))</f>
        <v>-0.652478794642405</v>
      </c>
      <c r="H700" s="42" t="n">
        <f aca="false">-P2_a*P2_al2*SIN(RADIANS($A700))-P2_a*P2_w2^2*COS(RADIANS($A700))+P2_b*G700*SIN(RADIANS(B700))+P2_b*E700^2*COS(RADIANS(B700))</f>
        <v>-431.822414948004</v>
      </c>
      <c r="I700" s="45" t="n">
        <v>45</v>
      </c>
    </row>
    <row r="701" customFormat="false" ht="15" hidden="false" customHeight="false" outlineLevel="0" collapsed="false">
      <c r="A701" s="41" t="n">
        <v>347.5</v>
      </c>
      <c r="B701" s="42" t="n">
        <f aca="false">180-DEGREES(ASIN((P2_a*SIN(RADIANS($A701))-P2_c)/P2_b))</f>
        <v>174.598990170108</v>
      </c>
      <c r="C701" s="42" t="n">
        <f aca="false">P2_a*COS(RADIANS($A701))-P2_b*COS(RADIANS(B701))</f>
        <v>165.584320615185</v>
      </c>
      <c r="D701" s="43" t="n">
        <f aca="false">90-DEGREES(ASIN(ABS((P2_a*SIN(RADIANS($A701))-P2_c)/P2_b)))</f>
        <v>84.5989901701083</v>
      </c>
      <c r="E701" s="44" t="n">
        <f aca="false">P2_a*P2_w2*COS(RADIANS($A701))/(P2_b*COS(RADIANS(B701)))</f>
        <v>-0.816879366776776</v>
      </c>
      <c r="F701" s="42" t="n">
        <f aca="false">-P2_a*P2_w2*SIN(RADIANS($A701))+P2_b*E701*SIN(RADIANS(B701))</f>
        <v>13.6493681200168</v>
      </c>
      <c r="G701" s="44" t="n">
        <f aca="false">(P2_a*P2_al2*COS(RADIANS($A701))-P2_a*P2_w2^2*SIN(RADIANS($A701))+P2_b*E701^2*SIN(RADIANS(B701)))/(P2_b*COS(RADIANS(B701)))</f>
        <v>-0.632025026447661</v>
      </c>
      <c r="H701" s="42" t="n">
        <f aca="false">-P2_a*P2_al2*SIN(RADIANS($A701))-P2_a*P2_w2^2*COS(RADIANS($A701))+P2_b*G701*SIN(RADIANS(B701))+P2_b*E701^2*COS(RADIANS(B701))</f>
        <v>-432.792075867405</v>
      </c>
      <c r="I701" s="45" t="n">
        <v>45</v>
      </c>
    </row>
    <row r="702" customFormat="false" ht="15" hidden="false" customHeight="false" outlineLevel="0" collapsed="false">
      <c r="A702" s="41" t="n">
        <v>348</v>
      </c>
      <c r="B702" s="42" t="n">
        <f aca="false">180-DEGREES(ASIN((P2_a*SIN(RADIANS($A702))-P2_c)/P2_b))</f>
        <v>174.468841582125</v>
      </c>
      <c r="C702" s="42" t="n">
        <f aca="false">P2_a*COS(RADIANS($A702))-P2_b*COS(RADIANS(B702))</f>
        <v>165.6205646054</v>
      </c>
      <c r="D702" s="43" t="n">
        <f aca="false">90-DEGREES(ASIN(ABS((P2_a*SIN(RADIANS($A702))-P2_c)/P2_b)))</f>
        <v>84.4688415821246</v>
      </c>
      <c r="E702" s="44" t="n">
        <f aca="false">P2_a*P2_w2*COS(RADIANS($A702))/(P2_b*COS(RADIANS(B702)))</f>
        <v>-0.818606536520546</v>
      </c>
      <c r="F702" s="42" t="n">
        <f aca="false">-P2_a*P2_w2*SIN(RADIANS($A702))+P2_b*E702*SIN(RADIANS(B702))</f>
        <v>12.4458791052728</v>
      </c>
      <c r="G702" s="44" t="n">
        <f aca="false">(P2_a*P2_al2*COS(RADIANS($A702))-P2_a*P2_w2^2*SIN(RADIANS($A702))+P2_b*E702^2*SIN(RADIANS(B702)))/(P2_b*COS(RADIANS(B702)))</f>
        <v>-0.61153043542957</v>
      </c>
      <c r="H702" s="42" t="n">
        <f aca="false">-P2_a*P2_al2*SIN(RADIANS($A702))-P2_a*P2_w2^2*COS(RADIANS($A702))+P2_b*G702*SIN(RADIANS(B702))+P2_b*E702^2*COS(RADIANS(B702))</f>
        <v>-433.711647232829</v>
      </c>
      <c r="I702" s="45" t="n">
        <v>45</v>
      </c>
    </row>
    <row r="703" customFormat="false" ht="15" hidden="false" customHeight="false" outlineLevel="0" collapsed="false">
      <c r="A703" s="41" t="n">
        <v>348.5</v>
      </c>
      <c r="B703" s="42" t="n">
        <f aca="false">180-DEGREES(ASIN((P2_a*SIN(RADIANS($A703))-P2_c)/P2_b))</f>
        <v>174.338422639813</v>
      </c>
      <c r="C703" s="42" t="n">
        <f aca="false">P2_a*COS(RADIANS($A703))-P2_b*COS(RADIANS(B703))</f>
        <v>165.653462087481</v>
      </c>
      <c r="D703" s="43" t="n">
        <f aca="false">90-DEGREES(ASIN(ABS((P2_a*SIN(RADIANS($A703))-P2_c)/P2_b)))</f>
        <v>84.3384226398127</v>
      </c>
      <c r="E703" s="44" t="n">
        <f aca="false">P2_a*P2_w2*COS(RADIANS($A703))/(P2_b*COS(RADIANS(B703)))</f>
        <v>-0.820276720840324</v>
      </c>
      <c r="F703" s="42" t="n">
        <f aca="false">-P2_a*P2_w2*SIN(RADIANS($A703))+P2_b*E703*SIN(RADIANS(B703))</f>
        <v>11.2399055595745</v>
      </c>
      <c r="G703" s="44" t="n">
        <f aca="false">(P2_a*P2_al2*COS(RADIANS($A703))-P2_a*P2_w2^2*SIN(RADIANS($A703))+P2_b*E703^2*SIN(RADIANS(B703)))/(P2_b*COS(RADIANS(B703)))</f>
        <v>-0.590995620161246</v>
      </c>
      <c r="H703" s="42" t="n">
        <f aca="false">-P2_a*P2_al2*SIN(RADIANS($A703))-P2_a*P2_w2^2*COS(RADIANS($A703))+P2_b*G703*SIN(RADIANS(B703))+P2_b*E703^2*COS(RADIANS(B703))</f>
        <v>-434.58090073079</v>
      </c>
      <c r="I703" s="45" t="n">
        <v>45</v>
      </c>
    </row>
    <row r="704" customFormat="false" ht="15" hidden="false" customHeight="false" outlineLevel="0" collapsed="false">
      <c r="A704" s="41" t="n">
        <v>349</v>
      </c>
      <c r="B704" s="42" t="n">
        <f aca="false">180-DEGREES(ASIN((P2_a*SIN(RADIANS($A704))-P2_c)/P2_b))</f>
        <v>174.207742421532</v>
      </c>
      <c r="C704" s="42" t="n">
        <f aca="false">P2_a*COS(RADIANS($A704))-P2_b*COS(RADIANS(B704))</f>
        <v>165.683006354369</v>
      </c>
      <c r="D704" s="43" t="n">
        <f aca="false">90-DEGREES(ASIN(ABS((P2_a*SIN(RADIANS($A704))-P2_c)/P2_b)))</f>
        <v>84.2077424215324</v>
      </c>
      <c r="E704" s="44" t="n">
        <f aca="false">P2_a*P2_w2*COS(RADIANS($A704))/(P2_b*COS(RADIANS(B704)))</f>
        <v>-0.821889808822808</v>
      </c>
      <c r="F704" s="42" t="n">
        <f aca="false">-P2_a*P2_w2*SIN(RADIANS($A704))+P2_b*E704*SIN(RADIANS(B704))</f>
        <v>10.0315875631364</v>
      </c>
      <c r="G704" s="44" t="n">
        <f aca="false">(P2_a*P2_al2*COS(RADIANS($A704))-P2_a*P2_w2^2*SIN(RADIANS($A704))+P2_b*E704^2*SIN(RADIANS(B704)))/(P2_b*COS(RADIANS(B704)))</f>
        <v>-0.570421170077151</v>
      </c>
      <c r="H704" s="42" t="n">
        <f aca="false">-P2_a*P2_al2*SIN(RADIANS($A704))-P2_a*P2_w2^2*COS(RADIANS($A704))+P2_b*G704*SIN(RADIANS(B704))+P2_b*E704^2*COS(RADIANS(B704))</f>
        <v>-435.399615604305</v>
      </c>
      <c r="I704" s="45" t="n">
        <v>45</v>
      </c>
    </row>
    <row r="705" customFormat="false" ht="15" hidden="false" customHeight="false" outlineLevel="0" collapsed="false">
      <c r="A705" s="41" t="n">
        <v>349.5</v>
      </c>
      <c r="B705" s="42" t="n">
        <f aca="false">180-DEGREES(ASIN((P2_a*SIN(RADIANS($A705))-P2_c)/P2_b))</f>
        <v>174.076810023166</v>
      </c>
      <c r="C705" s="42" t="n">
        <f aca="false">P2_a*COS(RADIANS($A705))-P2_b*COS(RADIANS(B705))</f>
        <v>165.709191088955</v>
      </c>
      <c r="D705" s="43" t="n">
        <f aca="false">90-DEGREES(ASIN(ABS((P2_a*SIN(RADIANS($A705))-P2_c)/P2_b)))</f>
        <v>84.0768100231662</v>
      </c>
      <c r="E705" s="44" t="n">
        <f aca="false">P2_a*P2_w2*COS(RADIANS($A705))/(P2_b*COS(RADIANS(B705)))</f>
        <v>-0.823445691179789</v>
      </c>
      <c r="F705" s="42" t="n">
        <f aca="false">-P2_a*P2_w2*SIN(RADIANS($A705))+P2_b*E705*SIN(RADIANS(B705))</f>
        <v>8.82106579885023</v>
      </c>
      <c r="G705" s="44" t="n">
        <f aca="false">(P2_a*P2_al2*COS(RADIANS($A705))-P2_a*P2_w2^2*SIN(RADIANS($A705))+P2_b*E705^2*SIN(RADIANS(B705)))/(P2_b*COS(RADIANS(B705)))</f>
        <v>-0.549807665875445</v>
      </c>
      <c r="H705" s="42" t="n">
        <f aca="false">-P2_a*P2_al2*SIN(RADIANS($A705))-P2_a*P2_w2^2*COS(RADIANS($A705))+P2_b*G705*SIN(RADIANS(B705))+P2_b*E705^2*COS(RADIANS(B705))</f>
        <v>-436.167578688506</v>
      </c>
      <c r="I705" s="45" t="n">
        <v>45</v>
      </c>
    </row>
    <row r="706" customFormat="false" ht="15" hidden="false" customHeight="false" outlineLevel="0" collapsed="false">
      <c r="A706" s="41" t="n">
        <v>350</v>
      </c>
      <c r="B706" s="42" t="n">
        <f aca="false">180-DEGREES(ASIN((P2_a*SIN(RADIANS($A706))-P2_c)/P2_b))</f>
        <v>173.945634557863</v>
      </c>
      <c r="C706" s="42" t="n">
        <f aca="false">P2_a*COS(RADIANS($A706))-P2_b*COS(RADIANS(B706))</f>
        <v>165.732010365731</v>
      </c>
      <c r="D706" s="43" t="n">
        <f aca="false">90-DEGREES(ASIN(ABS((P2_a*SIN(RADIANS($A706))-P2_c)/P2_b)))</f>
        <v>83.9456345578629</v>
      </c>
      <c r="E706" s="44" t="n">
        <f aca="false">P2_a*P2_w2*COS(RADIANS($A706))/(P2_b*COS(RADIANS(B706)))</f>
        <v>-0.824944260224448</v>
      </c>
      <c r="F706" s="42" t="n">
        <f aca="false">-P2_a*P2_w2*SIN(RADIANS($A706))+P2_b*E706*SIN(RADIANS(B706))</f>
        <v>7.60848153114688</v>
      </c>
      <c r="G706" s="44" t="n">
        <f aca="false">(P2_a*P2_al2*COS(RADIANS($A706))-P2_a*P2_w2^2*SIN(RADIANS($A706))+P2_b*E706^2*SIN(RADIANS(B706)))/(P2_b*COS(RADIANS(B706)))</f>
        <v>-0.529155679928278</v>
      </c>
      <c r="H706" s="42" t="n">
        <f aca="false">-P2_a*P2_al2*SIN(RADIANS($A706))-P2_a*P2_w2^2*COS(RADIANS($A706))+P2_b*G706*SIN(RADIANS(B706))+P2_b*E706^2*COS(RADIANS(B706))</f>
        <v>-436.884584445761</v>
      </c>
      <c r="I706" s="45" t="n">
        <v>45</v>
      </c>
    </row>
    <row r="707" customFormat="false" ht="15" hidden="false" customHeight="false" outlineLevel="0" collapsed="false">
      <c r="A707" s="41" t="n">
        <v>350.5</v>
      </c>
      <c r="B707" s="42" t="n">
        <f aca="false">180-DEGREES(ASIN((P2_a*SIN(RADIANS($A707))-P2_c)/P2_b))</f>
        <v>173.814225155784</v>
      </c>
      <c r="C707" s="42" t="n">
        <f aca="false">P2_a*COS(RADIANS($A707))-P2_b*COS(RADIANS(B707))</f>
        <v>165.751458652372</v>
      </c>
      <c r="D707" s="43" t="n">
        <f aca="false">90-DEGREES(ASIN(ABS((P2_a*SIN(RADIANS($A707))-P2_c)/P2_b)))</f>
        <v>83.8142251557838</v>
      </c>
      <c r="E707" s="44" t="n">
        <f aca="false">P2_a*P2_w2*COS(RADIANS($A707))/(P2_b*COS(RADIANS(B707)))</f>
        <v>-0.826385409848806</v>
      </c>
      <c r="F707" s="42" t="n">
        <f aca="false">-P2_a*P2_w2*SIN(RADIANS($A707))+P2_b*E707*SIN(RADIANS(B707))</f>
        <v>6.39397658476196</v>
      </c>
      <c r="G707" s="44" t="n">
        <f aca="false">(P2_a*P2_al2*COS(RADIANS($A707))-P2_a*P2_w2^2*SIN(RADIANS($A707))+P2_b*E707^2*SIN(RADIANS(B707)))/(P2_b*COS(RADIANS(B707)))</f>
        <v>-0.508465776699916</v>
      </c>
      <c r="H707" s="42" t="n">
        <f aca="false">-P2_a*P2_al2*SIN(RADIANS($A707))-P2_a*P2_w2^2*COS(RADIANS($A707))+P2_b*G707*SIN(RADIANS(B707))+P2_b*E707^2*COS(RADIANS(B707))</f>
        <v>-437.550435000355</v>
      </c>
      <c r="I707" s="45" t="n">
        <v>45</v>
      </c>
    </row>
    <row r="708" customFormat="false" ht="15" hidden="false" customHeight="false" outlineLevel="0" collapsed="false">
      <c r="A708" s="41" t="n">
        <v>351</v>
      </c>
      <c r="B708" s="42" t="n">
        <f aca="false">180-DEGREES(ASIN((P2_a*SIN(RADIANS($A708))-P2_c)/P2_b))</f>
        <v>173.682590963854</v>
      </c>
      <c r="C708" s="42" t="n">
        <f aca="false">P2_a*COS(RADIANS($A708))-P2_b*COS(RADIANS(B708))</f>
        <v>165.767530811264</v>
      </c>
      <c r="D708" s="43" t="n">
        <f aca="false">90-DEGREES(ASIN(ABS((P2_a*SIN(RADIANS($A708))-P2_c)/P2_b)))</f>
        <v>83.6825909638541</v>
      </c>
      <c r="E708" s="44" t="n">
        <f aca="false">P2_a*P2_w2*COS(RADIANS($A708))/(P2_b*COS(RADIANS(B708)))</f>
        <v>-0.827769035502351</v>
      </c>
      <c r="F708" s="42" t="n">
        <f aca="false">-P2_a*P2_w2*SIN(RADIANS($A708))+P2_b*E708*SIN(RADIANS(B708))</f>
        <v>5.17769332340408</v>
      </c>
      <c r="G708" s="44" t="n">
        <f aca="false">(P2_a*P2_al2*COS(RADIANS($A708))-P2_a*P2_w2^2*SIN(RADIANS($A708))+P2_b*E708^2*SIN(RADIANS(B708)))/(P2_b*COS(RADIANS(B708)))</f>
        <v>-0.487738513172487</v>
      </c>
      <c r="H708" s="42" t="n">
        <f aca="false">-P2_a*P2_al2*SIN(RADIANS($A708))-P2_a*P2_w2^2*COS(RADIANS($A708))+P2_b*G708*SIN(RADIANS(B708))+P2_b*E708^2*COS(RADIANS(B708))</f>
        <v>-438.164940172739</v>
      </c>
      <c r="I708" s="45" t="n">
        <v>45</v>
      </c>
    </row>
    <row r="709" customFormat="false" ht="15" hidden="false" customHeight="false" outlineLevel="0" collapsed="false">
      <c r="A709" s="41" t="n">
        <v>351.5</v>
      </c>
      <c r="B709" s="42" t="n">
        <f aca="false">180-DEGREES(ASIN((P2_a*SIN(RADIANS($A709))-P2_c)/P2_b))</f>
        <v>173.550741145516</v>
      </c>
      <c r="C709" s="42" t="n">
        <f aca="false">P2_a*COS(RADIANS($A709))-P2_b*COS(RADIANS(B709))</f>
        <v>165.780222100974</v>
      </c>
      <c r="D709" s="43" t="n">
        <f aca="false">90-DEGREES(ASIN(ABS((P2_a*SIN(RADIANS($A709))-P2_c)/P2_b)))</f>
        <v>83.5507411455158</v>
      </c>
      <c r="E709" s="44" t="n">
        <f aca="false">P2_a*P2_w2*COS(RADIANS($A709))/(P2_b*COS(RADIANS(B709)))</f>
        <v>-0.829095034171852</v>
      </c>
      <c r="F709" s="42" t="n">
        <f aca="false">-P2_a*P2_w2*SIN(RADIANS($A709))+P2_b*E709*SIN(RADIANS(B709))</f>
        <v>3.95977462833056</v>
      </c>
      <c r="G709" s="44" t="n">
        <f aca="false">(P2_a*P2_al2*COS(RADIANS($A709))-P2_a*P2_w2^2*SIN(RADIANS($A709))+P2_b*E709^2*SIN(RADIANS(B709)))/(P2_b*COS(RADIANS(B709)))</f>
        <v>-0.466974439279294</v>
      </c>
      <c r="H709" s="42" t="n">
        <f aca="false">-P2_a*P2_al2*SIN(RADIANS($A709))-P2_a*P2_w2^2*COS(RADIANS($A709))+P2_b*G709*SIN(RADIANS(B709))+P2_b*E709^2*COS(RADIANS(B709))</f>
        <v>-438.72791751337</v>
      </c>
      <c r="I709" s="45" t="n">
        <v>45</v>
      </c>
    </row>
    <row r="710" customFormat="false" ht="15" hidden="false" customHeight="false" outlineLevel="0" collapsed="false">
      <c r="A710" s="41" t="n">
        <v>352</v>
      </c>
      <c r="B710" s="42" t="n">
        <f aca="false">180-DEGREES(ASIN((P2_a*SIN(RADIANS($A710))-P2_c)/P2_b))</f>
        <v>173.418684880485</v>
      </c>
      <c r="C710" s="42" t="n">
        <f aca="false">P2_a*COS(RADIANS($A710))-P2_b*COS(RADIANS(B710))</f>
        <v>165.789528177651</v>
      </c>
      <c r="D710" s="43" t="n">
        <f aca="false">90-DEGREES(ASIN(ABS((P2_a*SIN(RADIANS($A710))-P2_c)/P2_b)))</f>
        <v>83.4186848804849</v>
      </c>
      <c r="E710" s="44" t="n">
        <f aca="false">P2_a*P2_w2*COS(RADIANS($A710))/(P2_b*COS(RADIANS(B710)))</f>
        <v>-0.830363304362389</v>
      </c>
      <c r="F710" s="42" t="n">
        <f aca="false">-P2_a*P2_w2*SIN(RADIANS($A710))+P2_b*E710*SIN(RADIANS(B710))</f>
        <v>2.74036387682772</v>
      </c>
      <c r="G710" s="44" t="n">
        <f aca="false">(P2_a*P2_al2*COS(RADIANS($A710))-P2_a*P2_w2^2*SIN(RADIANS($A710))+P2_b*E710^2*SIN(RADIANS(B710)))/(P2_b*COS(RADIANS(B710)))</f>
        <v>-0.44617409834546</v>
      </c>
      <c r="H710" s="42" t="n">
        <f aca="false">-P2_a*P2_al2*SIN(RADIANS($A710))-P2_a*P2_w2^2*COS(RADIANS($A710))+P2_b*G710*SIN(RADIANS(B710))+P2_b*E710^2*COS(RADIANS(B710))</f>
        <v>-439.23919233618</v>
      </c>
      <c r="I710" s="45" t="n">
        <v>45</v>
      </c>
    </row>
    <row r="711" customFormat="false" ht="15" hidden="false" customHeight="false" outlineLevel="0" collapsed="false">
      <c r="A711" s="41" t="n">
        <v>352.5</v>
      </c>
      <c r="B711" s="42" t="n">
        <f aca="false">180-DEGREES(ASIN((P2_a*SIN(RADIANS($A711))-P2_c)/P2_b))</f>
        <v>173.286431364511</v>
      </c>
      <c r="C711" s="42" t="n">
        <f aca="false">P2_a*COS(RADIANS($A711))-P2_b*COS(RADIANS(B711))</f>
        <v>165.795445096382</v>
      </c>
      <c r="D711" s="43" t="n">
        <f aca="false">90-DEGREES(ASIN(ABS((P2_a*SIN(RADIANS($A711))-P2_c)/P2_b)))</f>
        <v>83.2864313645114</v>
      </c>
      <c r="E711" s="44" t="n">
        <f aca="false">P2_a*P2_w2*COS(RADIANS($A711))/(P2_b*COS(RADIANS(B711)))</f>
        <v>-0.831573746079618</v>
      </c>
      <c r="F711" s="42" t="n">
        <f aca="false">-P2_a*P2_w2*SIN(RADIANS($A711))+P2_b*E711*SIN(RADIANS(B711))</f>
        <v>1.51960492060014</v>
      </c>
      <c r="G711" s="44" t="n">
        <f aca="false">(P2_a*P2_al2*COS(RADIANS($A711))-P2_a*P2_w2^2*SIN(RADIANS($A711))+P2_b*E711^2*SIN(RADIANS(B711)))/(P2_b*COS(RADIANS(B711)))</f>
        <v>-0.425338027535857</v>
      </c>
      <c r="H711" s="42" t="n">
        <f aca="false">-P2_a*P2_al2*SIN(RADIANS($A711))-P2_a*P2_w2^2*COS(RADIANS($A711))+P2_b*G711*SIN(RADIANS(B711))+P2_b*E711^2*COS(RADIANS(B711))</f>
        <v>-439.69859775168</v>
      </c>
      <c r="I711" s="45" t="n">
        <v>45</v>
      </c>
    </row>
    <row r="712" customFormat="false" ht="15" hidden="false" customHeight="false" outlineLevel="0" collapsed="false">
      <c r="A712" s="41" t="n">
        <v>353</v>
      </c>
      <c r="B712" s="42" t="n">
        <f aca="false">180-DEGREES(ASIN((P2_a*SIN(RADIANS($A712))-P2_c)/P2_b))</f>
        <v>173.153989809141</v>
      </c>
      <c r="C712" s="42" t="n">
        <f aca="false">P2_a*COS(RADIANS($A712))-P2_b*COS(RADIANS(B712))</f>
        <v>165.797969312474</v>
      </c>
      <c r="D712" s="43" t="n">
        <f aca="false">90-DEGREES(ASIN(ABS((P2_a*SIN(RADIANS($A712))-P2_c)/P2_b)))</f>
        <v>83.1539898091414</v>
      </c>
      <c r="E712" s="44" t="n">
        <f aca="false">P2_a*P2_w2*COS(RADIANS($A712))/(P2_b*COS(RADIANS(B712)))</f>
        <v>-0.83272626081329</v>
      </c>
      <c r="F712" s="42" t="n">
        <f aca="false">-P2_a*P2_w2*SIN(RADIANS($A712))+P2_b*E712*SIN(RADIANS(B712))</f>
        <v>0.297642064067968</v>
      </c>
      <c r="G712" s="44" t="n">
        <f aca="false">(P2_a*P2_al2*COS(RADIANS($A712))-P2_a*P2_w2^2*SIN(RADIANS($A712))+P2_b*E712^2*SIN(RADIANS(B712)))/(P2_b*COS(RADIANS(B712)))</f>
        <v>-0.404466758310095</v>
      </c>
      <c r="H712" s="42" t="n">
        <f aca="false">-P2_a*P2_al2*SIN(RADIANS($A712))-P2_a*P2_w2^2*COS(RADIANS($A712))+P2_b*G712*SIN(RADIANS(B712))+P2_b*E712^2*COS(RADIANS(B712))</f>
        <v>-440.105974699733</v>
      </c>
      <c r="I712" s="45" t="n">
        <v>45</v>
      </c>
    </row>
    <row r="713" customFormat="false" ht="15" hidden="false" customHeight="false" outlineLevel="0" collapsed="false">
      <c r="A713" s="41" t="n">
        <v>353.5</v>
      </c>
      <c r="B713" s="42" t="n">
        <f aca="false">180-DEGREES(ASIN((P2_a*SIN(RADIANS($A713))-P2_c)/P2_b))</f>
        <v>173.021369441482</v>
      </c>
      <c r="C713" s="42" t="n">
        <f aca="false">P2_a*COS(RADIANS($A713))-P2_b*COS(RADIANS(B713))</f>
        <v>165.797097682684</v>
      </c>
      <c r="D713" s="43" t="n">
        <f aca="false">90-DEGREES(ASIN(ABS((P2_a*SIN(RADIANS($A713))-P2_c)/P2_b)))</f>
        <v>83.0213694414824</v>
      </c>
      <c r="E713" s="44" t="n">
        <f aca="false">P2_a*P2_w2*COS(RADIANS($A713))/(P2_b*COS(RADIANS(B713)))</f>
        <v>-0.833820751522044</v>
      </c>
      <c r="F713" s="42" t="n">
        <f aca="false">-P2_a*P2_w2*SIN(RADIANS($A713))+P2_b*E713*SIN(RADIANS(B713))</f>
        <v>-0.925379957427127</v>
      </c>
      <c r="G713" s="44" t="n">
        <f aca="false">(P2_a*P2_al2*COS(RADIANS($A713))-P2_a*P2_w2^2*SIN(RADIANS($A713))+P2_b*E713^2*SIN(RADIANS(B713)))/(P2_b*COS(RADIANS(B713)))</f>
        <v>-0.383560816884481</v>
      </c>
      <c r="H713" s="42" t="n">
        <f aca="false">-P2_a*P2_al2*SIN(RADIANS($A713))-P2_a*P2_w2^2*COS(RADIANS($A713))+P2_b*G713*SIN(RADIANS(B713))+P2_b*E713^2*COS(RADIANS(B713))</f>
        <v>-440.461171982013</v>
      </c>
      <c r="I713" s="45" t="n">
        <v>45</v>
      </c>
    </row>
    <row r="714" customFormat="false" ht="15" hidden="false" customHeight="false" outlineLevel="0" collapsed="false">
      <c r="A714" s="41" t="n">
        <v>354</v>
      </c>
      <c r="B714" s="42" t="n">
        <f aca="false">180-DEGREES(ASIN((P2_a*SIN(RADIANS($A714))-P2_c)/P2_b))</f>
        <v>172.88857950397</v>
      </c>
      <c r="C714" s="42" t="n">
        <f aca="false">P2_a*COS(RADIANS($A714))-P2_b*COS(RADIANS(B714))</f>
        <v>165.792827466384</v>
      </c>
      <c r="D714" s="43" t="n">
        <f aca="false">90-DEGREES(ASIN(ABS((P2_a*SIN(RADIANS($A714))-P2_c)/P2_b)))</f>
        <v>82.8885795039704</v>
      </c>
      <c r="E714" s="44" t="n">
        <f aca="false">P2_a*P2_w2*COS(RADIANS($A714))/(P2_b*COS(RADIANS(B714)))</f>
        <v>-0.834857122619487</v>
      </c>
      <c r="F714" s="42" t="n">
        <f aca="false">-P2_a*P2_w2*SIN(RADIANS($A714))+P2_b*E714*SIN(RADIANS(B714))</f>
        <v>-2.14931599950399</v>
      </c>
      <c r="G714" s="44" t="n">
        <f aca="false">(P2_a*P2_al2*COS(RADIANS($A714))-P2_a*P2_w2^2*SIN(RADIANS($A714))+P2_b*E714^2*SIN(RADIANS(B714)))/(P2_b*COS(RADIANS(B714)))</f>
        <v>-0.362620724700802</v>
      </c>
      <c r="H714" s="42" t="n">
        <f aca="false">-P2_a*P2_al2*SIN(RADIANS($A714))-P2_a*P2_w2^2*COS(RADIANS($A714))+P2_b*G714*SIN(RADIANS(B714))+P2_b*E714^2*COS(RADIANS(B714))</f>
        <v>-440.764046294159</v>
      </c>
      <c r="I714" s="45" t="n">
        <v>45</v>
      </c>
    </row>
    <row r="715" customFormat="false" ht="15" hidden="false" customHeight="false" outlineLevel="0" collapsed="false">
      <c r="A715" s="41" t="n">
        <v>354.5</v>
      </c>
      <c r="B715" s="42" t="n">
        <f aca="false">180-DEGREES(ASIN((P2_a*SIN(RADIANS($A715))-P2_c)/P2_b))</f>
        <v>172.75562925414</v>
      </c>
      <c r="C715" s="42" t="n">
        <f aca="false">P2_a*COS(RADIANS($A715))-P2_b*COS(RADIANS(B715))</f>
        <v>165.785156326667</v>
      </c>
      <c r="D715" s="43" t="n">
        <f aca="false">90-DEGREES(ASIN(ABS((P2_a*SIN(RADIANS($A715))-P2_c)/P2_b)))</f>
        <v>82.7556292541398</v>
      </c>
      <c r="E715" s="44" t="n">
        <f aca="false">P2_a*P2_w2*COS(RADIANS($A715))/(P2_b*COS(RADIANS(B715)))</f>
        <v>-0.835835279961596</v>
      </c>
      <c r="F715" s="42" t="n">
        <f aca="false">-P2_a*P2_w2*SIN(RADIANS($A715))+P2_b*E715*SIN(RADIANS(B715))</f>
        <v>-3.37402053071528</v>
      </c>
      <c r="G715" s="44" t="n">
        <f aca="false">(P2_a*P2_al2*COS(RADIANS($A715))-P2_a*P2_w2^2*SIN(RADIANS($A715))+P2_b*E715^2*SIN(RADIANS(B715)))/(P2_b*COS(RADIANS(B715)))</f>
        <v>-0.341646998901751</v>
      </c>
      <c r="H715" s="42" t="n">
        <f aca="false">-P2_a*P2_al2*SIN(RADIANS($A715))-P2_a*P2_w2^2*COS(RADIANS($A715))+P2_b*G715*SIN(RADIANS(B715))+P2_b*E715^2*COS(RADIANS(B715))</f>
        <v>-441.014462257664</v>
      </c>
      <c r="I715" s="45" t="n">
        <v>45</v>
      </c>
    </row>
    <row r="716" customFormat="false" ht="15" hidden="false" customHeight="false" outlineLevel="0" collapsed="false">
      <c r="A716" s="41" t="n">
        <v>355</v>
      </c>
      <c r="B716" s="42" t="n">
        <f aca="false">180-DEGREES(ASIN((P2_a*SIN(RADIANS($A716))-P2_c)/P2_b))</f>
        <v>172.622527964394</v>
      </c>
      <c r="C716" s="42" t="n">
        <f aca="false">P2_a*COS(RADIANS($A716))-P2_b*COS(RADIANS(B716))</f>
        <v>165.774082331394</v>
      </c>
      <c r="D716" s="43" t="n">
        <f aca="false">90-DEGREES(ASIN(ABS((P2_a*SIN(RADIANS($A716))-P2_c)/P2_b)))</f>
        <v>82.6225279643942</v>
      </c>
      <c r="E716" s="44" t="n">
        <f aca="false">P2_a*P2_w2*COS(RADIANS($A716))/(P2_b*COS(RADIANS(B716)))</f>
        <v>-0.836755130835442</v>
      </c>
      <c r="F716" s="42" t="n">
        <f aca="false">-P2_a*P2_w2*SIN(RADIANS($A716))+P2_b*E716*SIN(RADIANS(B716))</f>
        <v>-4.59934765460601</v>
      </c>
      <c r="G716" s="44" t="n">
        <f aca="false">(P2_a*P2_al2*COS(RADIANS($A716))-P2_a*P2_w2^2*SIN(RADIANS($A716))+P2_b*E716^2*SIN(RADIANS(B716)))/(P2_b*COS(RADIANS(B716)))</f>
        <v>-0.320640152812924</v>
      </c>
      <c r="H716" s="42" t="n">
        <f aca="false">-P2_a*P2_al2*SIN(RADIANS($A716))-P2_a*P2_w2^2*COS(RADIANS($A716))+P2_b*G716*SIN(RADIANS(B716))+P2_b*E716^2*COS(RADIANS(B716))</f>
        <v>-441.2122924515</v>
      </c>
      <c r="I716" s="45" t="n">
        <v>45</v>
      </c>
    </row>
    <row r="717" customFormat="false" ht="15" hidden="false" customHeight="false" outlineLevel="0" collapsed="false">
      <c r="A717" s="41" t="n">
        <v>355.5</v>
      </c>
      <c r="B717" s="42" t="n">
        <f aca="false">180-DEGREES(ASIN((P2_a*SIN(RADIANS($A717))-P2_c)/P2_b))</f>
        <v>172.48928492178</v>
      </c>
      <c r="C717" s="42" t="n">
        <f aca="false">P2_a*COS(RADIANS($A717))-P2_b*COS(RADIANS(B717))</f>
        <v>165.759603954175</v>
      </c>
      <c r="D717" s="43" t="n">
        <f aca="false">90-DEGREES(ASIN(ABS((P2_a*SIN(RADIANS($A717))-P2_c)/P2_b)))</f>
        <v>82.4892849217797</v>
      </c>
      <c r="E717" s="44" t="n">
        <f aca="false">P2_a*P2_w2*COS(RADIANS($A717))/(P2_b*COS(RADIANS(B717)))</f>
        <v>-0.837616583949262</v>
      </c>
      <c r="F717" s="42" t="n">
        <f aca="false">-P2_a*P2_w2*SIN(RADIANS($A717))+P2_b*E717*SIN(RADIANS(B717))</f>
        <v>-5.82515113186322</v>
      </c>
      <c r="G717" s="44" t="n">
        <f aca="false">(P2_a*P2_al2*COS(RADIANS($A717))-P2_a*P2_w2^2*SIN(RADIANS($A717))+P2_b*E717^2*SIN(RADIANS(B717)))/(P2_b*COS(RADIANS(B717)))</f>
        <v>-0.299600696431154</v>
      </c>
      <c r="H717" s="42" t="n">
        <f aca="false">-P2_a*P2_al2*SIN(RADIANS($A717))-P2_a*P2_w2^2*COS(RADIANS($A717))+P2_b*G717*SIN(RADIANS(B717))+P2_b*E717^2*COS(RADIANS(B717))</f>
        <v>-441.357417443502</v>
      </c>
      <c r="I717" s="45" t="n">
        <v>45</v>
      </c>
    </row>
    <row r="718" customFormat="false" ht="15" hidden="false" customHeight="false" outlineLevel="0" collapsed="false">
      <c r="A718" s="41" t="n">
        <v>356</v>
      </c>
      <c r="B718" s="42" t="n">
        <f aca="false">180-DEGREES(ASIN((P2_a*SIN(RADIANS($A718))-P2_c)/P2_b))</f>
        <v>172.35590942776</v>
      </c>
      <c r="C718" s="42" t="n">
        <f aca="false">P2_a*COS(RADIANS($A718))-P2_b*COS(RADIANS(B718))</f>
        <v>165.741720075288</v>
      </c>
      <c r="D718" s="43" t="n">
        <f aca="false">90-DEGREES(ASIN(ABS((P2_a*SIN(RADIANS($A718))-P2_c)/P2_b)))</f>
        <v>82.3559094277597</v>
      </c>
      <c r="E718" s="44" t="n">
        <f aca="false">P2_a*P2_w2*COS(RADIANS($A718))/(P2_b*COS(RADIANS(B718)))</f>
        <v>-0.8384195494239</v>
      </c>
      <c r="F718" s="42" t="n">
        <f aca="false">-P2_a*P2_w2*SIN(RADIANS($A718))+P2_b*E718*SIN(RADIANS(B718))</f>
        <v>-7.05128440254913</v>
      </c>
      <c r="G718" s="44" t="n">
        <f aca="false">(P2_a*P2_al2*COS(RADIANS($A718))-P2_a*P2_w2^2*SIN(RADIANS($A718))+P2_b*E718^2*SIN(RADIANS(B718)))/(P2_b*COS(RADIANS(B718)))</f>
        <v>-0.278529136919136</v>
      </c>
      <c r="H718" s="42" t="n">
        <f aca="false">-P2_a*P2_al2*SIN(RADIANS($A718))-P2_a*P2_w2^2*COS(RADIANS($A718))+P2_b*G718*SIN(RADIANS(B718))+P2_b*E718^2*COS(RADIANS(B718))</f>
        <v>-441.449725821524</v>
      </c>
      <c r="I718" s="45" t="n">
        <v>45</v>
      </c>
    </row>
    <row r="719" customFormat="false" ht="15" hidden="false" customHeight="false" outlineLevel="0" collapsed="false">
      <c r="A719" s="41" t="n">
        <v>356.5</v>
      </c>
      <c r="B719" s="42" t="n">
        <f aca="false">180-DEGREES(ASIN((P2_a*SIN(RADIANS($A719))-P2_c)/P2_b))</f>
        <v>172.22241079799</v>
      </c>
      <c r="C719" s="42" t="n">
        <f aca="false">P2_a*COS(RADIANS($A719))-P2_b*COS(RADIANS(B719))</f>
        <v>165.720429982545</v>
      </c>
      <c r="D719" s="43" t="n">
        <f aca="false">90-DEGREES(ASIN(ABS((P2_a*SIN(RADIANS($A719))-P2_c)/P2_b)))</f>
        <v>82.2224107979901</v>
      </c>
      <c r="E719" s="44" t="n">
        <f aca="false">P2_a*P2_w2*COS(RADIANS($A719))/(P2_b*COS(RADIANS(B719)))</f>
        <v>-0.839163938785627</v>
      </c>
      <c r="F719" s="42" t="n">
        <f aca="false">-P2_a*P2_w2*SIN(RADIANS($A719))+P2_b*E719*SIN(RADIANS(B719))</f>
        <v>-8.27760060842299</v>
      </c>
      <c r="G719" s="44" t="n">
        <f aca="false">(P2_a*P2_al2*COS(RADIANS($A719))-P2_a*P2_w2^2*SIN(RADIANS($A719))+P2_b*E719^2*SIN(RADIANS(B719)))/(P2_b*COS(RADIANS(B719)))</f>
        <v>-0.257425979106104</v>
      </c>
      <c r="H719" s="42" t="n">
        <f aca="false">-P2_a*P2_al2*SIN(RADIANS($A719))-P2_a*P2_w2^2*COS(RADIANS($A719))+P2_b*G719*SIN(RADIANS(B719))+P2_b*E719^2*COS(RADIANS(B719))</f>
        <v>-441.489114224387</v>
      </c>
      <c r="I719" s="45" t="n">
        <v>45</v>
      </c>
    </row>
    <row r="720" customFormat="false" ht="15" hidden="false" customHeight="false" outlineLevel="0" collapsed="false">
      <c r="A720" s="41" t="n">
        <v>357</v>
      </c>
      <c r="B720" s="42" t="n">
        <f aca="false">180-DEGREES(ASIN((P2_a*SIN(RADIANS($A720))-P2_c)/P2_b))</f>
        <v>172.088798362097</v>
      </c>
      <c r="C720" s="42" t="n">
        <f aca="false">P2_a*COS(RADIANS($A720))-P2_b*COS(RADIANS(B720))</f>
        <v>165.695733372084</v>
      </c>
      <c r="D720" s="43" t="n">
        <f aca="false">90-DEGREES(ASIN(ABS((P2_a*SIN(RADIANS($A720))-P2_c)/P2_b)))</f>
        <v>82.0887983620965</v>
      </c>
      <c r="E720" s="44" t="n">
        <f aca="false">P2_a*P2_w2*COS(RADIANS($A720))/(P2_b*COS(RADIANS(B720)))</f>
        <v>-0.839849664960365</v>
      </c>
      <c r="F720" s="42" t="n">
        <f aca="false">-P2_a*P2_w2*SIN(RADIANS($A720))+P2_b*E720*SIN(RADIANS(B720))</f>
        <v>-9.50395261534675</v>
      </c>
      <c r="G720" s="44" t="n">
        <f aca="false">(P2_a*P2_al2*COS(RADIANS($A720))-P2_a*P2_w2^2*SIN(RADIANS($A720))+P2_b*E720^2*SIN(RADIANS(B720)))/(P2_b*COS(RADIANS(B720)))</f>
        <v>-0.236291725994501</v>
      </c>
      <c r="H720" s="42" t="n">
        <f aca="false">-P2_a*P2_al2*SIN(RADIANS($A720))-P2_a*P2_w2^2*COS(RADIANS($A720))+P2_b*G720*SIN(RADIANS(B720))+P2_b*E720^2*COS(RADIANS(B720))</f>
        <v>-441.475487372627</v>
      </c>
      <c r="I720" s="45" t="n">
        <v>45</v>
      </c>
    </row>
    <row r="721" customFormat="false" ht="15" hidden="false" customHeight="false" outlineLevel="0" collapsed="false">
      <c r="A721" s="41" t="n">
        <v>357.5</v>
      </c>
      <c r="B721" s="42" t="n">
        <f aca="false">180-DEGREES(ASIN((P2_a*SIN(RADIANS($A721))-P2_c)/P2_b))</f>
        <v>171.955081463452</v>
      </c>
      <c r="C721" s="42" t="n">
        <f aca="false">P2_a*COS(RADIANS($A721))-P2_b*COS(RADIANS(B721))</f>
        <v>165.667630349107</v>
      </c>
      <c r="D721" s="43" t="n">
        <f aca="false">90-DEGREES(ASIN(ABS((P2_a*SIN(RADIANS($A721))-P2_c)/P2_b)))</f>
        <v>81.9550814634517</v>
      </c>
      <c r="E721" s="44" t="n">
        <f aca="false">P2_a*P2_w2*COS(RADIANS($A721))/(P2_b*COS(RADIANS(B721)))</f>
        <v>-0.840476642269315</v>
      </c>
      <c r="F721" s="42" t="n">
        <f aca="false">-P2_a*P2_w2*SIN(RADIANS($A721))+P2_b*E721*SIN(RADIANS(B721))</f>
        <v>-10.7301930357772</v>
      </c>
      <c r="G721" s="44" t="n">
        <f aca="false">(P2_a*P2_al2*COS(RADIANS($A721))-P2_a*P2_w2^2*SIN(RADIANS($A721))+P2_b*E721^2*SIN(RADIANS(B721)))/(P2_b*COS(RADIANS(B721)))</f>
        <v>-0.215126879272421</v>
      </c>
      <c r="H721" s="42" t="n">
        <f aca="false">-P2_a*P2_al2*SIN(RADIANS($A721))-P2_a*P2_w2^2*COS(RADIANS($A721))+P2_b*G721*SIN(RADIANS(B721))+P2_b*E721^2*COS(RADIANS(B721))</f>
        <v>-441.408758099056</v>
      </c>
      <c r="I721" s="45" t="n">
        <v>45</v>
      </c>
    </row>
    <row r="722" customFormat="false" ht="15" hidden="false" customHeight="false" outlineLevel="0" collapsed="false">
      <c r="A722" s="41" t="n">
        <v>358</v>
      </c>
      <c r="B722" s="42" t="n">
        <f aca="false">180-DEGREES(ASIN((P2_a*SIN(RADIANS($A722))-P2_c)/P2_b))</f>
        <v>171.821269458954</v>
      </c>
      <c r="C722" s="42" t="n">
        <f aca="false">P2_a*COS(RADIANS($A722))-P2_b*COS(RADIANS(B722))</f>
        <v>165.63612142855</v>
      </c>
      <c r="D722" s="43" t="n">
        <f aca="false">90-DEGREES(ASIN(ABS((P2_a*SIN(RADIANS($A722))-P2_c)/P2_b)))</f>
        <v>81.8212694589538</v>
      </c>
      <c r="E722" s="44" t="n">
        <f aca="false">P2_a*P2_w2*COS(RADIANS($A722))/(P2_b*COS(RADIANS(B722)))</f>
        <v>-0.841044786426036</v>
      </c>
      <c r="F722" s="42" t="n">
        <f aca="false">-P2_a*P2_w2*SIN(RADIANS($A722))+P2_b*E722*SIN(RADIANS(B722))</f>
        <v>-11.9561742513426</v>
      </c>
      <c r="G722" s="44" t="n">
        <f aca="false">(P2_a*P2_al2*COS(RADIANS($A722))-P2_a*P2_w2^2*SIN(RADIANS($A722))+P2_b*E722^2*SIN(RADIANS(B722)))/(P2_b*COS(RADIANS(B722)))</f>
        <v>-0.193931939831716</v>
      </c>
      <c r="H722" s="42" t="n">
        <f aca="false">-P2_a*P2_al2*SIN(RADIANS($A722))-P2_a*P2_w2^2*COS(RADIANS($A722))+P2_b*G722*SIN(RADIANS(B722))+P2_b*E722^2*COS(RADIANS(B722))</f>
        <v>-441.288847379157</v>
      </c>
      <c r="I722" s="45" t="n">
        <v>45</v>
      </c>
    </row>
    <row r="723" customFormat="false" ht="15" hidden="false" customHeight="false" outlineLevel="0" collapsed="false">
      <c r="A723" s="41" t="n">
        <v>358.5</v>
      </c>
      <c r="B723" s="42" t="n">
        <f aca="false">180-DEGREES(ASIN((P2_a*SIN(RADIANS($A723))-P2_c)/P2_b))</f>
        <v>171.687371718805</v>
      </c>
      <c r="C723" s="42" t="n">
        <f aca="false">P2_a*COS(RADIANS($A723))-P2_b*COS(RADIANS(B723))</f>
        <v>165.601207535697</v>
      </c>
      <c r="D723" s="43" t="n">
        <f aca="false">90-DEGREES(ASIN(ABS((P2_a*SIN(RADIANS($A723))-P2_c)/P2_b)))</f>
        <v>81.6873717188048</v>
      </c>
      <c r="E723" s="44" t="n">
        <f aca="false">P2_a*P2_w2*COS(RADIANS($A723))/(P2_b*COS(RADIANS(B723)))</f>
        <v>-0.841554014534947</v>
      </c>
      <c r="F723" s="42" t="n">
        <f aca="false">-P2_a*P2_w2*SIN(RADIANS($A723))+P2_b*E723*SIN(RADIANS(B723))</f>
        <v>-13.1817484355026</v>
      </c>
      <c r="G723" s="44" t="n">
        <f aca="false">(P2_a*P2_al2*COS(RADIANS($A723))-P2_a*P2_w2^2*SIN(RADIANS($A723))+P2_b*E723^2*SIN(RADIANS(B723)))/(P2_b*COS(RADIANS(B723)))</f>
        <v>-0.172707408291614</v>
      </c>
      <c r="H723" s="42" t="n">
        <f aca="false">-P2_a*P2_al2*SIN(RADIANS($A723))-P2_a*P2_w2^2*COS(RADIANS($A723))+P2_b*G723*SIN(RADIANS(B723))+P2_b*E723^2*COS(RADIANS(B723))</f>
        <v>-441.115684361302</v>
      </c>
      <c r="I723" s="45" t="n">
        <v>45</v>
      </c>
    </row>
    <row r="724" customFormat="false" ht="15" hidden="false" customHeight="false" outlineLevel="0" collapsed="false">
      <c r="A724" s="41" t="n">
        <v>359</v>
      </c>
      <c r="B724" s="42" t="n">
        <f aca="false">180-DEGREES(ASIN((P2_a*SIN(RADIANS($A724))-P2_c)/P2_b))</f>
        <v>171.553397626289</v>
      </c>
      <c r="C724" s="42" t="n">
        <f aca="false">P2_a*COS(RADIANS($A724))-P2_b*COS(RADIANS(B724))</f>
        <v>165.562890006722</v>
      </c>
      <c r="D724" s="43" t="n">
        <f aca="false">90-DEGREES(ASIN(ABS((P2_a*SIN(RADIANS($A724))-P2_c)/P2_b)))</f>
        <v>81.5533976262895</v>
      </c>
      <c r="E724" s="44" t="n">
        <f aca="false">P2_a*P2_w2*COS(RADIANS($A724))/(P2_b*COS(RADIANS(B724)))</f>
        <v>-0.842004245091313</v>
      </c>
      <c r="F724" s="42" t="n">
        <f aca="false">-P2_a*P2_w2*SIN(RADIANS($A724))+P2_b*E724*SIN(RADIANS(B724))</f>
        <v>-14.4067675762933</v>
      </c>
      <c r="G724" s="44" t="n">
        <f aca="false">(P2_a*P2_al2*COS(RADIANS($A724))-P2_a*P2_w2^2*SIN(RADIANS($A724))+P2_b*E724^2*SIN(RADIANS(B724)))/(P2_b*COS(RADIANS(B724)))</f>
        <v>-0.15145378552767</v>
      </c>
      <c r="H724" s="42" t="n">
        <f aca="false">-P2_a*P2_al2*SIN(RADIANS($A724))-P2_a*P2_w2^2*COS(RADIANS($A724))+P2_b*G724*SIN(RADIANS(B724))+P2_b*E724^2*COS(RADIANS(B724))</f>
        <v>-440.889206396828</v>
      </c>
      <c r="I724" s="45" t="n">
        <v>45</v>
      </c>
    </row>
    <row r="725" customFormat="false" ht="15" hidden="false" customHeight="false" outlineLevel="0" collapsed="false">
      <c r="A725" s="41" t="n">
        <v>359.5</v>
      </c>
      <c r="B725" s="42" t="n">
        <f aca="false">180-DEGREES(ASIN((P2_a*SIN(RADIANS($A725))-P2_c)/P2_b))</f>
        <v>171.419356577554</v>
      </c>
      <c r="C725" s="42" t="n">
        <f aca="false">P2_a*COS(RADIANS($A725))-P2_b*COS(RADIANS(B725))</f>
        <v>165.521170589174</v>
      </c>
      <c r="D725" s="43" t="n">
        <f aca="false">90-DEGREES(ASIN(ABS((P2_a*SIN(RADIANS($A725))-P2_c)/P2_b)))</f>
        <v>81.4193565775535</v>
      </c>
      <c r="E725" s="44" t="n">
        <f aca="false">P2_a*P2_w2*COS(RADIANS($A725))/(P2_b*COS(RADIANS(B725)))</f>
        <v>-0.842395397982692</v>
      </c>
      <c r="F725" s="42" t="n">
        <f aca="false">-P2_a*P2_w2*SIN(RADIANS($A725))+P2_b*E725*SIN(RADIANS(B725))</f>
        <v>-15.6310834991537</v>
      </c>
      <c r="G725" s="44" t="n">
        <f aca="false">(P2_a*P2_al2*COS(RADIANS($A725))-P2_a*P2_w2^2*SIN(RADIANS($A725))+P2_b*E725^2*SIN(RADIANS(B725)))/(P2_b*COS(RADIANS(B725)))</f>
        <v>-0.130171573205939</v>
      </c>
      <c r="H725" s="42" t="n">
        <f aca="false">-P2_a*P2_al2*SIN(RADIANS($A725))-P2_a*P2_w2^2*COS(RADIANS($A725))+P2_b*G725*SIN(RADIANS(B725))+P2_b*E725^2*COS(RADIANS(B725))</f>
        <v>-440.609359069957</v>
      </c>
      <c r="I725" s="45" t="n">
        <v>45</v>
      </c>
    </row>
    <row r="726" customFormat="false" ht="15" hidden="false" customHeight="false" outlineLevel="0" collapsed="false">
      <c r="A726" s="41" t="n">
        <v>360</v>
      </c>
      <c r="B726" s="42" t="n">
        <f aca="false">180-DEGREES(ASIN((P2_a*SIN(RADIANS($A726))-P2_c)/P2_b))</f>
        <v>171.285257981382</v>
      </c>
      <c r="C726" s="42" t="n">
        <f aca="false">P2_a*COS(RADIANS($A726))-P2_b*COS(RADIANS(B726))</f>
        <v>165.476051442401</v>
      </c>
      <c r="D726" s="43" t="n">
        <f aca="false">90-DEGREES(ASIN(ABS((P2_a*SIN(RADIANS($A726))-P2_c)/P2_b)))</f>
        <v>81.2852579813819</v>
      </c>
      <c r="E726" s="44" t="n">
        <f aca="false">P2_a*P2_w2*COS(RADIANS($A726))/(P2_b*COS(RADIANS(B726)))</f>
        <v>-0.842727394491879</v>
      </c>
      <c r="F726" s="42" t="n">
        <f aca="false">-P2_a*P2_w2*SIN(RADIANS($A726))+P2_b*E726*SIN(RADIANS(B726))</f>
        <v>-16.8545478898376</v>
      </c>
      <c r="G726" s="44" t="n">
        <f aca="false">(P2_a*P2_al2*COS(RADIANS($A726))-P2_a*P2_w2^2*SIN(RADIANS($A726))+P2_b*E726^2*SIN(RADIANS(B726)))/(P2_b*COS(RADIANS(B726)))</f>
        <v>-0.108861274322145</v>
      </c>
      <c r="H726" s="42" t="n">
        <f aca="false">-P2_a*P2_al2*SIN(RADIANS($A726))-P2_a*P2_w2^2*COS(RADIANS($A726))+P2_b*G726*SIN(RADIANS(B726))+P2_b*E726^2*COS(RADIANS(B726))</f>
        <v>-440.27609622758</v>
      </c>
      <c r="I726" s="45" t="n">
        <v>45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788"/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70"/>
  </cols>
  <sheetData>
    <row r="1" customFormat="false" ht="25.5" hidden="false" customHeight="true" outlineLevel="0" collapsed="false">
      <c r="A1" s="1" t="s">
        <v>313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314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315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11" t="s">
        <v>316</v>
      </c>
      <c r="B5" s="11"/>
      <c r="C5" s="11" t="s">
        <v>49</v>
      </c>
      <c r="D5" s="11" t="s">
        <v>50</v>
      </c>
      <c r="E5" s="11"/>
      <c r="F5" s="11" t="s">
        <v>80</v>
      </c>
    </row>
    <row r="6" customFormat="false" ht="15" hidden="false" customHeight="false" outlineLevel="0" collapsed="false">
      <c r="A6" s="6" t="s">
        <v>317</v>
      </c>
      <c r="C6" s="46"/>
      <c r="D6" s="46"/>
      <c r="E6" s="46"/>
      <c r="F6" s="15" t="s">
        <v>318</v>
      </c>
    </row>
    <row r="7" customFormat="false" ht="15" hidden="false" customHeight="false" outlineLevel="0" collapsed="false">
      <c r="A7" s="6" t="s">
        <v>319</v>
      </c>
      <c r="C7" s="47"/>
      <c r="D7" s="6" t="s">
        <v>64</v>
      </c>
      <c r="F7" s="15" t="s">
        <v>320</v>
      </c>
    </row>
    <row r="8" customFormat="false" ht="15" hidden="false" customHeight="false" outlineLevel="0" collapsed="false">
      <c r="A8" s="6" t="s">
        <v>321</v>
      </c>
      <c r="C8" s="47"/>
      <c r="D8" s="6" t="s">
        <v>64</v>
      </c>
    </row>
    <row r="9" customFormat="false" ht="15" hidden="false" customHeight="false" outlineLevel="0" collapsed="false">
      <c r="A9" s="6" t="s">
        <v>322</v>
      </c>
      <c r="C9" s="47"/>
      <c r="D9" s="6" t="s">
        <v>64</v>
      </c>
    </row>
    <row r="10" customFormat="false" ht="15" hidden="false" customHeight="false" outlineLevel="0" collapsed="false">
      <c r="A10" s="6" t="s">
        <v>323</v>
      </c>
      <c r="B10" s="16" t="s">
        <v>324</v>
      </c>
      <c r="C10" s="20" t="n">
        <f aca="false">COUNT(C7:C9)</f>
        <v>0</v>
      </c>
      <c r="D10" s="6" t="s">
        <v>68</v>
      </c>
    </row>
    <row r="11" customFormat="false" ht="15" hidden="false" customHeight="false" outlineLevel="0" collapsed="false">
      <c r="A11" s="6" t="s">
        <v>325</v>
      </c>
      <c r="B11" s="16" t="s">
        <v>326</v>
      </c>
      <c r="C11" s="27" t="str">
        <f aca="false">IF(C10=0,"—",AVERAGE(C7:C9))</f>
        <v>—</v>
      </c>
      <c r="D11" s="6" t="s">
        <v>64</v>
      </c>
    </row>
    <row r="12" customFormat="false" ht="15" hidden="false" customHeight="false" outlineLevel="0" collapsed="false">
      <c r="A12" s="6" t="s">
        <v>327</v>
      </c>
      <c r="B12" s="16" t="s">
        <v>67</v>
      </c>
      <c r="C12" s="27" t="str">
        <f aca="false">IF(C10&lt;2,"—",STDEV(C7:C9))</f>
        <v>—</v>
      </c>
      <c r="D12" s="6" t="s">
        <v>64</v>
      </c>
    </row>
    <row r="13" customFormat="false" ht="15" hidden="false" customHeight="false" outlineLevel="0" collapsed="false">
      <c r="A13" s="6" t="s">
        <v>328</v>
      </c>
      <c r="B13" s="16" t="s">
        <v>329</v>
      </c>
      <c r="C13" s="21" t="str">
        <f aca="false">IF(C10&lt;2,"—",100*C12/C11)</f>
        <v>—</v>
      </c>
      <c r="D13" s="6" t="s">
        <v>330</v>
      </c>
    </row>
    <row r="14" customFormat="false" ht="15" hidden="false" customHeight="false" outlineLevel="0" collapsed="false">
      <c r="A14" s="6" t="s">
        <v>331</v>
      </c>
      <c r="B14" s="16" t="s">
        <v>332</v>
      </c>
      <c r="C14" s="27" t="str">
        <f aca="false">IF(C10&lt;2,"—",TINV(0.05,C10-1)*C12/SQRT(C10))</f>
        <v>—</v>
      </c>
      <c r="D14" s="6" t="s">
        <v>64</v>
      </c>
      <c r="F14" s="15" t="s">
        <v>333</v>
      </c>
    </row>
    <row r="15" customFormat="false" ht="15" hidden="false" customHeight="false" outlineLevel="0" collapsed="false">
      <c r="A15" s="6" t="s">
        <v>334</v>
      </c>
      <c r="B15" s="16" t="s">
        <v>335</v>
      </c>
      <c r="C15" s="18" t="str">
        <f aca="false">IF(C10=0,"—",P2_sentido*C11*2*PI()/60)</f>
        <v>—</v>
      </c>
      <c r="D15" s="6" t="s">
        <v>76</v>
      </c>
    </row>
    <row r="16" customFormat="false" ht="15" hidden="false" customHeight="false" outlineLevel="0" collapsed="false">
      <c r="A16" s="6" t="s">
        <v>336</v>
      </c>
      <c r="B16" s="16" t="s">
        <v>337</v>
      </c>
      <c r="C16" s="18" t="n">
        <f aca="false">P2_w2</f>
        <v>3.14159265358979</v>
      </c>
      <c r="D16" s="6" t="s">
        <v>76</v>
      </c>
    </row>
    <row r="17" customFormat="false" ht="15" hidden="false" customHeight="false" outlineLevel="0" collapsed="false">
      <c r="A17" s="6" t="s">
        <v>338</v>
      </c>
      <c r="B17" s="16" t="s">
        <v>339</v>
      </c>
      <c r="C17" s="21" t="str">
        <f aca="false">IF(C10=0,"—",100*(C11-P2_n)/P2_n)</f>
        <v>—</v>
      </c>
      <c r="D17" s="6" t="s">
        <v>330</v>
      </c>
      <c r="F17" s="15" t="s">
        <v>340</v>
      </c>
    </row>
    <row r="19" customFormat="false" ht="18" hidden="false" customHeight="true" outlineLevel="0" collapsed="false">
      <c r="A19" s="3" t="s">
        <v>341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11" t="s">
        <v>342</v>
      </c>
      <c r="B20" s="11" t="s">
        <v>343</v>
      </c>
      <c r="C20" s="11" t="s">
        <v>344</v>
      </c>
      <c r="D20" s="11" t="s">
        <v>50</v>
      </c>
      <c r="E20" s="11" t="s">
        <v>345</v>
      </c>
      <c r="F20" s="11" t="s">
        <v>346</v>
      </c>
    </row>
    <row r="21" customFormat="false" ht="27.75" hidden="false" customHeight="true" outlineLevel="0" collapsed="false">
      <c r="A21" s="14" t="s">
        <v>347</v>
      </c>
      <c r="B21" s="21" t="n">
        <f aca="false">P2_S</f>
        <v>70.8823178352399</v>
      </c>
      <c r="C21" s="47"/>
      <c r="D21" s="6" t="s">
        <v>54</v>
      </c>
      <c r="E21" s="21" t="str">
        <f aca="false">IF(ISNUMBER(C21),100*(C21-B21)/B21,"—")</f>
        <v>—</v>
      </c>
      <c r="F21" s="15" t="s">
        <v>348</v>
      </c>
    </row>
    <row r="22" customFormat="false" ht="27.75" hidden="false" customHeight="true" outlineLevel="0" collapsed="false">
      <c r="A22" s="14" t="s">
        <v>349</v>
      </c>
      <c r="B22" s="21" t="n">
        <f aca="false">IF(ISNUMBER(C11),'P2 e) 10 posiciones'!J18*C11/P2_n,'P2 e) 10 posiciones'!J18)</f>
        <v>119.801798509473</v>
      </c>
      <c r="C22" s="47"/>
      <c r="D22" s="6" t="s">
        <v>207</v>
      </c>
      <c r="E22" s="21" t="str">
        <f aca="false">IF(ISNUMBER(C22),100*(C22-B22)/B22,"—")</f>
        <v>—</v>
      </c>
      <c r="F22" s="15" t="s">
        <v>350</v>
      </c>
    </row>
    <row r="23" customFormat="false" ht="27.75" hidden="false" customHeight="true" outlineLevel="0" collapsed="false">
      <c r="A23" s="14" t="s">
        <v>351</v>
      </c>
      <c r="B23" s="21" t="n">
        <f aca="false">IF(ISNUMBER(C11),60/C11,60/P2_n)</f>
        <v>2</v>
      </c>
      <c r="C23" s="47"/>
      <c r="D23" s="6" t="s">
        <v>67</v>
      </c>
      <c r="E23" s="21" t="str">
        <f aca="false">IF(ISNUMBER(C23),100*(C23-B23)/B23,"—")</f>
        <v>—</v>
      </c>
      <c r="F23" s="15" t="s">
        <v>352</v>
      </c>
    </row>
    <row r="24" customFormat="false" ht="27.75" hidden="false" customHeight="true" outlineLevel="0" collapsed="false">
      <c r="A24" s="14" t="s">
        <v>353</v>
      </c>
      <c r="B24" s="21" t="n">
        <f aca="false">'P2 Curva'!C186-P2_dmin</f>
        <v>25.0800811436546</v>
      </c>
      <c r="C24" s="47"/>
      <c r="D24" s="6" t="s">
        <v>54</v>
      </c>
      <c r="E24" s="21" t="str">
        <f aca="false">IF(ISNUMBER(C24),100*(C24-B24)/B24,"—")</f>
        <v>—</v>
      </c>
      <c r="F24" s="15" t="s">
        <v>354</v>
      </c>
    </row>
    <row r="25" customFormat="false" ht="15" hidden="false" customHeight="false" outlineLevel="0" collapsed="false">
      <c r="A25" s="15" t="s">
        <v>355</v>
      </c>
    </row>
    <row r="27" customFormat="false" ht="18" hidden="false" customHeight="true" outlineLevel="0" collapsed="false">
      <c r="A27" s="3" t="s">
        <v>356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11" t="s">
        <v>357</v>
      </c>
      <c r="B28" s="11" t="s">
        <v>358</v>
      </c>
      <c r="C28" s="11" t="s">
        <v>49</v>
      </c>
      <c r="D28" s="11" t="s">
        <v>50</v>
      </c>
      <c r="E28" s="11" t="s">
        <v>359</v>
      </c>
      <c r="F28" s="11" t="s">
        <v>360</v>
      </c>
    </row>
    <row r="29" customFormat="false" ht="15" hidden="false" customHeight="false" outlineLevel="0" collapsed="false">
      <c r="A29" s="6" t="s">
        <v>361</v>
      </c>
      <c r="B29" s="6" t="s">
        <v>362</v>
      </c>
      <c r="C29" s="47" t="n">
        <v>0.25</v>
      </c>
      <c r="D29" s="6" t="s">
        <v>54</v>
      </c>
    </row>
    <row r="30" customFormat="false" ht="15" hidden="false" customHeight="false" outlineLevel="0" collapsed="false">
      <c r="A30" s="6" t="s">
        <v>363</v>
      </c>
      <c r="B30" s="6" t="s">
        <v>364</v>
      </c>
      <c r="C30" s="48" t="n">
        <v>3</v>
      </c>
      <c r="D30" s="6" t="s">
        <v>68</v>
      </c>
    </row>
    <row r="31" customFormat="false" ht="15" hidden="false" customHeight="false" outlineLevel="0" collapsed="false">
      <c r="A31" s="6" t="s">
        <v>365</v>
      </c>
      <c r="C31" s="21" t="n">
        <f aca="false">2*C29*C30</f>
        <v>1.5</v>
      </c>
      <c r="D31" s="6" t="s">
        <v>54</v>
      </c>
      <c r="E31" s="21" t="n">
        <f aca="false">100*C31/P2_S</f>
        <v>2.11618362069737</v>
      </c>
      <c r="F31" s="15" t="s">
        <v>366</v>
      </c>
    </row>
    <row r="32" customFormat="false" ht="15" hidden="false" customHeight="false" outlineLevel="0" collapsed="false">
      <c r="A32" s="6" t="s">
        <v>367</v>
      </c>
      <c r="B32" s="6" t="s">
        <v>339</v>
      </c>
      <c r="C32" s="47" t="n">
        <v>0.2</v>
      </c>
      <c r="D32" s="6" t="s">
        <v>54</v>
      </c>
    </row>
    <row r="33" customFormat="false" ht="15" hidden="false" customHeight="false" outlineLevel="0" collapsed="false">
      <c r="A33" s="6" t="s">
        <v>368</v>
      </c>
      <c r="B33" s="6" t="s">
        <v>369</v>
      </c>
      <c r="C33" s="18" t="n">
        <f aca="false">(P2_a+P2_b)/SQRT((P2_a+P2_b)^2-P2_c^2)+(P2_b-P2_a)/SQRT((P2_b-P2_a)^2-P2_c^2)</f>
        <v>2.02920828591724</v>
      </c>
      <c r="D33" s="6" t="s">
        <v>370</v>
      </c>
    </row>
    <row r="34" customFormat="false" ht="15" hidden="false" customHeight="false" outlineLevel="0" collapsed="false">
      <c r="A34" s="6" t="s">
        <v>371</v>
      </c>
      <c r="B34" s="6" t="s">
        <v>372</v>
      </c>
      <c r="C34" s="18" t="n">
        <f aca="false">(P2_a+P2_b)/SQRT((P2_a+P2_b)^2-P2_c^2)-(P2_b-P2_a)/SQRT((P2_b-P2_a)^2-P2_c^2)</f>
        <v>-0.014709564095376</v>
      </c>
      <c r="D34" s="6" t="s">
        <v>370</v>
      </c>
    </row>
    <row r="35" customFormat="false" ht="15" hidden="false" customHeight="false" outlineLevel="0" collapsed="false">
      <c r="A35" s="6" t="s">
        <v>373</v>
      </c>
      <c r="B35" s="6" t="s">
        <v>374</v>
      </c>
      <c r="C35" s="18" t="n">
        <f aca="false">-P2_c/SQRT((P2_a+P2_b)^2-P2_c^2)+P2_c/SQRT((P2_b-P2_a)^2-P2_c^2)</f>
        <v>-0.0900845144363144</v>
      </c>
      <c r="D35" s="6" t="s">
        <v>370</v>
      </c>
    </row>
    <row r="36" customFormat="false" ht="15" hidden="false" customHeight="false" outlineLevel="0" collapsed="false">
      <c r="A36" s="6" t="s">
        <v>375</v>
      </c>
      <c r="C36" s="27" t="n">
        <f aca="false">C32*(ABS(C33)+ABS(C34)+ABS(C35))</f>
        <v>0.426800472889785</v>
      </c>
      <c r="D36" s="6" t="s">
        <v>54</v>
      </c>
      <c r="E36" s="21" t="n">
        <f aca="false">100*C36/P2_S</f>
        <v>0.602125446690171</v>
      </c>
      <c r="F36" s="15" t="s">
        <v>376</v>
      </c>
    </row>
    <row r="37" customFormat="false" ht="15" hidden="false" customHeight="false" outlineLevel="0" collapsed="false">
      <c r="A37" s="6" t="s">
        <v>377</v>
      </c>
      <c r="B37" s="6" t="s">
        <v>378</v>
      </c>
      <c r="C37" s="49" t="n">
        <v>5</v>
      </c>
      <c r="D37" s="6" t="s">
        <v>330</v>
      </c>
      <c r="F37" s="15" t="s">
        <v>379</v>
      </c>
    </row>
    <row r="38" customFormat="false" ht="15" hidden="false" customHeight="false" outlineLevel="0" collapsed="false">
      <c r="A38" s="6" t="s">
        <v>380</v>
      </c>
      <c r="C38" s="29" t="n">
        <f aca="false">-C37</f>
        <v>-5</v>
      </c>
      <c r="D38" s="6" t="s">
        <v>330</v>
      </c>
    </row>
    <row r="39" customFormat="false" ht="15" hidden="false" customHeight="false" outlineLevel="0" collapsed="false">
      <c r="A39" s="6" t="s">
        <v>381</v>
      </c>
      <c r="C39" s="29" t="n">
        <f aca="false">100*((1-C37/100)^2-1)</f>
        <v>-9.75</v>
      </c>
      <c r="D39" s="6" t="s">
        <v>330</v>
      </c>
    </row>
    <row r="40" customFormat="false" ht="15" hidden="false" customHeight="false" outlineLevel="0" collapsed="false">
      <c r="A40" s="6" t="s">
        <v>382</v>
      </c>
      <c r="B40" s="6" t="s">
        <v>383</v>
      </c>
      <c r="C40" s="48" t="n">
        <v>60</v>
      </c>
      <c r="D40" s="6" t="s">
        <v>384</v>
      </c>
    </row>
    <row r="41" customFormat="false" ht="15" hidden="false" customHeight="false" outlineLevel="0" collapsed="false">
      <c r="A41" s="6" t="s">
        <v>385</v>
      </c>
      <c r="C41" s="20" t="n">
        <f aca="false">C40*60/IF(ISNUMBER(C11),C11,P2_n)</f>
        <v>120</v>
      </c>
      <c r="D41" s="6" t="s">
        <v>386</v>
      </c>
      <c r="F41" s="15" t="s">
        <v>387</v>
      </c>
    </row>
    <row r="42" customFormat="false" ht="15" hidden="false" customHeight="false" outlineLevel="0" collapsed="false">
      <c r="A42" s="6" t="s">
        <v>388</v>
      </c>
      <c r="C42" s="21" t="n">
        <f aca="false">360/C41</f>
        <v>3</v>
      </c>
      <c r="D42" s="6" t="s">
        <v>115</v>
      </c>
    </row>
    <row r="43" customFormat="false" ht="15" hidden="false" customHeight="false" outlineLevel="0" collapsed="false">
      <c r="A43" s="6" t="s">
        <v>389</v>
      </c>
      <c r="B43" s="6" t="s">
        <v>390</v>
      </c>
      <c r="C43" s="47" t="n">
        <v>1.2</v>
      </c>
      <c r="D43" s="6" t="s">
        <v>391</v>
      </c>
    </row>
    <row r="44" customFormat="false" ht="15" hidden="false" customHeight="false" outlineLevel="0" collapsed="false">
      <c r="A44" s="6" t="s">
        <v>392</v>
      </c>
      <c r="B44" s="6" t="s">
        <v>393</v>
      </c>
      <c r="C44" s="47" t="n">
        <v>0.3</v>
      </c>
      <c r="D44" s="6" t="s">
        <v>68</v>
      </c>
    </row>
    <row r="45" customFormat="false" ht="15" hidden="false" customHeight="false" outlineLevel="0" collapsed="false">
      <c r="A45" s="6" t="s">
        <v>394</v>
      </c>
      <c r="C45" s="21" t="n">
        <f aca="false">C44*C43*9.81</f>
        <v>3.5316</v>
      </c>
      <c r="D45" s="6" t="s">
        <v>324</v>
      </c>
    </row>
    <row r="46" customFormat="false" ht="15" hidden="false" customHeight="false" outlineLevel="0" collapsed="false">
      <c r="A46" s="6" t="s">
        <v>395</v>
      </c>
      <c r="C46" s="21" t="n">
        <f aca="false">C43*'P2 e) 10 posiciones'!J19/1000</f>
        <v>0.529786937069265</v>
      </c>
      <c r="D46" s="6" t="s">
        <v>324</v>
      </c>
      <c r="F46" s="15" t="s">
        <v>396</v>
      </c>
    </row>
    <row r="47" customFormat="false" ht="15" hidden="false" customHeight="false" outlineLevel="0" collapsed="false">
      <c r="A47" s="6" t="s">
        <v>397</v>
      </c>
      <c r="C47" s="21" t="n">
        <f aca="false">'P2 e) 10 posiciones'!J18/ABS(P2_w2)</f>
        <v>38.1340968481638</v>
      </c>
      <c r="D47" s="6" t="s">
        <v>54</v>
      </c>
    </row>
    <row r="48" customFormat="false" ht="15" hidden="false" customHeight="false" outlineLevel="0" collapsed="false">
      <c r="A48" s="6" t="s">
        <v>398</v>
      </c>
      <c r="C48" s="18" t="n">
        <f aca="false">(C45+C46)*C47/1000</f>
        <v>0.154877322796067</v>
      </c>
      <c r="D48" s="6" t="s">
        <v>399</v>
      </c>
      <c r="E48" s="21" t="n">
        <f aca="false">C48/0.0980665</f>
        <v>1.57930917077765</v>
      </c>
      <c r="F48" s="15" t="s">
        <v>400</v>
      </c>
    </row>
    <row r="50" customFormat="false" ht="18" hidden="false" customHeight="true" outlineLevel="0" collapsed="false">
      <c r="A50" s="3" t="s">
        <v>401</v>
      </c>
      <c r="B50" s="3"/>
      <c r="C50" s="3"/>
      <c r="D50" s="3"/>
      <c r="E50" s="3"/>
      <c r="F50" s="3"/>
    </row>
    <row r="51" customFormat="false" ht="30" hidden="false" customHeight="true" outlineLevel="0" collapsed="false">
      <c r="A51" s="50" t="s">
        <v>402</v>
      </c>
      <c r="B51" s="50"/>
      <c r="C51" s="50"/>
      <c r="D51" s="50"/>
      <c r="E51" s="50"/>
      <c r="F51" s="50"/>
    </row>
    <row r="52" customFormat="false" ht="30" hidden="false" customHeight="true" outlineLevel="0" collapsed="false">
      <c r="A52" s="50" t="s">
        <v>403</v>
      </c>
      <c r="B52" s="50"/>
      <c r="C52" s="50"/>
      <c r="D52" s="50"/>
      <c r="E52" s="50"/>
      <c r="F52" s="50"/>
    </row>
    <row r="53" customFormat="false" ht="30" hidden="false" customHeight="true" outlineLevel="0" collapsed="false">
      <c r="A53" s="50" t="s">
        <v>404</v>
      </c>
      <c r="B53" s="50"/>
      <c r="C53" s="50"/>
      <c r="D53" s="50"/>
      <c r="E53" s="50"/>
      <c r="F53" s="50"/>
    </row>
    <row r="54" customFormat="false" ht="30" hidden="false" customHeight="true" outlineLevel="0" collapsed="false">
      <c r="A54" s="50" t="s">
        <v>405</v>
      </c>
      <c r="B54" s="50"/>
      <c r="C54" s="50"/>
      <c r="D54" s="50"/>
      <c r="E54" s="50"/>
      <c r="F54" s="50"/>
    </row>
  </sheetData>
  <mergeCells count="11">
    <mergeCell ref="A1:F1"/>
    <mergeCell ref="A2:F2"/>
    <mergeCell ref="A4:F4"/>
    <mergeCell ref="C6:E6"/>
    <mergeCell ref="A19:F19"/>
    <mergeCell ref="A27:F27"/>
    <mergeCell ref="A50:F50"/>
    <mergeCell ref="A51:F51"/>
    <mergeCell ref="A52:F52"/>
    <mergeCell ref="A53:F53"/>
    <mergeCell ref="A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false"/>
  </sheetPr>
  <dimension ref="B1:L42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C6" activeCellId="0" sqref="C6"/>
    </sheetView>
  </sheetViews>
  <sheetFormatPr defaultColWidth="11.55859375" defaultRowHeight="14.25" zeroHeight="false" outlineLevelRow="0" outlineLevelCol="0"/>
  <cols>
    <col collapsed="false" customWidth="true" hidden="false" outlineLevel="0" max="1" min="1" style="51" width="2.78"/>
    <col collapsed="false" customWidth="true" hidden="false" outlineLevel="0" max="2" min="2" style="51" width="10.78"/>
    <col collapsed="false" customWidth="true" hidden="false" outlineLevel="0" max="4" min="3" style="51" width="13.78"/>
    <col collapsed="false" customWidth="true" hidden="false" outlineLevel="0" max="5" min="5" style="51" width="10.78"/>
    <col collapsed="false" customWidth="true" hidden="false" outlineLevel="0" max="7" min="6" style="51" width="13.78"/>
    <col collapsed="false" customWidth="true" hidden="false" outlineLevel="0" max="9" min="8" style="51" width="8.78"/>
    <col collapsed="false" customWidth="true" hidden="false" outlineLevel="0" max="10" min="10" style="51" width="4.78"/>
    <col collapsed="false" customWidth="true" hidden="false" outlineLevel="0" max="11" min="11" style="51" width="36.78"/>
    <col collapsed="false" customWidth="true" hidden="false" outlineLevel="0" max="12" min="12" style="51" width="16.78"/>
    <col collapsed="false" customWidth="false" hidden="false" outlineLevel="0" max="16384" min="13" style="51" width="11.56"/>
  </cols>
  <sheetData>
    <row r="1" customFormat="false" ht="25.5" hidden="false" customHeight="true" outlineLevel="0" collapsed="false">
      <c r="B1" s="52" t="s">
        <v>406</v>
      </c>
      <c r="C1" s="52"/>
      <c r="D1" s="52"/>
      <c r="E1" s="52"/>
      <c r="F1" s="52"/>
      <c r="G1" s="52"/>
      <c r="H1" s="52"/>
      <c r="I1" s="52"/>
    </row>
    <row r="2" customFormat="false" ht="15" hidden="false" customHeight="true" outlineLevel="0" collapsed="false">
      <c r="B2" s="53" t="s">
        <v>407</v>
      </c>
      <c r="C2" s="53"/>
      <c r="D2" s="53"/>
      <c r="E2" s="53"/>
      <c r="F2" s="53"/>
      <c r="G2" s="53"/>
      <c r="H2" s="53"/>
      <c r="I2" s="53"/>
    </row>
    <row r="3" customFormat="false" ht="14.25" hidden="false" customHeight="false" outlineLevel="0" collapsed="false">
      <c r="B3" s="54" t="s">
        <v>408</v>
      </c>
      <c r="C3" s="54"/>
      <c r="D3" s="54"/>
      <c r="E3" s="54"/>
      <c r="F3" s="54"/>
      <c r="G3" s="54"/>
      <c r="H3" s="54"/>
      <c r="I3" s="54"/>
    </row>
    <row r="4" customFormat="false" ht="23.25" hidden="false" customHeight="true" outlineLevel="0" collapsed="false">
      <c r="B4" s="55" t="s">
        <v>409</v>
      </c>
      <c r="K4" s="56" t="s">
        <v>410</v>
      </c>
      <c r="L4" s="56"/>
    </row>
    <row r="5" customFormat="false" ht="15.75" hidden="false" customHeight="true" outlineLevel="0" collapsed="false">
      <c r="B5" s="57" t="s">
        <v>411</v>
      </c>
      <c r="C5" s="57" t="s">
        <v>412</v>
      </c>
      <c r="D5" s="57" t="s">
        <v>413</v>
      </c>
      <c r="E5" s="57" t="s">
        <v>414</v>
      </c>
      <c r="F5" s="58" t="s">
        <v>164</v>
      </c>
      <c r="G5" s="58" t="s">
        <v>75</v>
      </c>
      <c r="H5" s="58" t="s">
        <v>415</v>
      </c>
      <c r="I5" s="58" t="s">
        <v>416</v>
      </c>
      <c r="K5" s="59" t="s">
        <v>417</v>
      </c>
      <c r="L5" s="59" t="n">
        <f aca="false">C6</f>
        <v>2</v>
      </c>
    </row>
    <row r="6" customFormat="false" ht="14.25" hidden="false" customHeight="false" outlineLevel="0" collapsed="false">
      <c r="B6" s="60" t="n">
        <v>6</v>
      </c>
      <c r="C6" s="60" t="n">
        <v>2</v>
      </c>
      <c r="D6" s="60" t="n">
        <v>7</v>
      </c>
      <c r="E6" s="60" t="n">
        <v>9</v>
      </c>
      <c r="F6" s="60" t="n">
        <v>30</v>
      </c>
      <c r="G6" s="60" t="n">
        <v>10</v>
      </c>
      <c r="H6" s="60" t="n">
        <v>6</v>
      </c>
      <c r="I6" s="60" t="n">
        <v>30</v>
      </c>
      <c r="K6" s="59" t="s">
        <v>418</v>
      </c>
      <c r="L6" s="59" t="n">
        <f aca="false">D6</f>
        <v>7</v>
      </c>
    </row>
    <row r="7" customFormat="false" ht="15" hidden="false" customHeight="true" outlineLevel="0" collapsed="false">
      <c r="B7" s="53" t="str">
        <f aca="false">IF(COUNT($B$6:$I$6)&lt;8,"Faltan datos: llena las 8 celdas amarillas.",IF($L$23,"","R/Para este ángulo de entrada los eslabones no se pueden conectar."))</f>
        <v/>
      </c>
      <c r="C7" s="53"/>
      <c r="D7" s="53"/>
      <c r="E7" s="53"/>
      <c r="F7" s="53"/>
      <c r="G7" s="53"/>
      <c r="H7" s="53"/>
      <c r="I7" s="53"/>
      <c r="K7" s="59" t="s">
        <v>419</v>
      </c>
      <c r="L7" s="59" t="n">
        <f aca="false">E6</f>
        <v>9</v>
      </c>
    </row>
    <row r="8" customFormat="false" ht="14.25" hidden="false" customHeight="false" outlineLevel="0" collapsed="false">
      <c r="D8" s="61" t="s">
        <v>420</v>
      </c>
      <c r="K8" s="59" t="s">
        <v>421</v>
      </c>
      <c r="L8" s="59" t="n">
        <f aca="false">B6</f>
        <v>6</v>
      </c>
    </row>
    <row r="9" customFormat="false" ht="14.25" hidden="false" customHeight="false" outlineLevel="0" collapsed="false">
      <c r="C9" s="61" t="s">
        <v>422</v>
      </c>
      <c r="F9" s="61" t="s">
        <v>423</v>
      </c>
      <c r="K9" s="59" t="s">
        <v>424</v>
      </c>
      <c r="L9" s="59" t="n">
        <f aca="false">RADIANS(F6)</f>
        <v>0.523598775598299</v>
      </c>
    </row>
    <row r="10" customFormat="false" ht="14.25" hidden="false" customHeight="false" outlineLevel="0" collapsed="false">
      <c r="C10" s="62" t="s">
        <v>425</v>
      </c>
      <c r="D10" s="62" t="s">
        <v>426</v>
      </c>
      <c r="F10" s="62" t="s">
        <v>425</v>
      </c>
      <c r="G10" s="62" t="s">
        <v>426</v>
      </c>
      <c r="K10" s="59" t="s">
        <v>427</v>
      </c>
      <c r="L10" s="59" t="n">
        <f aca="false">L8/L5</f>
        <v>3</v>
      </c>
    </row>
    <row r="11" customFormat="false" ht="15.75" hidden="false" customHeight="true" outlineLevel="0" collapsed="false">
      <c r="B11" s="63" t="s">
        <v>175</v>
      </c>
      <c r="C11" s="64" t="n">
        <f aca="false">IFERROR(IF($L$23,2*ATAN((-$L$19+SQRT(MAX(0,$L$22)))/(2*$L$18)),""),"")</f>
        <v>-2.01080800616357</v>
      </c>
      <c r="D11" s="64" t="n">
        <f aca="false">IFERROR(IF($L$23,DEGREES(C11),""),"")</f>
        <v>-115.210812164289</v>
      </c>
      <c r="E11" s="63" t="s">
        <v>175</v>
      </c>
      <c r="F11" s="64" t="n">
        <f aca="false">IFERROR(IF($L$23,2*ATAN((-$L$19-SQRT(MAX(0,$L$22)))/(2*$L$18)),""),"")</f>
        <v>1.55050235907826</v>
      </c>
      <c r="G11" s="64" t="n">
        <f aca="false">IFERROR(IF($L$23,DEGREES(F11),""),"")</f>
        <v>88.8372413002617</v>
      </c>
      <c r="K11" s="59" t="s">
        <v>428</v>
      </c>
      <c r="L11" s="59" t="n">
        <f aca="false">L8/L7</f>
        <v>0.666666666666667</v>
      </c>
    </row>
    <row r="12" customFormat="false" ht="15.75" hidden="false" customHeight="true" outlineLevel="0" collapsed="false">
      <c r="B12" s="63" t="s">
        <v>429</v>
      </c>
      <c r="C12" s="64" t="n">
        <f aca="false">IFERROR(IF($L$23,2*ATAN((-$L$16+SQRT(MAX(0,$L$21)))/(2*$L$15)),""),"")</f>
        <v>-2.50733369796593</v>
      </c>
      <c r="D12" s="64" t="n">
        <f aca="false">IFERROR(IF($L$23,DEGREES(C12),""),"")</f>
        <v>-143.659638724377</v>
      </c>
      <c r="E12" s="63" t="s">
        <v>429</v>
      </c>
      <c r="F12" s="64" t="n">
        <f aca="false">IFERROR(IF($L$23,2*ATAN((-$L$16-SQRT(MAX(0,$L$21)))/(2*$L$15)),""),"")</f>
        <v>2.04702805088061</v>
      </c>
      <c r="G12" s="64" t="n">
        <f aca="false">IFERROR(IF($L$23,DEGREES(F12),""),"")</f>
        <v>117.28606786035</v>
      </c>
      <c r="K12" s="59" t="s">
        <v>430</v>
      </c>
      <c r="L12" s="59" t="n">
        <f aca="false">(L5^2-L6^2+L7^2+L8^2)/(2*L5*L7)</f>
        <v>2</v>
      </c>
    </row>
    <row r="13" customFormat="false" ht="14.25" hidden="false" customHeight="false" outlineLevel="0" collapsed="false">
      <c r="B13" s="63" t="s">
        <v>193</v>
      </c>
      <c r="C13" s="64" t="n">
        <f aca="false">IFERROR(IF($L$23,ACOS(ABS(COS(C12-C11))),""),"")</f>
        <v>0.496525691802357</v>
      </c>
      <c r="D13" s="64" t="n">
        <f aca="false">IFERROR(IF($L$23,DEGREES(C13),""),"")</f>
        <v>28.4488265600885</v>
      </c>
      <c r="E13" s="63" t="s">
        <v>193</v>
      </c>
      <c r="F13" s="64" t="n">
        <f aca="false">IFERROR(IF($L$23,ACOS(ABS(COS(F12-F11))),""),"")</f>
        <v>0.496525691802357</v>
      </c>
      <c r="G13" s="64" t="n">
        <f aca="false">IFERROR(IF($L$23,DEGREES(F13),""),"")</f>
        <v>28.4488265600885</v>
      </c>
      <c r="K13" s="59" t="s">
        <v>431</v>
      </c>
      <c r="L13" s="59" t="n">
        <f aca="false">L8/L6</f>
        <v>0.857142857142857</v>
      </c>
    </row>
    <row r="14" customFormat="false" ht="14.25" hidden="false" customHeight="false" outlineLevel="0" collapsed="false">
      <c r="K14" s="59" t="s">
        <v>432</v>
      </c>
      <c r="L14" s="59" t="n">
        <f aca="false">(L7^2-L8^2-L5^2-L6^2)/(2*L5*L6)</f>
        <v>-0.285714285714286</v>
      </c>
    </row>
    <row r="15" customFormat="false" ht="14.25" hidden="false" customHeight="false" outlineLevel="0" collapsed="false">
      <c r="C15" s="62" t="s">
        <v>426</v>
      </c>
      <c r="K15" s="59" t="s">
        <v>433</v>
      </c>
      <c r="L15" s="59" t="n">
        <f aca="false">COS(L9)-L10-L11*COS(L9)+L12</f>
        <v>-0.711324865405187</v>
      </c>
    </row>
    <row r="16" customFormat="false" ht="15.75" hidden="false" customHeight="true" outlineLevel="0" collapsed="false">
      <c r="B16" s="63" t="s">
        <v>175</v>
      </c>
      <c r="C16" s="64" t="n">
        <f aca="false">IFERROR(IF($L$23,D11+360,""),"")</f>
        <v>244.789187835711</v>
      </c>
      <c r="K16" s="59" t="s">
        <v>434</v>
      </c>
      <c r="L16" s="59" t="n">
        <f aca="false">-2*SIN(L9)</f>
        <v>-1</v>
      </c>
    </row>
    <row r="17" customFormat="false" ht="15.75" hidden="false" customHeight="true" outlineLevel="0" collapsed="false">
      <c r="B17" s="63" t="s">
        <v>429</v>
      </c>
      <c r="C17" s="64" t="n">
        <f aca="false">IFERROR(IF($L$23,D12+360,""),"")</f>
        <v>216.340361275623</v>
      </c>
      <c r="K17" s="59" t="s">
        <v>435</v>
      </c>
      <c r="L17" s="59" t="n">
        <f aca="false">L10-(L11+1)*COS(L9)+L12</f>
        <v>3.55662432702594</v>
      </c>
    </row>
    <row r="18" customFormat="false" ht="14.25" hidden="false" customHeight="false" outlineLevel="0" collapsed="false">
      <c r="K18" s="59" t="s">
        <v>436</v>
      </c>
      <c r="L18" s="59" t="n">
        <f aca="false">COS(L9)-L10+L13*COS(L9)+L14</f>
        <v>-1.67738139297176</v>
      </c>
    </row>
    <row r="19" customFormat="false" ht="15" hidden="false" customHeight="true" outlineLevel="0" collapsed="false">
      <c r="C19" s="53" t="s">
        <v>437</v>
      </c>
      <c r="D19" s="53"/>
      <c r="E19" s="53"/>
      <c r="F19" s="53"/>
      <c r="K19" s="59" t="s">
        <v>438</v>
      </c>
      <c r="L19" s="59" t="n">
        <f aca="false">-2*SIN(L9)</f>
        <v>-1</v>
      </c>
    </row>
    <row r="20" customFormat="false" ht="14.25" hidden="false" customHeight="false" outlineLevel="0" collapsed="false">
      <c r="D20" s="61" t="s">
        <v>422</v>
      </c>
      <c r="F20" s="61" t="s">
        <v>423</v>
      </c>
      <c r="K20" s="59" t="s">
        <v>439</v>
      </c>
      <c r="L20" s="59" t="n">
        <f aca="false">L10+(L13-1)*COS(L9)+L14</f>
        <v>2.59056779945937</v>
      </c>
    </row>
    <row r="21" customFormat="false" ht="14.25" hidden="false" customHeight="false" outlineLevel="0" collapsed="false">
      <c r="D21" s="62" t="s">
        <v>440</v>
      </c>
      <c r="F21" s="62" t="s">
        <v>440</v>
      </c>
      <c r="K21" s="59" t="s">
        <v>441</v>
      </c>
      <c r="L21" s="59" t="n">
        <f aca="false">L16^2-4*L15*L17</f>
        <v>11.1196612828741</v>
      </c>
    </row>
    <row r="22" customFormat="false" ht="15.75" hidden="false" customHeight="true" outlineLevel="0" collapsed="false">
      <c r="C22" s="63" t="s">
        <v>203</v>
      </c>
      <c r="D22" s="64" t="n">
        <f aca="false">IFERROR(IF($L$23,$L$5*$G$6*SIN(C12-$L$9)/($L$6*SIN(C11-C12)),""),"")</f>
        <v>-0.662352004927971</v>
      </c>
      <c r="E22" s="63" t="s">
        <v>203</v>
      </c>
      <c r="F22" s="64" t="n">
        <f aca="false">IFERROR(IF($L$23,$L$5*$G$6*SIN(F12-$L$9)/($L$6*SIN(F11-F12)),""),"")</f>
        <v>-5.99096571858615</v>
      </c>
      <c r="K22" s="59" t="s">
        <v>442</v>
      </c>
      <c r="L22" s="59" t="n">
        <f aca="false">L19^2-4*L18*L20</f>
        <v>18.3814808961797</v>
      </c>
    </row>
    <row r="23" customFormat="false" ht="15.75" hidden="false" customHeight="true" outlineLevel="0" collapsed="false">
      <c r="C23" s="63" t="s">
        <v>443</v>
      </c>
      <c r="D23" s="64" t="n">
        <f aca="false">IFERROR(IF($L$23,$L$5*$G$6*SIN($L$9-C11)/($L$7*SIN(C12-C11)),""),"")</f>
        <v>-2.66158293330022</v>
      </c>
      <c r="E23" s="63" t="s">
        <v>443</v>
      </c>
      <c r="F23" s="64" t="n">
        <f aca="false">IFERROR(IF($L$23,$L$5*$G$6*SIN($L$9-F11)/($L$7*SIN(F12-F11)),""),"")</f>
        <v>-3.99173479021389</v>
      </c>
      <c r="K23" s="59" t="s">
        <v>444</v>
      </c>
      <c r="L23" s="65" t="b">
        <f aca="false">IFERROR(AND(COUNT(B6:I6)=8,L21&gt;=-0.000000001,L22&gt;=-0.000000001),FALSE())</f>
        <v>1</v>
      </c>
    </row>
    <row r="24" customFormat="false" ht="14.25" hidden="false" customHeight="false" outlineLevel="0" collapsed="false">
      <c r="C24" s="66" t="s">
        <v>445</v>
      </c>
      <c r="D24" s="64" t="n">
        <f aca="false">IFERROR(IF($L$23,-$L$5*$G$6*SIN($L$9),""),"")</f>
        <v>-10</v>
      </c>
      <c r="E24" s="66" t="s">
        <v>445</v>
      </c>
      <c r="F24" s="64" t="n">
        <f aca="false">IFERROR(IF($L$23,-$L$5*$G$6*SIN($L$9),""),"")</f>
        <v>-10</v>
      </c>
      <c r="K24" s="59" t="s">
        <v>446</v>
      </c>
      <c r="L24" s="59" t="n">
        <f aca="false">IFERROR(DEGREES(ACOS(MIN(1,MAX(-1,(L5^2+L8^2-(L6-L7)^2)/(2*L5*L8))))),"")</f>
        <v>0</v>
      </c>
    </row>
    <row r="25" customFormat="false" ht="14.25" hidden="false" customHeight="false" outlineLevel="0" collapsed="false">
      <c r="C25" s="66" t="s">
        <v>447</v>
      </c>
      <c r="D25" s="64" t="n">
        <f aca="false">IFERROR(IF($L$23,$L$5*$G$6*COS($L$9),""),"")</f>
        <v>17.3205080756888</v>
      </c>
      <c r="E25" s="66" t="s">
        <v>447</v>
      </c>
      <c r="F25" s="64" t="n">
        <f aca="false">IFERROR(IF($L$23,$L$5*$G$6*COS($L$9),""),"")</f>
        <v>17.3205080756888</v>
      </c>
      <c r="K25" s="59" t="s">
        <v>448</v>
      </c>
      <c r="L25" s="59" t="n">
        <f aca="false">IFERROR(DEGREES(ACOS(MIN(1,MAX(-1,(L5^2+L8^2-(L6+L7)^2)/(2*L5*L8))))),"")</f>
        <v>180</v>
      </c>
    </row>
    <row r="26" customFormat="false" ht="14.25" hidden="false" customHeight="false" outlineLevel="0" collapsed="false">
      <c r="C26" s="66" t="s">
        <v>449</v>
      </c>
      <c r="D26" s="64" t="n">
        <f aca="false">IFERROR(IF($L$23,-$L$6*D22*SIN(C11),""),"")</f>
        <v>-4.19482548134712</v>
      </c>
      <c r="E26" s="66" t="s">
        <v>449</v>
      </c>
      <c r="F26" s="64" t="n">
        <f aca="false">IFERROR(IF($L$23,-$L$6*F22*SIN(F11),""),"")</f>
        <v>41.928124601378</v>
      </c>
    </row>
    <row r="27" customFormat="false" ht="14.25" hidden="false" customHeight="false" outlineLevel="0" collapsed="false">
      <c r="C27" s="66" t="s">
        <v>450</v>
      </c>
      <c r="D27" s="64" t="n">
        <f aca="false">IFERROR(IF($L$23,$L$6*D22*COS(C11),""),"")</f>
        <v>1.97490200369891</v>
      </c>
      <c r="E27" s="66" t="s">
        <v>450</v>
      </c>
      <c r="F27" s="64" t="n">
        <f aca="false">IFERROR(IF($L$23,$L$6*F22*COS(F11),""),"")</f>
        <v>-0.851004837685557</v>
      </c>
    </row>
    <row r="28" customFormat="false" ht="14.25" hidden="false" customHeight="false" outlineLevel="0" collapsed="false">
      <c r="C28" s="66" t="s">
        <v>451</v>
      </c>
      <c r="D28" s="64" t="n">
        <f aca="false">IFERROR(IF($L$23,D24+D26,""),"")</f>
        <v>-14.1948254813471</v>
      </c>
      <c r="E28" s="66" t="s">
        <v>451</v>
      </c>
      <c r="F28" s="64" t="n">
        <f aca="false">IFERROR(IF($L$23,F24+F26,""),"")</f>
        <v>31.928124601378</v>
      </c>
    </row>
    <row r="29" customFormat="false" ht="14.25" hidden="false" customHeight="false" outlineLevel="0" collapsed="false">
      <c r="C29" s="66" t="s">
        <v>452</v>
      </c>
      <c r="D29" s="64" t="n">
        <f aca="false">IFERROR(IF($L$23,D25+D27,""),"")</f>
        <v>19.2954100793877</v>
      </c>
      <c r="E29" s="66" t="s">
        <v>452</v>
      </c>
      <c r="F29" s="64" t="n">
        <f aca="false">IFERROR(IF($L$23,F25+F27,""),"")</f>
        <v>16.4695032380032</v>
      </c>
    </row>
    <row r="30" customFormat="false" ht="14.25" hidden="false" customHeight="false" outlineLevel="0" collapsed="false">
      <c r="C30" s="66" t="s">
        <v>453</v>
      </c>
      <c r="D30" s="64" t="n">
        <f aca="false">IFERROR(IF($L$23,-$H$6*D22*SIN(C11+RADIANS($I$6)),""),"")</f>
        <v>-3.96023694269001</v>
      </c>
      <c r="E30" s="66" t="s">
        <v>453</v>
      </c>
      <c r="F30" s="64" t="n">
        <f aca="false">IFERROR(IF($L$23,-$H$6*F22*SIN(F11+RADIANS($I$6)),""),"")</f>
        <v>31.488277248579</v>
      </c>
    </row>
    <row r="31" customFormat="false" ht="14.25" hidden="false" customHeight="false" outlineLevel="0" collapsed="false">
      <c r="C31" s="66" t="s">
        <v>454</v>
      </c>
      <c r="D31" s="64" t="n">
        <f aca="false">IFERROR(IF($L$23,$H$6*D22*COS(C11+RADIANS($I$6)),""),"")</f>
        <v>-0.331797801844724</v>
      </c>
      <c r="E31" s="66" t="s">
        <v>454</v>
      </c>
      <c r="F31" s="64" t="n">
        <f aca="false">IFERROR(IF($L$23,$H$6*F22*COS(F11+RADIANS($I$6)),""),"")</f>
        <v>17.3374889935799</v>
      </c>
    </row>
    <row r="32" customFormat="false" ht="14.25" hidden="false" customHeight="false" outlineLevel="0" collapsed="false">
      <c r="C32" s="66" t="s">
        <v>455</v>
      </c>
      <c r="D32" s="64" t="n">
        <f aca="false">IFERROR(IF($L$23,D24+D30,""),"")</f>
        <v>-13.96023694269</v>
      </c>
      <c r="E32" s="66" t="s">
        <v>455</v>
      </c>
      <c r="F32" s="64" t="n">
        <f aca="false">IFERROR(IF($L$23,F24+F30,""),"")</f>
        <v>21.488277248579</v>
      </c>
    </row>
    <row r="33" customFormat="false" ht="14.25" hidden="false" customHeight="false" outlineLevel="0" collapsed="false">
      <c r="C33" s="66" t="s">
        <v>456</v>
      </c>
      <c r="D33" s="64" t="n">
        <f aca="false">IFERROR(IF($L$23,D25+D31,""),"")</f>
        <v>16.9887102738441</v>
      </c>
      <c r="E33" s="66" t="s">
        <v>456</v>
      </c>
      <c r="F33" s="64" t="n">
        <f aca="false">IFERROR(IF($L$23,F25+F31,""),"")</f>
        <v>34.6579970692687</v>
      </c>
    </row>
    <row r="35" customFormat="false" ht="14.25" hidden="false" customHeight="false" outlineLevel="0" collapsed="false">
      <c r="B35" s="67" t="s">
        <v>457</v>
      </c>
    </row>
    <row r="37" customFormat="false" ht="14.25" hidden="false" customHeight="false" outlineLevel="0" collapsed="false">
      <c r="B37" s="61" t="s">
        <v>458</v>
      </c>
    </row>
    <row r="38" customFormat="false" ht="14.25" hidden="false" customHeight="false" outlineLevel="0" collapsed="false">
      <c r="B38" s="51" t="s">
        <v>459</v>
      </c>
      <c r="F38" s="51" t="n">
        <f aca="false">IF(COUNT($B$6:$I$6)&lt;8,"",SQRT($L$5^2+$L$8^2-2*$L$5*$L$8*COS($L$9)))</f>
        <v>4.38353627898452</v>
      </c>
      <c r="G38" s="51" t="s">
        <v>460</v>
      </c>
    </row>
    <row r="39" customFormat="false" ht="14.25" hidden="false" customHeight="false" outlineLevel="0" collapsed="false">
      <c r="B39" s="51" t="s">
        <v>461</v>
      </c>
      <c r="F39" s="51" t="n">
        <f aca="false">IF(COUNT($B$6:$I$6)&lt;8,"",ABS($L$6-$L$7))</f>
        <v>2</v>
      </c>
      <c r="G39" s="51" t="s">
        <v>460</v>
      </c>
    </row>
    <row r="40" customFormat="false" ht="14.25" hidden="false" customHeight="false" outlineLevel="0" collapsed="false">
      <c r="B40" s="51" t="s">
        <v>462</v>
      </c>
      <c r="F40" s="51" t="n">
        <f aca="false">IF(COUNT($B$6:$I$6)&lt;8,"",$L$6+$L$7)</f>
        <v>16</v>
      </c>
      <c r="G40" s="51" t="s">
        <v>460</v>
      </c>
    </row>
    <row r="41" customFormat="false" ht="14.25" hidden="false" customHeight="false" outlineLevel="0" collapsed="false">
      <c r="B41" s="51" t="s">
        <v>463</v>
      </c>
      <c r="F41" s="51" t="str">
        <f aca="false">IF(COUNT($B$6:$I$6)&lt;8,"",IF(OR((($L$5^2+$L$8^2-($L$6-$L$7)^2)/(2*$L$5*$L$8))&lt;-1,(($L$5^2+$L$8^2-($L$6+$L$7)^2)/(2*$L$5*$L$8))&gt;1),"ninguno (con estas longitudes nunca se conectan)",IF(AND($L$24=0,$L$25=180),"cualquiera (el eslabón 2 da la vuelta completa)","de "&amp;FIXED($L$24,2,TRUE())&amp;"° a "&amp;FIXED($L$25,2,TRUE())&amp;"°  y de "&amp;FIXED(360-$L$25,2,TRUE())&amp;"° a "&amp;FIXED(360-$L$24,2,TRUE())&amp;"°")))</f>
        <v>cualquiera (el eslabón 2 da la vuelta completa)</v>
      </c>
    </row>
    <row r="42" customFormat="false" ht="14.25" hidden="false" customHeight="false" outlineLevel="0" collapsed="false">
      <c r="B42" s="61" t="str">
        <f aca="false">IF(COUNT($B$6:$I$6)&lt;8,"",IF($L$23,"R/ Sí se pueden conectar: A–O4 = "&amp;FIXED(F38,3,TRUE())&amp;" cm está entre "&amp;FIXED(F39,3,TRUE())&amp;" y "&amp;FIXED(F40,3,TRUE())&amp;" cm.","R/Para este ángulo de entrada los eslabones no se pueden conectar."))</f>
        <v>R/ Sí se pueden conectar: A–O4 = 4.384 cm está entre 2.000 y 16.000 cm.</v>
      </c>
    </row>
  </sheetData>
  <mergeCells count="5">
    <mergeCell ref="B1:I1"/>
    <mergeCell ref="B2:I2"/>
    <mergeCell ref="B3:I3"/>
    <mergeCell ref="B7:I7"/>
    <mergeCell ref="C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false"/>
  </sheetPr>
  <dimension ref="B1:L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5859375" defaultRowHeight="14.25" zeroHeight="false" outlineLevelRow="0" outlineLevelCol="0"/>
  <cols>
    <col collapsed="false" customWidth="true" hidden="false" outlineLevel="0" max="1" min="1" style="51" width="2.78"/>
    <col collapsed="false" customWidth="true" hidden="false" outlineLevel="0" max="2" min="2" style="51" width="10.78"/>
    <col collapsed="false" customWidth="true" hidden="false" outlineLevel="0" max="4" min="3" style="51" width="13.78"/>
    <col collapsed="false" customWidth="true" hidden="false" outlineLevel="0" max="5" min="5" style="51" width="10.78"/>
    <col collapsed="false" customWidth="true" hidden="false" outlineLevel="0" max="7" min="6" style="51" width="13.78"/>
    <col collapsed="false" customWidth="true" hidden="false" outlineLevel="0" max="9" min="8" style="51" width="8.78"/>
    <col collapsed="false" customWidth="true" hidden="false" outlineLevel="0" max="10" min="10" style="51" width="4.78"/>
    <col collapsed="false" customWidth="true" hidden="false" outlineLevel="0" max="11" min="11" style="51" width="36.78"/>
    <col collapsed="false" customWidth="true" hidden="false" outlineLevel="0" max="12" min="12" style="51" width="16.78"/>
    <col collapsed="false" customWidth="false" hidden="false" outlineLevel="0" max="16384" min="13" style="51" width="11.56"/>
  </cols>
  <sheetData>
    <row r="1" customFormat="false" ht="25.5" hidden="false" customHeight="true" outlineLevel="0" collapsed="false">
      <c r="B1" s="52" t="s">
        <v>406</v>
      </c>
      <c r="C1" s="52"/>
      <c r="D1" s="52"/>
      <c r="E1" s="52"/>
      <c r="F1" s="52"/>
      <c r="G1" s="52"/>
      <c r="H1" s="52"/>
      <c r="I1" s="52"/>
    </row>
    <row r="2" customFormat="false" ht="15" hidden="false" customHeight="true" outlineLevel="0" collapsed="false">
      <c r="B2" s="53" t="s">
        <v>407</v>
      </c>
      <c r="C2" s="53"/>
      <c r="D2" s="53"/>
      <c r="E2" s="53"/>
      <c r="F2" s="53"/>
      <c r="G2" s="53"/>
      <c r="H2" s="53"/>
      <c r="I2" s="53"/>
    </row>
    <row r="3" customFormat="false" ht="14.25" hidden="false" customHeight="false" outlineLevel="0" collapsed="false">
      <c r="B3" s="54" t="s">
        <v>408</v>
      </c>
      <c r="C3" s="54"/>
      <c r="D3" s="54"/>
      <c r="E3" s="54"/>
      <c r="F3" s="54"/>
      <c r="G3" s="54"/>
      <c r="H3" s="54"/>
      <c r="I3" s="54"/>
    </row>
    <row r="4" customFormat="false" ht="23.25" hidden="false" customHeight="true" outlineLevel="0" collapsed="false">
      <c r="B4" s="55" t="s">
        <v>409</v>
      </c>
      <c r="K4" s="56" t="s">
        <v>410</v>
      </c>
      <c r="L4" s="56"/>
    </row>
    <row r="5" customFormat="false" ht="15.75" hidden="false" customHeight="true" outlineLevel="0" collapsed="false">
      <c r="B5" s="57" t="s">
        <v>411</v>
      </c>
      <c r="C5" s="57" t="s">
        <v>412</v>
      </c>
      <c r="D5" s="57" t="s">
        <v>413</v>
      </c>
      <c r="E5" s="57" t="s">
        <v>414</v>
      </c>
      <c r="F5" s="58" t="s">
        <v>164</v>
      </c>
      <c r="G5" s="58" t="s">
        <v>75</v>
      </c>
      <c r="H5" s="58" t="s">
        <v>415</v>
      </c>
      <c r="I5" s="58" t="s">
        <v>416</v>
      </c>
      <c r="K5" s="59" t="s">
        <v>417</v>
      </c>
      <c r="L5" s="59" t="n">
        <f aca="false">C6</f>
        <v>10</v>
      </c>
    </row>
    <row r="6" customFormat="false" ht="14.25" hidden="false" customHeight="false" outlineLevel="0" collapsed="false">
      <c r="B6" s="60" t="n">
        <v>3</v>
      </c>
      <c r="C6" s="60" t="n">
        <v>10</v>
      </c>
      <c r="D6" s="60" t="n">
        <v>6</v>
      </c>
      <c r="E6" s="60" t="n">
        <v>8</v>
      </c>
      <c r="F6" s="60" t="n">
        <v>45</v>
      </c>
      <c r="G6" s="60" t="n">
        <v>-15</v>
      </c>
      <c r="H6" s="60" t="n">
        <v>10</v>
      </c>
      <c r="I6" s="60" t="n">
        <v>80</v>
      </c>
      <c r="K6" s="59" t="s">
        <v>418</v>
      </c>
      <c r="L6" s="59" t="n">
        <f aca="false">D6</f>
        <v>6</v>
      </c>
    </row>
    <row r="7" customFormat="false" ht="15" hidden="false" customHeight="true" outlineLevel="0" collapsed="false">
      <c r="B7" s="53" t="str">
        <f aca="false">IF(COUNT($B$6:$I$6)&lt;8,"Faltan datos: llena las 8 celdas amarillas.",IF($L$23,"","R/Para este ángulo de entrada los eslabones no se pueden conectar."))</f>
        <v/>
      </c>
      <c r="C7" s="53"/>
      <c r="D7" s="53"/>
      <c r="E7" s="53"/>
      <c r="F7" s="53"/>
      <c r="G7" s="53"/>
      <c r="H7" s="53"/>
      <c r="I7" s="53"/>
      <c r="K7" s="59" t="s">
        <v>419</v>
      </c>
      <c r="L7" s="59" t="n">
        <f aca="false">E6</f>
        <v>8</v>
      </c>
    </row>
    <row r="8" customFormat="false" ht="14.25" hidden="false" customHeight="false" outlineLevel="0" collapsed="false">
      <c r="D8" s="61" t="s">
        <v>420</v>
      </c>
      <c r="K8" s="59" t="s">
        <v>421</v>
      </c>
      <c r="L8" s="59" t="n">
        <f aca="false">B6</f>
        <v>3</v>
      </c>
    </row>
    <row r="9" customFormat="false" ht="14.25" hidden="false" customHeight="false" outlineLevel="0" collapsed="false">
      <c r="C9" s="61" t="s">
        <v>422</v>
      </c>
      <c r="F9" s="61" t="s">
        <v>423</v>
      </c>
      <c r="K9" s="59" t="s">
        <v>424</v>
      </c>
      <c r="L9" s="59" t="n">
        <f aca="false">RADIANS(F6)</f>
        <v>0.785398163397448</v>
      </c>
    </row>
    <row r="10" customFormat="false" ht="14.25" hidden="false" customHeight="false" outlineLevel="0" collapsed="false">
      <c r="C10" s="62" t="s">
        <v>425</v>
      </c>
      <c r="D10" s="62" t="s">
        <v>426</v>
      </c>
      <c r="F10" s="62" t="s">
        <v>425</v>
      </c>
      <c r="G10" s="62" t="s">
        <v>426</v>
      </c>
      <c r="K10" s="59" t="s">
        <v>427</v>
      </c>
      <c r="L10" s="59" t="n">
        <f aca="false">L8/L5</f>
        <v>0.3</v>
      </c>
    </row>
    <row r="11" customFormat="false" ht="15.75" hidden="false" customHeight="true" outlineLevel="0" collapsed="false">
      <c r="B11" s="63" t="s">
        <v>175</v>
      </c>
      <c r="C11" s="64" t="n">
        <f aca="false">IFERROR(IF($L$23,2*ATAN((-$L$19+SQRT(MAX(0,$L$22)))/(2*$L$18)),""),"")</f>
        <v>3.02414719335171</v>
      </c>
      <c r="D11" s="64" t="n">
        <f aca="false">IFERROR(IF($L$23,DEGREES(C11),""),"")</f>
        <v>173.270870805387</v>
      </c>
      <c r="E11" s="63" t="s">
        <v>175</v>
      </c>
      <c r="F11" s="64" t="n">
        <f aca="false">IFERROR(IF($L$23,2*ATAN((-$L$19-SQRT(MAX(0,$L$22)))/(2*$L$18)),""),"")</f>
        <v>-0.927328891404773</v>
      </c>
      <c r="G11" s="64" t="n">
        <f aca="false">IFERROR(IF($L$23,DEGREES(F11),""),"")</f>
        <v>-53.132031698039</v>
      </c>
      <c r="K11" s="59" t="s">
        <v>428</v>
      </c>
      <c r="L11" s="59" t="n">
        <f aca="false">L8/L7</f>
        <v>0.375</v>
      </c>
    </row>
    <row r="12" customFormat="false" ht="15.75" hidden="false" customHeight="true" outlineLevel="0" collapsed="false">
      <c r="B12" s="63" t="s">
        <v>429</v>
      </c>
      <c r="C12" s="64" t="n">
        <f aca="false">IFERROR(IF($L$23,2*ATAN((-$L$16+SQRT(MAX(0,$L$21)))/(2*$L$15)),""),"")</f>
        <v>1.8089923071867</v>
      </c>
      <c r="D12" s="64" t="n">
        <f aca="false">IFERROR(IF($L$23,DEGREES(C12),""),"")</f>
        <v>103.647624373431</v>
      </c>
      <c r="E12" s="63" t="s">
        <v>429</v>
      </c>
      <c r="F12" s="64" t="n">
        <f aca="false">IFERROR(IF($L$23,2*ATAN((-$L$16-SQRT(MAX(0,$L$21)))/(2*$L$15)),""),"")</f>
        <v>0.287825994760239</v>
      </c>
      <c r="G12" s="64" t="n">
        <f aca="false">IFERROR(IF($L$23,DEGREES(F12),""),"")</f>
        <v>16.4912147339163</v>
      </c>
      <c r="K12" s="59" t="s">
        <v>430</v>
      </c>
      <c r="L12" s="59" t="n">
        <f aca="false">(L5^2-L6^2+L7^2+L8^2)/(2*L5*L7)</f>
        <v>0.85625</v>
      </c>
    </row>
    <row r="13" customFormat="false" ht="14.25" hidden="false" customHeight="false" outlineLevel="0" collapsed="false">
      <c r="B13" s="63" t="s">
        <v>193</v>
      </c>
      <c r="C13" s="64" t="n">
        <f aca="false">IFERROR(IF($L$23,ACOS(ABS(COS(C12-C11))),""),"")</f>
        <v>1.21515488616501</v>
      </c>
      <c r="D13" s="64" t="n">
        <f aca="false">IFERROR(IF($L$23,DEGREES(C13),""),"")</f>
        <v>69.6232464319553</v>
      </c>
      <c r="E13" s="63" t="s">
        <v>193</v>
      </c>
      <c r="F13" s="64" t="n">
        <f aca="false">IFERROR(IF($L$23,ACOS(ABS(COS(F12-F11))),""),"")</f>
        <v>1.21515488616501</v>
      </c>
      <c r="G13" s="64" t="n">
        <f aca="false">IFERROR(IF($L$23,DEGREES(F13),""),"")</f>
        <v>69.6232464319552</v>
      </c>
      <c r="K13" s="59" t="s">
        <v>431</v>
      </c>
      <c r="L13" s="59" t="n">
        <f aca="false">L8/L6</f>
        <v>0.5</v>
      </c>
    </row>
    <row r="14" customFormat="false" ht="14.25" hidden="false" customHeight="false" outlineLevel="0" collapsed="false">
      <c r="K14" s="59" t="s">
        <v>432</v>
      </c>
      <c r="L14" s="59" t="n">
        <f aca="false">(L7^2-L8^2-L5^2-L6^2)/(2*L5*L6)</f>
        <v>-0.675</v>
      </c>
    </row>
    <row r="15" customFormat="false" ht="14.25" hidden="false" customHeight="false" outlineLevel="0" collapsed="false">
      <c r="C15" s="62" t="s">
        <v>426</v>
      </c>
      <c r="K15" s="59" t="s">
        <v>433</v>
      </c>
      <c r="L15" s="59" t="n">
        <f aca="false">COS(L9)-L10-L11*COS(L9)+L12</f>
        <v>0.998191738241592</v>
      </c>
    </row>
    <row r="16" customFormat="false" ht="15.75" hidden="false" customHeight="true" outlineLevel="0" collapsed="false">
      <c r="B16" s="63" t="s">
        <v>175</v>
      </c>
      <c r="C16" s="64" t="n">
        <f aca="false">IFERROR(IF($L$23,D11+360,""),"")</f>
        <v>533.270870805387</v>
      </c>
      <c r="K16" s="59" t="s">
        <v>434</v>
      </c>
      <c r="L16" s="59" t="n">
        <f aca="false">-2*SIN(L9)</f>
        <v>-1.4142135623731</v>
      </c>
    </row>
    <row r="17" customFormat="false" ht="15.75" hidden="false" customHeight="true" outlineLevel="0" collapsed="false">
      <c r="B17" s="63" t="s">
        <v>429</v>
      </c>
      <c r="C17" s="64" t="n">
        <f aca="false">IFERROR(IF($L$23,D12+360,""),"")</f>
        <v>463.647624373431</v>
      </c>
      <c r="K17" s="59" t="s">
        <v>435</v>
      </c>
      <c r="L17" s="59" t="n">
        <f aca="false">L10-(L11+1)*COS(L9)+L12</f>
        <v>0.183978175868497</v>
      </c>
    </row>
    <row r="18" customFormat="false" ht="14.25" hidden="false" customHeight="false" outlineLevel="0" collapsed="false">
      <c r="K18" s="59" t="s">
        <v>436</v>
      </c>
      <c r="L18" s="59" t="n">
        <f aca="false">COS(L9)-L10+L13*COS(L9)+L14</f>
        <v>0.0856601717798213</v>
      </c>
    </row>
    <row r="19" customFormat="false" ht="15" hidden="false" customHeight="true" outlineLevel="0" collapsed="false">
      <c r="C19" s="53" t="s">
        <v>437</v>
      </c>
      <c r="D19" s="53"/>
      <c r="E19" s="53"/>
      <c r="F19" s="53"/>
      <c r="K19" s="59" t="s">
        <v>438</v>
      </c>
      <c r="L19" s="59" t="n">
        <f aca="false">-2*SIN(L9)</f>
        <v>-1.4142135623731</v>
      </c>
    </row>
    <row r="20" customFormat="false" ht="14.25" hidden="false" customHeight="false" outlineLevel="0" collapsed="false">
      <c r="D20" s="61" t="s">
        <v>422</v>
      </c>
      <c r="F20" s="61" t="s">
        <v>423</v>
      </c>
      <c r="K20" s="59" t="s">
        <v>439</v>
      </c>
      <c r="L20" s="59" t="n">
        <f aca="false">L10+(L13-1)*COS(L9)+L14</f>
        <v>-0.728553390593274</v>
      </c>
    </row>
    <row r="21" customFormat="false" ht="14.25" hidden="false" customHeight="false" outlineLevel="0" collapsed="false">
      <c r="D21" s="62" t="s">
        <v>440</v>
      </c>
      <c r="F21" s="62" t="s">
        <v>440</v>
      </c>
      <c r="K21" s="59" t="s">
        <v>441</v>
      </c>
      <c r="L21" s="59" t="n">
        <f aca="false">L16^2-4*L15*L17</f>
        <v>1.26541801932523</v>
      </c>
    </row>
    <row r="22" customFormat="false" ht="15.75" hidden="false" customHeight="true" outlineLevel="0" collapsed="false">
      <c r="C22" s="63" t="s">
        <v>203</v>
      </c>
      <c r="D22" s="64" t="n">
        <f aca="false">IFERROR(IF($L$23,$L$5*$G$6*SIN(C12-$L$9)/($L$6*SIN(C11-C12)),""),"")</f>
        <v>-22.7747574827512</v>
      </c>
      <c r="E22" s="63" t="s">
        <v>203</v>
      </c>
      <c r="F22" s="64" t="n">
        <f aca="false">IFERROR(IF($L$23,$L$5*$G$6*SIN(F12-$L$9)/($L$6*SIN(F11-F12)),""),"")</f>
        <v>-12.7288676912572</v>
      </c>
      <c r="K22" s="59" t="s">
        <v>442</v>
      </c>
      <c r="L22" s="59" t="n">
        <f aca="false">L19^2-4*L18*L20</f>
        <v>2.24963203435596</v>
      </c>
    </row>
    <row r="23" customFormat="false" ht="15.75" hidden="false" customHeight="true" outlineLevel="0" collapsed="false">
      <c r="C23" s="63" t="s">
        <v>443</v>
      </c>
      <c r="D23" s="64" t="n">
        <f aca="false">IFERROR(IF($L$23,$L$5*$G$6*SIN($L$9-C11)/($L$7*SIN(C12-C11)),""),"")</f>
        <v>-15.7031113977295</v>
      </c>
      <c r="E23" s="63" t="s">
        <v>443</v>
      </c>
      <c r="F23" s="64" t="n">
        <f aca="false">IFERROR(IF($L$23,$L$5*$G$6*SIN($L$9-F11)/($L$7*SIN(F12-F11)),""),"")</f>
        <v>-19.8005137762788</v>
      </c>
      <c r="K23" s="59" t="s">
        <v>444</v>
      </c>
      <c r="L23" s="65" t="b">
        <f aca="false">IFERROR(AND(COUNT(B6:I6)=8,L21&gt;=-0.000000001,L22&gt;=-0.000000001),FALSE())</f>
        <v>1</v>
      </c>
    </row>
    <row r="24" customFormat="false" ht="14.25" hidden="false" customHeight="false" outlineLevel="0" collapsed="false">
      <c r="C24" s="66" t="s">
        <v>445</v>
      </c>
      <c r="D24" s="64" t="n">
        <f aca="false">IFERROR(IF($L$23,-$L$5*$G$6*SIN($L$9),""),"")</f>
        <v>106.066017177982</v>
      </c>
      <c r="E24" s="66" t="s">
        <v>445</v>
      </c>
      <c r="F24" s="64" t="n">
        <f aca="false">IFERROR(IF($L$23,-$L$5*$G$6*SIN($L$9),""),"")</f>
        <v>106.066017177982</v>
      </c>
      <c r="K24" s="59" t="s">
        <v>446</v>
      </c>
      <c r="L24" s="59" t="n">
        <f aca="false">IFERROR(DEGREES(ACOS(MIN(1,MAX(-1,(L5^2+L8^2-(L6-L7)^2)/(2*L5*L8))))),"")</f>
        <v>0</v>
      </c>
    </row>
    <row r="25" customFormat="false" ht="14.25" hidden="false" customHeight="false" outlineLevel="0" collapsed="false">
      <c r="C25" s="66" t="s">
        <v>447</v>
      </c>
      <c r="D25" s="64" t="n">
        <f aca="false">IFERROR(IF($L$23,$L$5*$G$6*COS($L$9),""),"")</f>
        <v>-106.066017177982</v>
      </c>
      <c r="E25" s="66" t="s">
        <v>447</v>
      </c>
      <c r="F25" s="64" t="n">
        <f aca="false">IFERROR(IF($L$23,$L$5*$G$6*COS($L$9),""),"")</f>
        <v>-106.066017177982</v>
      </c>
      <c r="K25" s="59" t="s">
        <v>448</v>
      </c>
      <c r="L25" s="59" t="n">
        <f aca="false">IFERROR(DEGREES(ACOS(MIN(1,MAX(-1,(L5^2+L8^2-(L6+L7)^2)/(2*L5*L8))))),"")</f>
        <v>180</v>
      </c>
    </row>
    <row r="26" customFormat="false" ht="14.25" hidden="false" customHeight="false" outlineLevel="0" collapsed="false">
      <c r="C26" s="66" t="s">
        <v>449</v>
      </c>
      <c r="D26" s="64" t="n">
        <f aca="false">IFERROR(IF($L$23,-$L$6*D22*SIN(C11),""),"")</f>
        <v>16.0118821121429</v>
      </c>
      <c r="E26" s="66" t="s">
        <v>449</v>
      </c>
      <c r="F26" s="64" t="n">
        <f aca="false">IFERROR(IF($L$23,-$L$6*F22*SIN(F11),""),"")</f>
        <v>-61.1001079308512</v>
      </c>
    </row>
    <row r="27" customFormat="false" ht="14.25" hidden="false" customHeight="false" outlineLevel="0" collapsed="false">
      <c r="C27" s="66" t="s">
        <v>450</v>
      </c>
      <c r="D27" s="64" t="n">
        <f aca="false">IFERROR(IF($L$23,$L$6*D22*COS(C11),""),"")</f>
        <v>135.707201185344</v>
      </c>
      <c r="E27" s="66" t="s">
        <v>450</v>
      </c>
      <c r="F27" s="64" t="n">
        <f aca="false">IFERROR(IF($L$23,$L$6*F22*COS(F11),""),"")</f>
        <v>-45.8218662659374</v>
      </c>
    </row>
    <row r="28" customFormat="false" ht="14.25" hidden="false" customHeight="false" outlineLevel="0" collapsed="false">
      <c r="C28" s="66" t="s">
        <v>451</v>
      </c>
      <c r="D28" s="64" t="n">
        <f aca="false">IFERROR(IF($L$23,D24+D26,""),"")</f>
        <v>122.077899290125</v>
      </c>
      <c r="E28" s="66" t="s">
        <v>451</v>
      </c>
      <c r="F28" s="64" t="n">
        <f aca="false">IFERROR(IF($L$23,F24+F26,""),"")</f>
        <v>44.9659092471309</v>
      </c>
    </row>
    <row r="29" customFormat="false" ht="14.25" hidden="false" customHeight="false" outlineLevel="0" collapsed="false">
      <c r="C29" s="66" t="s">
        <v>452</v>
      </c>
      <c r="D29" s="64" t="n">
        <f aca="false">IFERROR(IF($L$23,D25+D27,""),"")</f>
        <v>29.6411840073623</v>
      </c>
      <c r="E29" s="66" t="s">
        <v>452</v>
      </c>
      <c r="F29" s="64" t="n">
        <f aca="false">IFERROR(IF($L$23,F25+F27,""),"")</f>
        <v>-151.88788344392</v>
      </c>
    </row>
    <row r="30" customFormat="false" ht="14.25" hidden="false" customHeight="false" outlineLevel="0" collapsed="false">
      <c r="C30" s="66" t="s">
        <v>453</v>
      </c>
      <c r="D30" s="64" t="n">
        <f aca="false">IFERROR(IF($L$23,-$H$6*D22*SIN(C11+RADIANS($I$6)),""),"")</f>
        <v>-218.108449528539</v>
      </c>
      <c r="E30" s="66" t="s">
        <v>453</v>
      </c>
      <c r="F30" s="64" t="n">
        <f aca="false">IFERROR(IF($L$23,-$H$6*F22*SIN(F11+RADIANS($I$6)),""),"")</f>
        <v>57.5263445978977</v>
      </c>
    </row>
    <row r="31" customFormat="false" ht="14.25" hidden="false" customHeight="false" outlineLevel="0" collapsed="false">
      <c r="C31" s="66" t="s">
        <v>454</v>
      </c>
      <c r="D31" s="64" t="n">
        <f aca="false">IFERROR(IF($L$23,$H$6*D22*COS(C11+RADIANS($I$6)),""),"")</f>
        <v>65.5565563774506</v>
      </c>
      <c r="E31" s="66" t="s">
        <v>454</v>
      </c>
      <c r="F31" s="64" t="n">
        <f aca="false">IFERROR(IF($L$23,$H$6*F22*COS(F11+RADIANS($I$6)),""),"")</f>
        <v>-113.547905957605</v>
      </c>
    </row>
    <row r="32" customFormat="false" ht="14.25" hidden="false" customHeight="false" outlineLevel="0" collapsed="false">
      <c r="C32" s="66" t="s">
        <v>455</v>
      </c>
      <c r="D32" s="64" t="n">
        <f aca="false">IFERROR(IF($L$23,D24+D30,""),"")</f>
        <v>-112.042432350557</v>
      </c>
      <c r="E32" s="66" t="s">
        <v>455</v>
      </c>
      <c r="F32" s="64" t="n">
        <f aca="false">IFERROR(IF($L$23,F24+F30,""),"")</f>
        <v>163.59236177588</v>
      </c>
    </row>
    <row r="33" customFormat="false" ht="14.25" hidden="false" customHeight="false" outlineLevel="0" collapsed="false">
      <c r="C33" s="66" t="s">
        <v>456</v>
      </c>
      <c r="D33" s="64" t="n">
        <f aca="false">IFERROR(IF($L$23,D25+D31,""),"")</f>
        <v>-40.5094608005315</v>
      </c>
      <c r="E33" s="66" t="s">
        <v>456</v>
      </c>
      <c r="F33" s="64" t="n">
        <f aca="false">IFERROR(IF($L$23,F25+F31,""),"")</f>
        <v>-219.613923135587</v>
      </c>
    </row>
    <row r="35" customFormat="false" ht="14.25" hidden="false" customHeight="false" outlineLevel="0" collapsed="false">
      <c r="B35" s="67" t="s">
        <v>457</v>
      </c>
    </row>
    <row r="37" customFormat="false" ht="14.25" hidden="false" customHeight="false" outlineLevel="0" collapsed="false">
      <c r="B37" s="61" t="s">
        <v>458</v>
      </c>
    </row>
    <row r="38" customFormat="false" ht="14.25" hidden="false" customHeight="false" outlineLevel="0" collapsed="false">
      <c r="B38" s="51" t="s">
        <v>459</v>
      </c>
      <c r="F38" s="51" t="n">
        <f aca="false">IF(COUNT($B$6:$I$6)&lt;8,"",SQRT($L$5^2+$L$8^2-2*$L$5*$L$8*COS($L$9)))</f>
        <v>8.15926425168392</v>
      </c>
      <c r="G38" s="51" t="s">
        <v>460</v>
      </c>
    </row>
    <row r="39" customFormat="false" ht="14.25" hidden="false" customHeight="false" outlineLevel="0" collapsed="false">
      <c r="B39" s="51" t="s">
        <v>461</v>
      </c>
      <c r="F39" s="51" t="n">
        <f aca="false">IF(COUNT($B$6:$I$6)&lt;8,"",ABS($L$6-$L$7))</f>
        <v>2</v>
      </c>
      <c r="G39" s="51" t="s">
        <v>460</v>
      </c>
    </row>
    <row r="40" customFormat="false" ht="14.25" hidden="false" customHeight="false" outlineLevel="0" collapsed="false">
      <c r="B40" s="51" t="s">
        <v>462</v>
      </c>
      <c r="F40" s="51" t="n">
        <f aca="false">IF(COUNT($B$6:$I$6)&lt;8,"",$L$6+$L$7)</f>
        <v>14</v>
      </c>
      <c r="G40" s="51" t="s">
        <v>460</v>
      </c>
    </row>
    <row r="41" customFormat="false" ht="14.25" hidden="false" customHeight="false" outlineLevel="0" collapsed="false">
      <c r="B41" s="51" t="s">
        <v>463</v>
      </c>
      <c r="F41" s="51" t="str">
        <f aca="false">IF(COUNT($B$6:$I$6)&lt;8,"",IF(OR((($L$5^2+$L$8^2-($L$6-$L$7)^2)/(2*$L$5*$L$8))&lt;-1,(($L$5^2+$L$8^2-($L$6+$L$7)^2)/(2*$L$5*$L$8))&gt;1),"ninguno (con estas longitudes nunca se conectan)",IF(AND($L$24=0,$L$25=180),"cualquiera (el eslabón 2 da la vuelta completa)","de "&amp;FIXED($L$24,2,TRUE())&amp;"° a "&amp;FIXED($L$25,2,TRUE())&amp;"°  y de "&amp;FIXED(360-$L$25,2,TRUE())&amp;"° a "&amp;FIXED(360-$L$24,2,TRUE())&amp;"°")))</f>
        <v>cualquiera (el eslabón 2 da la vuelta completa)</v>
      </c>
    </row>
    <row r="42" customFormat="false" ht="14.25" hidden="false" customHeight="false" outlineLevel="0" collapsed="false">
      <c r="B42" s="61" t="str">
        <f aca="false">IF(COUNT($B$6:$I$6)&lt;8,"",IF($L$23,"R/ Sí se pueden conectar: A–O4 = "&amp;FIXED(F38,3,TRUE())&amp;" cm está entre "&amp;FIXED(F39,3,TRUE())&amp;" y "&amp;FIXED(F40,3,TRUE())&amp;" cm.","R/Para este ángulo de entrada los eslabones no se pueden conectar."))</f>
        <v>R/ Sí se pueden conectar: A–O4 = 8.159 cm está entre 2.000 y 14.000 cm.</v>
      </c>
    </row>
  </sheetData>
  <mergeCells count="5">
    <mergeCell ref="B1:I1"/>
    <mergeCell ref="B2:I2"/>
    <mergeCell ref="B3:I3"/>
    <mergeCell ref="B7:I7"/>
    <mergeCell ref="C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false"/>
  </sheetPr>
  <dimension ref="B1:L42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O16" activeCellId="0" sqref="O16"/>
    </sheetView>
  </sheetViews>
  <sheetFormatPr defaultColWidth="11.55859375" defaultRowHeight="14.25" zeroHeight="false" outlineLevelRow="0" outlineLevelCol="0"/>
  <cols>
    <col collapsed="false" customWidth="true" hidden="false" outlineLevel="0" max="1" min="1" style="51" width="2.78"/>
    <col collapsed="false" customWidth="true" hidden="false" outlineLevel="0" max="2" min="2" style="51" width="10.78"/>
    <col collapsed="false" customWidth="true" hidden="false" outlineLevel="0" max="4" min="3" style="51" width="13.78"/>
    <col collapsed="false" customWidth="true" hidden="false" outlineLevel="0" max="5" min="5" style="51" width="10.78"/>
    <col collapsed="false" customWidth="true" hidden="false" outlineLevel="0" max="7" min="6" style="51" width="13.78"/>
    <col collapsed="false" customWidth="true" hidden="false" outlineLevel="0" max="9" min="8" style="51" width="8.78"/>
    <col collapsed="false" customWidth="true" hidden="false" outlineLevel="0" max="10" min="10" style="51" width="4.78"/>
    <col collapsed="false" customWidth="true" hidden="false" outlineLevel="0" max="11" min="11" style="51" width="36.78"/>
    <col collapsed="false" customWidth="true" hidden="false" outlineLevel="0" max="12" min="12" style="51" width="16.78"/>
    <col collapsed="false" customWidth="false" hidden="false" outlineLevel="0" max="16384" min="13" style="51" width="11.56"/>
  </cols>
  <sheetData>
    <row r="1" customFormat="false" ht="25.5" hidden="false" customHeight="true" outlineLevel="0" collapsed="false">
      <c r="B1" s="52" t="s">
        <v>406</v>
      </c>
      <c r="C1" s="52"/>
      <c r="D1" s="52"/>
      <c r="E1" s="52"/>
      <c r="F1" s="52"/>
      <c r="G1" s="52"/>
      <c r="H1" s="52"/>
      <c r="I1" s="52"/>
    </row>
    <row r="2" customFormat="false" ht="15" hidden="false" customHeight="true" outlineLevel="0" collapsed="false">
      <c r="B2" s="53" t="s">
        <v>407</v>
      </c>
      <c r="C2" s="53"/>
      <c r="D2" s="53"/>
      <c r="E2" s="53"/>
      <c r="F2" s="53"/>
      <c r="G2" s="53"/>
      <c r="H2" s="53"/>
      <c r="I2" s="53"/>
    </row>
    <row r="3" customFormat="false" ht="14.25" hidden="false" customHeight="false" outlineLevel="0" collapsed="false">
      <c r="B3" s="54" t="s">
        <v>408</v>
      </c>
      <c r="C3" s="54"/>
      <c r="D3" s="54"/>
      <c r="E3" s="54"/>
      <c r="F3" s="54"/>
      <c r="G3" s="54"/>
      <c r="H3" s="54"/>
      <c r="I3" s="54"/>
    </row>
    <row r="4" customFormat="false" ht="23.25" hidden="false" customHeight="true" outlineLevel="0" collapsed="false">
      <c r="B4" s="55" t="s">
        <v>409</v>
      </c>
      <c r="K4" s="56" t="s">
        <v>410</v>
      </c>
      <c r="L4" s="56"/>
    </row>
    <row r="5" customFormat="false" ht="15.75" hidden="false" customHeight="true" outlineLevel="0" collapsed="false">
      <c r="B5" s="57" t="s">
        <v>411</v>
      </c>
      <c r="C5" s="57" t="s">
        <v>412</v>
      </c>
      <c r="D5" s="57" t="s">
        <v>413</v>
      </c>
      <c r="E5" s="57" t="s">
        <v>414</v>
      </c>
      <c r="F5" s="58" t="s">
        <v>164</v>
      </c>
      <c r="G5" s="58" t="s">
        <v>75</v>
      </c>
      <c r="H5" s="58" t="s">
        <v>415</v>
      </c>
      <c r="I5" s="58" t="s">
        <v>416</v>
      </c>
      <c r="K5" s="59" t="s">
        <v>417</v>
      </c>
      <c r="L5" s="59" t="n">
        <f aca="false">C6</f>
        <v>5</v>
      </c>
    </row>
    <row r="6" customFormat="false" ht="14.25" hidden="false" customHeight="false" outlineLevel="0" collapsed="false">
      <c r="B6" s="60" t="n">
        <v>8</v>
      </c>
      <c r="C6" s="60" t="n">
        <v>5</v>
      </c>
      <c r="D6" s="60" t="n">
        <v>8</v>
      </c>
      <c r="E6" s="60" t="n">
        <v>6</v>
      </c>
      <c r="F6" s="60" t="n">
        <v>75</v>
      </c>
      <c r="G6" s="60" t="n">
        <v>-50</v>
      </c>
      <c r="H6" s="60" t="n">
        <v>9</v>
      </c>
      <c r="I6" s="60" t="n">
        <v>300</v>
      </c>
      <c r="K6" s="59" t="s">
        <v>418</v>
      </c>
      <c r="L6" s="59" t="n">
        <f aca="false">D6</f>
        <v>8</v>
      </c>
    </row>
    <row r="7" customFormat="false" ht="15" hidden="false" customHeight="true" outlineLevel="0" collapsed="false">
      <c r="B7" s="53" t="str">
        <f aca="false">IF(COUNT($B$6:$I$6)&lt;8,"Faltan datos: llena las 8 celdas amarillas.",IF($L$23,"","R/Para este ángulo de entrada los eslabones no se pueden conectar."))</f>
        <v/>
      </c>
      <c r="C7" s="53"/>
      <c r="D7" s="53"/>
      <c r="E7" s="53"/>
      <c r="F7" s="53"/>
      <c r="G7" s="53"/>
      <c r="H7" s="53"/>
      <c r="I7" s="53"/>
      <c r="K7" s="59" t="s">
        <v>419</v>
      </c>
      <c r="L7" s="59" t="n">
        <f aca="false">E6</f>
        <v>6</v>
      </c>
    </row>
    <row r="8" customFormat="false" ht="14.25" hidden="false" customHeight="false" outlineLevel="0" collapsed="false">
      <c r="D8" s="61" t="s">
        <v>420</v>
      </c>
      <c r="K8" s="59" t="s">
        <v>421</v>
      </c>
      <c r="L8" s="59" t="n">
        <f aca="false">B6</f>
        <v>8</v>
      </c>
    </row>
    <row r="9" customFormat="false" ht="14.25" hidden="false" customHeight="false" outlineLevel="0" collapsed="false">
      <c r="C9" s="61" t="s">
        <v>422</v>
      </c>
      <c r="F9" s="61" t="s">
        <v>423</v>
      </c>
      <c r="K9" s="59" t="s">
        <v>424</v>
      </c>
      <c r="L9" s="59" t="n">
        <f aca="false">RADIANS(F6)</f>
        <v>1.30899693899575</v>
      </c>
    </row>
    <row r="10" customFormat="false" ht="14.25" hidden="false" customHeight="false" outlineLevel="0" collapsed="false">
      <c r="C10" s="62" t="s">
        <v>425</v>
      </c>
      <c r="D10" s="62" t="s">
        <v>426</v>
      </c>
      <c r="F10" s="62" t="s">
        <v>425</v>
      </c>
      <c r="G10" s="62" t="s">
        <v>426</v>
      </c>
      <c r="K10" s="59" t="s">
        <v>427</v>
      </c>
      <c r="L10" s="59" t="n">
        <f aca="false">L8/L5</f>
        <v>1.6</v>
      </c>
    </row>
    <row r="11" customFormat="false" ht="15.75" hidden="false" customHeight="true" outlineLevel="0" collapsed="false">
      <c r="B11" s="63" t="s">
        <v>175</v>
      </c>
      <c r="C11" s="64" t="n">
        <f aca="false">IFERROR(IF($L$23,2*ATAN((-$L$19+SQRT(MAX(0,$L$22)))/(2*$L$18)),""),"")</f>
        <v>-1.37916993456966</v>
      </c>
      <c r="D11" s="64" t="n">
        <f aca="false">IFERROR(IF($L$23,DEGREES(C11),""),"")</f>
        <v>-79.0206164821756</v>
      </c>
      <c r="E11" s="63" t="s">
        <v>175</v>
      </c>
      <c r="F11" s="64" t="n">
        <f aca="false">IFERROR(IF($L$23,2*ATAN((-$L$19-SQRT(MAX(0,$L$22)))/(2*$L$18)),""),"")</f>
        <v>0.130853247914815</v>
      </c>
      <c r="G11" s="64" t="n">
        <f aca="false">IFERROR(IF($L$23,DEGREES(F11),""),"")</f>
        <v>7.49733884109793</v>
      </c>
      <c r="K11" s="59" t="s">
        <v>428</v>
      </c>
      <c r="L11" s="59" t="n">
        <f aca="false">L8/L7</f>
        <v>1.33333333333333</v>
      </c>
    </row>
    <row r="12" customFormat="false" ht="15.75" hidden="false" customHeight="true" outlineLevel="0" collapsed="false">
      <c r="B12" s="63" t="s">
        <v>429</v>
      </c>
      <c r="C12" s="64" t="n">
        <f aca="false">IFERROR(IF($L$23,2*ATAN((-$L$16+SQRT(MAX(0,$L$21)))/(2*$L$15)),""),"")</f>
        <v>-2.61338102372849</v>
      </c>
      <c r="D12" s="64" t="n">
        <f aca="false">IFERROR(IF($L$23,DEGREES(C12),""),"")</f>
        <v>-149.735702919221</v>
      </c>
      <c r="E12" s="63" t="s">
        <v>429</v>
      </c>
      <c r="F12" s="64" t="n">
        <f aca="false">IFERROR(IF($L$23,2*ATAN((-$L$16-SQRT(MAX(0,$L$21)))/(2*$L$15)),""),"")</f>
        <v>1.36506433707364</v>
      </c>
      <c r="G12" s="64" t="n">
        <f aca="false">IFERROR(IF($L$23,DEGREES(F12),""),"")</f>
        <v>78.2124252781434</v>
      </c>
      <c r="K12" s="59" t="s">
        <v>430</v>
      </c>
      <c r="L12" s="59" t="n">
        <f aca="false">(L5^2-L6^2+L7^2+L8^2)/(2*L5*L7)</f>
        <v>1.01666666666667</v>
      </c>
    </row>
    <row r="13" customFormat="false" ht="14.25" hidden="false" customHeight="false" outlineLevel="0" collapsed="false">
      <c r="B13" s="63" t="s">
        <v>193</v>
      </c>
      <c r="C13" s="64" t="n">
        <f aca="false">IFERROR(IF($L$23,ACOS(ABS(COS(C12-C11))),""),"")</f>
        <v>1.23421108915883</v>
      </c>
      <c r="D13" s="64" t="n">
        <f aca="false">IFERROR(IF($L$23,DEGREES(C13),""),"")</f>
        <v>70.7150864370455</v>
      </c>
      <c r="E13" s="63" t="s">
        <v>193</v>
      </c>
      <c r="F13" s="64" t="n">
        <f aca="false">IFERROR(IF($L$23,ACOS(ABS(COS(F12-F11))),""),"")</f>
        <v>1.23421108915883</v>
      </c>
      <c r="G13" s="64" t="n">
        <f aca="false">IFERROR(IF($L$23,DEGREES(F13),""),"")</f>
        <v>70.7150864370455</v>
      </c>
      <c r="K13" s="59" t="s">
        <v>431</v>
      </c>
      <c r="L13" s="59" t="n">
        <f aca="false">L8/L6</f>
        <v>1</v>
      </c>
    </row>
    <row r="14" customFormat="false" ht="14.25" hidden="false" customHeight="false" outlineLevel="0" collapsed="false">
      <c r="K14" s="59" t="s">
        <v>432</v>
      </c>
      <c r="L14" s="59" t="n">
        <f aca="false">(L7^2-L8^2-L5^2-L6^2)/(2*L5*L6)</f>
        <v>-1.4625</v>
      </c>
    </row>
    <row r="15" customFormat="false" ht="14.25" hidden="false" customHeight="false" outlineLevel="0" collapsed="false">
      <c r="C15" s="62" t="s">
        <v>426</v>
      </c>
      <c r="K15" s="59" t="s">
        <v>433</v>
      </c>
      <c r="L15" s="59" t="n">
        <f aca="false">COS(L9)-L10-L11*COS(L9)+L12</f>
        <v>-0.669606348367507</v>
      </c>
    </row>
    <row r="16" customFormat="false" ht="15.75" hidden="false" customHeight="true" outlineLevel="0" collapsed="false">
      <c r="B16" s="63" t="s">
        <v>175</v>
      </c>
      <c r="C16" s="64" t="n">
        <f aca="false">IFERROR(IF($L$23,D11+360,""),"")</f>
        <v>280.979383517824</v>
      </c>
      <c r="K16" s="59" t="s">
        <v>434</v>
      </c>
      <c r="L16" s="59" t="n">
        <f aca="false">-2*SIN(L9)</f>
        <v>-1.93185165257814</v>
      </c>
    </row>
    <row r="17" customFormat="false" ht="15.75" hidden="false" customHeight="true" outlineLevel="0" collapsed="false">
      <c r="B17" s="63" t="s">
        <v>429</v>
      </c>
      <c r="C17" s="64" t="n">
        <f aca="false">IFERROR(IF($L$23,D12+360,""),"")</f>
        <v>210.264297080779</v>
      </c>
      <c r="K17" s="59" t="s">
        <v>435</v>
      </c>
      <c r="L17" s="59" t="n">
        <f aca="false">L10-(L11+1)*COS(L9)+L12</f>
        <v>2.01275556142745</v>
      </c>
    </row>
    <row r="18" customFormat="false" ht="14.25" hidden="false" customHeight="false" outlineLevel="0" collapsed="false">
      <c r="K18" s="59" t="s">
        <v>436</v>
      </c>
      <c r="L18" s="59" t="n">
        <f aca="false">COS(L9)-L10+L13*COS(L9)+L14</f>
        <v>-2.54486190979496</v>
      </c>
    </row>
    <row r="19" customFormat="false" ht="15" hidden="false" customHeight="true" outlineLevel="0" collapsed="false">
      <c r="C19" s="53" t="s">
        <v>437</v>
      </c>
      <c r="D19" s="53"/>
      <c r="E19" s="53"/>
      <c r="F19" s="53"/>
      <c r="K19" s="59" t="s">
        <v>438</v>
      </c>
      <c r="L19" s="59" t="n">
        <f aca="false">-2*SIN(L9)</f>
        <v>-1.93185165257814</v>
      </c>
    </row>
    <row r="20" customFormat="false" ht="14.25" hidden="false" customHeight="false" outlineLevel="0" collapsed="false">
      <c r="D20" s="61" t="s">
        <v>422</v>
      </c>
      <c r="F20" s="61" t="s">
        <v>423</v>
      </c>
      <c r="K20" s="59" t="s">
        <v>439</v>
      </c>
      <c r="L20" s="59" t="n">
        <f aca="false">L10+(L13-1)*COS(L9)+L14</f>
        <v>0.1375</v>
      </c>
    </row>
    <row r="21" customFormat="false" ht="14.25" hidden="false" customHeight="false" outlineLevel="0" collapsed="false">
      <c r="D21" s="62" t="s">
        <v>440</v>
      </c>
      <c r="F21" s="62" t="s">
        <v>440</v>
      </c>
      <c r="K21" s="59" t="s">
        <v>441</v>
      </c>
      <c r="L21" s="59" t="n">
        <f aca="false">L16^2-4*L15*L17</f>
        <v>9.12306641414419</v>
      </c>
    </row>
    <row r="22" customFormat="false" ht="15.75" hidden="false" customHeight="true" outlineLevel="0" collapsed="false">
      <c r="C22" s="63" t="s">
        <v>203</v>
      </c>
      <c r="D22" s="64" t="n">
        <f aca="false">IFERROR(IF($L$23,$L$5*$G$6*SIN(C12-$L$9)/($L$6*SIN(C11-C12)),""),"")</f>
        <v>-23.3024710520368</v>
      </c>
      <c r="E22" s="63" t="s">
        <v>203</v>
      </c>
      <c r="F22" s="64" t="n">
        <f aca="false">IFERROR(IF($L$23,$L$5*$G$6*SIN(F12-$L$9)/($L$6*SIN(F11-F12)),""),"")</f>
        <v>1.85529264207359</v>
      </c>
      <c r="K22" s="59" t="s">
        <v>442</v>
      </c>
      <c r="L22" s="59" t="n">
        <f aca="false">L19^2-4*L18*L20</f>
        <v>5.13172485795611</v>
      </c>
    </row>
    <row r="23" customFormat="false" ht="15.75" hidden="false" customHeight="true" outlineLevel="0" collapsed="false">
      <c r="C23" s="63" t="s">
        <v>443</v>
      </c>
      <c r="D23" s="64" t="n">
        <f aca="false">IFERROR(IF($L$23,$L$5*$G$6*SIN($L$9-C11)/($L$7*SIN(C12-C11)),""),"")</f>
        <v>19.3370282672192</v>
      </c>
      <c r="E23" s="63" t="s">
        <v>443</v>
      </c>
      <c r="F23" s="64" t="n">
        <f aca="false">IFERROR(IF($L$23,$L$5*$G$6*SIN($L$9-F11)/($L$7*SIN(F12-F11)),""),"")</f>
        <v>-40.7842066771824</v>
      </c>
      <c r="K23" s="59" t="s">
        <v>444</v>
      </c>
      <c r="L23" s="65" t="b">
        <f aca="false">IFERROR(AND(COUNT(B6:I6)=8,L21&gt;=-0.000000001,L22&gt;=-0.000000001),FALSE())</f>
        <v>1</v>
      </c>
    </row>
    <row r="24" customFormat="false" ht="14.25" hidden="false" customHeight="false" outlineLevel="0" collapsed="false">
      <c r="C24" s="66" t="s">
        <v>445</v>
      </c>
      <c r="D24" s="64" t="n">
        <f aca="false">IFERROR(IF($L$23,-$L$5*$G$6*SIN($L$9),""),"")</f>
        <v>241.481456572267</v>
      </c>
      <c r="E24" s="66" t="s">
        <v>445</v>
      </c>
      <c r="F24" s="64" t="n">
        <f aca="false">IFERROR(IF($L$23,-$L$5*$G$6*SIN($L$9),""),"")</f>
        <v>241.481456572267</v>
      </c>
      <c r="K24" s="59" t="s">
        <v>446</v>
      </c>
      <c r="L24" s="59" t="n">
        <f aca="false">IFERROR(DEGREES(ACOS(MIN(1,MAX(-1,(L5^2+L8^2-(L6-L7)^2)/(2*L5*L8))))),"")</f>
        <v>0</v>
      </c>
    </row>
    <row r="25" customFormat="false" ht="14.25" hidden="false" customHeight="false" outlineLevel="0" collapsed="false">
      <c r="C25" s="66" t="s">
        <v>447</v>
      </c>
      <c r="D25" s="64" t="n">
        <f aca="false">IFERROR(IF($L$23,$L$5*$G$6*COS($L$9),""),"")</f>
        <v>-64.7047612756302</v>
      </c>
      <c r="E25" s="66" t="s">
        <v>447</v>
      </c>
      <c r="F25" s="64" t="n">
        <f aca="false">IFERROR(IF($L$23,$L$5*$G$6*COS($L$9),""),"")</f>
        <v>-64.7047612756302</v>
      </c>
      <c r="K25" s="59" t="s">
        <v>448</v>
      </c>
      <c r="L25" s="59" t="n">
        <f aca="false">IFERROR(DEGREES(ACOS(MIN(1,MAX(-1,(L5^2+L8^2-(L6+L7)^2)/(2*L5*L8))))),"")</f>
        <v>180</v>
      </c>
    </row>
    <row r="26" customFormat="false" ht="14.25" hidden="false" customHeight="false" outlineLevel="0" collapsed="false">
      <c r="C26" s="66" t="s">
        <v>449</v>
      </c>
      <c r="D26" s="64" t="n">
        <f aca="false">IFERROR(IF($L$23,-$L$6*D22*SIN(C11),""),"")</f>
        <v>-183.007499560083</v>
      </c>
      <c r="E26" s="66" t="s">
        <v>449</v>
      </c>
      <c r="F26" s="64" t="n">
        <f aca="false">IFERROR(IF($L$23,-$L$6*F22*SIN(F11),""),"")</f>
        <v>-1.93663080058189</v>
      </c>
    </row>
    <row r="27" customFormat="false" ht="14.25" hidden="false" customHeight="false" outlineLevel="0" collapsed="false">
      <c r="C27" s="66" t="s">
        <v>450</v>
      </c>
      <c r="D27" s="64" t="n">
        <f aca="false">IFERROR(IF($L$23,$L$6*D22*COS(C11),""),"")</f>
        <v>-35.504720265777</v>
      </c>
      <c r="E27" s="66" t="s">
        <v>450</v>
      </c>
      <c r="F27" s="64" t="n">
        <f aca="false">IFERROR(IF($L$23,$L$6*F22*COS(F11),""),"")</f>
        <v>14.7154528152249</v>
      </c>
    </row>
    <row r="28" customFormat="false" ht="14.25" hidden="false" customHeight="false" outlineLevel="0" collapsed="false">
      <c r="C28" s="66" t="s">
        <v>451</v>
      </c>
      <c r="D28" s="64" t="n">
        <f aca="false">IFERROR(IF($L$23,D24+D26,""),"")</f>
        <v>58.4739570121845</v>
      </c>
      <c r="E28" s="66" t="s">
        <v>451</v>
      </c>
      <c r="F28" s="64" t="n">
        <f aca="false">IFERROR(IF($L$23,F24+F26,""),"")</f>
        <v>239.544825771685</v>
      </c>
    </row>
    <row r="29" customFormat="false" ht="14.25" hidden="false" customHeight="false" outlineLevel="0" collapsed="false">
      <c r="C29" s="66" t="s">
        <v>452</v>
      </c>
      <c r="D29" s="64" t="n">
        <f aca="false">IFERROR(IF($L$23,D25+D27,""),"")</f>
        <v>-100.209481541407</v>
      </c>
      <c r="E29" s="66" t="s">
        <v>452</v>
      </c>
      <c r="F29" s="64" t="n">
        <f aca="false">IFERROR(IF($L$23,F25+F27,""),"")</f>
        <v>-49.9893084604053</v>
      </c>
    </row>
    <row r="30" customFormat="false" ht="14.25" hidden="false" customHeight="false" outlineLevel="0" collapsed="false">
      <c r="C30" s="66" t="s">
        <v>453</v>
      </c>
      <c r="D30" s="64" t="n">
        <f aca="false">IFERROR(IF($L$23,-$H$6*D22*SIN(C11+RADIANS($I$6)),""),"")</f>
        <v>-137.533206920022</v>
      </c>
      <c r="E30" s="66" t="s">
        <v>453</v>
      </c>
      <c r="F30" s="64" t="n">
        <f aca="false">IFERROR(IF($L$23,-$H$6*F22*SIN(F11+RADIANS($I$6)),""),"")</f>
        <v>13.2475956366207</v>
      </c>
    </row>
    <row r="31" customFormat="false" ht="14.25" hidden="false" customHeight="false" outlineLevel="0" collapsed="false">
      <c r="C31" s="66" t="s">
        <v>454</v>
      </c>
      <c r="D31" s="64" t="n">
        <f aca="false">IFERROR(IF($L$23,$H$6*D22*COS(C11+RADIANS($I$6)),""),"")</f>
        <v>158.328881515364</v>
      </c>
      <c r="E31" s="66" t="s">
        <v>454</v>
      </c>
      <c r="F31" s="64" t="n">
        <f aca="false">IFERROR(IF($L$23,$H$6*F22*COS(F11+RADIANS($I$6)),""),"")</f>
        <v>10.1642601135012</v>
      </c>
    </row>
    <row r="32" customFormat="false" ht="14.25" hidden="false" customHeight="false" outlineLevel="0" collapsed="false">
      <c r="C32" s="66" t="s">
        <v>455</v>
      </c>
      <c r="D32" s="64" t="n">
        <f aca="false">IFERROR(IF($L$23,D24+D30,""),"")</f>
        <v>103.948249652245</v>
      </c>
      <c r="E32" s="66" t="s">
        <v>455</v>
      </c>
      <c r="F32" s="64" t="n">
        <f aca="false">IFERROR(IF($L$23,F24+F30,""),"")</f>
        <v>254.729052208888</v>
      </c>
    </row>
    <row r="33" customFormat="false" ht="14.25" hidden="false" customHeight="false" outlineLevel="0" collapsed="false">
      <c r="C33" s="66" t="s">
        <v>456</v>
      </c>
      <c r="D33" s="64" t="n">
        <f aca="false">IFERROR(IF($L$23,D25+D31,""),"")</f>
        <v>93.6241202397339</v>
      </c>
      <c r="E33" s="66" t="s">
        <v>456</v>
      </c>
      <c r="F33" s="64" t="n">
        <f aca="false">IFERROR(IF($L$23,F25+F31,""),"")</f>
        <v>-54.540501162129</v>
      </c>
    </row>
    <row r="35" customFormat="false" ht="14.25" hidden="false" customHeight="false" outlineLevel="0" collapsed="false">
      <c r="B35" s="67" t="s">
        <v>457</v>
      </c>
    </row>
    <row r="37" customFormat="false" ht="14.25" hidden="false" customHeight="false" outlineLevel="0" collapsed="false">
      <c r="B37" s="61" t="s">
        <v>458</v>
      </c>
    </row>
    <row r="38" customFormat="false" ht="14.25" hidden="false" customHeight="false" outlineLevel="0" collapsed="false">
      <c r="B38" s="51" t="s">
        <v>459</v>
      </c>
      <c r="F38" s="51" t="n">
        <f aca="false">IF(COUNT($B$6:$I$6)&lt;8,"",SQRT($L$5^2+$L$8^2-2*$L$5*$L$8*COS($L$9)))</f>
        <v>8.26404721621303</v>
      </c>
      <c r="G38" s="51" t="s">
        <v>460</v>
      </c>
    </row>
    <row r="39" customFormat="false" ht="14.25" hidden="false" customHeight="false" outlineLevel="0" collapsed="false">
      <c r="B39" s="51" t="s">
        <v>461</v>
      </c>
      <c r="F39" s="51" t="n">
        <f aca="false">IF(COUNT($B$6:$I$6)&lt;8,"",ABS($L$6-$L$7))</f>
        <v>2</v>
      </c>
      <c r="G39" s="51" t="s">
        <v>460</v>
      </c>
    </row>
    <row r="40" customFormat="false" ht="14.25" hidden="false" customHeight="false" outlineLevel="0" collapsed="false">
      <c r="B40" s="51" t="s">
        <v>462</v>
      </c>
      <c r="F40" s="51" t="n">
        <f aca="false">IF(COUNT($B$6:$I$6)&lt;8,"",$L$6+$L$7)</f>
        <v>14</v>
      </c>
      <c r="G40" s="51" t="s">
        <v>460</v>
      </c>
    </row>
    <row r="41" customFormat="false" ht="14.25" hidden="false" customHeight="false" outlineLevel="0" collapsed="false">
      <c r="B41" s="51" t="s">
        <v>463</v>
      </c>
      <c r="F41" s="51" t="str">
        <f aca="false">IF(COUNT($B$6:$I$6)&lt;8,"",IF(OR((($L$5^2+$L$8^2-($L$6-$L$7)^2)/(2*$L$5*$L$8))&lt;-1,(($L$5^2+$L$8^2-($L$6+$L$7)^2)/(2*$L$5*$L$8))&gt;1),"ninguno (con estas longitudes nunca se conectan)",IF(AND($L$24=0,$L$25=180),"cualquiera (el eslabón 2 da la vuelta completa)","de "&amp;FIXED($L$24,2,TRUE())&amp;"° a "&amp;FIXED($L$25,2,TRUE())&amp;"°  y de "&amp;FIXED(360-$L$25,2,TRUE())&amp;"° a "&amp;FIXED(360-$L$24,2,TRUE())&amp;"°")))</f>
        <v>cualquiera (el eslabón 2 da la vuelta completa)</v>
      </c>
    </row>
    <row r="42" customFormat="false" ht="14.25" hidden="false" customHeight="false" outlineLevel="0" collapsed="false">
      <c r="B42" s="61" t="str">
        <f aca="false">IF(COUNT($B$6:$I$6)&lt;8,"",IF($L$23,"R/ Sí se pueden conectar: A–O4 = "&amp;FIXED(F38,3,TRUE())&amp;" cm está entre "&amp;FIXED(F39,3,TRUE())&amp;" y "&amp;FIXED(F40,3,TRUE())&amp;" cm.","R/Para este ángulo de entrada los eslabones no se pueden conectar."))</f>
        <v>R/ Sí se pueden conectar: A–O4 = 8.264 cm está entre 2.000 y 14.000 cm.</v>
      </c>
    </row>
  </sheetData>
  <mergeCells count="5">
    <mergeCell ref="B1:I1"/>
    <mergeCell ref="B2:I2"/>
    <mergeCell ref="B3:I3"/>
    <mergeCell ref="B7:I7"/>
    <mergeCell ref="C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false"/>
  </sheetPr>
  <dimension ref="B1:L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11.55859375" defaultRowHeight="14.25" zeroHeight="false" outlineLevelRow="0" outlineLevelCol="0"/>
  <cols>
    <col collapsed="false" customWidth="true" hidden="false" outlineLevel="0" max="1" min="1" style="51" width="2.78"/>
    <col collapsed="false" customWidth="true" hidden="false" outlineLevel="0" max="2" min="2" style="51" width="10.78"/>
    <col collapsed="false" customWidth="true" hidden="false" outlineLevel="0" max="4" min="3" style="51" width="13.78"/>
    <col collapsed="false" customWidth="true" hidden="false" outlineLevel="0" max="5" min="5" style="51" width="10.78"/>
    <col collapsed="false" customWidth="true" hidden="false" outlineLevel="0" max="7" min="6" style="51" width="13.78"/>
    <col collapsed="false" customWidth="true" hidden="false" outlineLevel="0" max="9" min="8" style="51" width="8.78"/>
    <col collapsed="false" customWidth="true" hidden="false" outlineLevel="0" max="10" min="10" style="51" width="4.78"/>
    <col collapsed="false" customWidth="true" hidden="false" outlineLevel="0" max="11" min="11" style="51" width="36.78"/>
    <col collapsed="false" customWidth="true" hidden="false" outlineLevel="0" max="12" min="12" style="51" width="16.78"/>
    <col collapsed="false" customWidth="false" hidden="false" outlineLevel="0" max="16384" min="13" style="51" width="11.56"/>
  </cols>
  <sheetData>
    <row r="1" customFormat="false" ht="25.5" hidden="false" customHeight="true" outlineLevel="0" collapsed="false">
      <c r="B1" s="52" t="s">
        <v>406</v>
      </c>
      <c r="C1" s="52"/>
      <c r="D1" s="52"/>
      <c r="E1" s="52"/>
      <c r="F1" s="52"/>
      <c r="G1" s="52"/>
      <c r="H1" s="52"/>
      <c r="I1" s="52"/>
    </row>
    <row r="2" customFormat="false" ht="15" hidden="false" customHeight="true" outlineLevel="0" collapsed="false">
      <c r="B2" s="53" t="s">
        <v>407</v>
      </c>
      <c r="C2" s="53"/>
      <c r="D2" s="53"/>
      <c r="E2" s="53"/>
      <c r="F2" s="53"/>
      <c r="G2" s="53"/>
      <c r="H2" s="53"/>
      <c r="I2" s="53"/>
    </row>
    <row r="3" customFormat="false" ht="14.25" hidden="false" customHeight="false" outlineLevel="0" collapsed="false">
      <c r="B3" s="54" t="s">
        <v>408</v>
      </c>
      <c r="C3" s="54"/>
      <c r="D3" s="54"/>
      <c r="E3" s="54"/>
      <c r="F3" s="54"/>
      <c r="G3" s="54"/>
      <c r="H3" s="54"/>
      <c r="I3" s="54"/>
    </row>
    <row r="4" customFormat="false" ht="23.25" hidden="false" customHeight="true" outlineLevel="0" collapsed="false">
      <c r="B4" s="55" t="s">
        <v>409</v>
      </c>
      <c r="K4" s="56" t="s">
        <v>410</v>
      </c>
      <c r="L4" s="56"/>
    </row>
    <row r="5" customFormat="false" ht="15.75" hidden="false" customHeight="true" outlineLevel="0" collapsed="false">
      <c r="B5" s="57" t="s">
        <v>411</v>
      </c>
      <c r="C5" s="57" t="s">
        <v>412</v>
      </c>
      <c r="D5" s="57" t="s">
        <v>413</v>
      </c>
      <c r="E5" s="57" t="s">
        <v>414</v>
      </c>
      <c r="F5" s="58" t="s">
        <v>164</v>
      </c>
      <c r="G5" s="58" t="s">
        <v>75</v>
      </c>
      <c r="H5" s="58" t="s">
        <v>415</v>
      </c>
      <c r="I5" s="58" t="s">
        <v>416</v>
      </c>
      <c r="K5" s="59" t="s">
        <v>417</v>
      </c>
      <c r="L5" s="59" t="n">
        <f aca="false">C6</f>
        <v>8</v>
      </c>
    </row>
    <row r="6" customFormat="false" ht="14.25" hidden="false" customHeight="false" outlineLevel="0" collapsed="false">
      <c r="B6" s="60" t="n">
        <v>6</v>
      </c>
      <c r="C6" s="60" t="n">
        <v>8</v>
      </c>
      <c r="D6" s="60" t="n">
        <v>8</v>
      </c>
      <c r="E6" s="60" t="n">
        <v>9</v>
      </c>
      <c r="F6" s="60" t="n">
        <v>25</v>
      </c>
      <c r="G6" s="60" t="n">
        <v>100</v>
      </c>
      <c r="H6" s="60" t="n">
        <v>4</v>
      </c>
      <c r="I6" s="60" t="n">
        <v>300</v>
      </c>
      <c r="K6" s="59" t="s">
        <v>418</v>
      </c>
      <c r="L6" s="59" t="n">
        <f aca="false">D6</f>
        <v>8</v>
      </c>
    </row>
    <row r="7" customFormat="false" ht="15" hidden="false" customHeight="true" outlineLevel="0" collapsed="false">
      <c r="B7" s="53" t="str">
        <f aca="false">IF(COUNT($B$6:$I$6)&lt;8,"Faltan datos: llena las 8 celdas amarillas.",IF($L$23,"","R/Para este ángulo de entrada los eslabones no se pueden conectar."))</f>
        <v/>
      </c>
      <c r="C7" s="53"/>
      <c r="D7" s="53"/>
      <c r="E7" s="53"/>
      <c r="F7" s="53"/>
      <c r="G7" s="53"/>
      <c r="H7" s="53"/>
      <c r="I7" s="53"/>
      <c r="K7" s="59" t="s">
        <v>419</v>
      </c>
      <c r="L7" s="59" t="n">
        <f aca="false">E6</f>
        <v>9</v>
      </c>
    </row>
    <row r="8" customFormat="false" ht="14.25" hidden="false" customHeight="false" outlineLevel="0" collapsed="false">
      <c r="D8" s="61" t="s">
        <v>420</v>
      </c>
      <c r="K8" s="59" t="s">
        <v>421</v>
      </c>
      <c r="L8" s="59" t="n">
        <f aca="false">B6</f>
        <v>6</v>
      </c>
    </row>
    <row r="9" customFormat="false" ht="14.25" hidden="false" customHeight="false" outlineLevel="0" collapsed="false">
      <c r="C9" s="61" t="s">
        <v>422</v>
      </c>
      <c r="F9" s="61" t="s">
        <v>423</v>
      </c>
      <c r="K9" s="59" t="s">
        <v>424</v>
      </c>
      <c r="L9" s="59" t="n">
        <f aca="false">RADIANS(F6)</f>
        <v>0.436332312998582</v>
      </c>
    </row>
    <row r="10" customFormat="false" ht="14.25" hidden="false" customHeight="false" outlineLevel="0" collapsed="false">
      <c r="C10" s="62" t="s">
        <v>425</v>
      </c>
      <c r="D10" s="62" t="s">
        <v>426</v>
      </c>
      <c r="F10" s="62" t="s">
        <v>425</v>
      </c>
      <c r="G10" s="62" t="s">
        <v>426</v>
      </c>
      <c r="K10" s="59" t="s">
        <v>427</v>
      </c>
      <c r="L10" s="59" t="n">
        <f aca="false">L8/L5</f>
        <v>0.75</v>
      </c>
    </row>
    <row r="11" customFormat="false" ht="15.75" hidden="false" customHeight="true" outlineLevel="0" collapsed="false">
      <c r="B11" s="63" t="s">
        <v>175</v>
      </c>
      <c r="C11" s="64" t="n">
        <f aca="false">IFERROR(IF($L$23,2*ATAN((-$L$19+SQRT(MAX(0,$L$22)))/(2*$L$18)),""),"")</f>
        <v>2.71783518011376</v>
      </c>
      <c r="D11" s="64" t="n">
        <f aca="false">IFERROR(IF($L$23,DEGREES(C11),""),"")</f>
        <v>155.720485232696</v>
      </c>
      <c r="E11" s="63" t="s">
        <v>175</v>
      </c>
      <c r="F11" s="64" t="n">
        <f aca="false">IFERROR(IF($L$23,2*ATAN((-$L$19-SQRT(MAX(0,$L$22)))/(2*$L$18)),""),"")</f>
        <v>-0.28474856298027</v>
      </c>
      <c r="G11" s="64" t="n">
        <f aca="false">IFERROR(IF($L$23,DEGREES(F11),""),"")</f>
        <v>-16.3148908811846</v>
      </c>
      <c r="K11" s="59" t="s">
        <v>428</v>
      </c>
      <c r="L11" s="59" t="n">
        <f aca="false">L8/L7</f>
        <v>0.666666666666667</v>
      </c>
    </row>
    <row r="12" customFormat="false" ht="15.75" hidden="false" customHeight="true" outlineLevel="0" collapsed="false">
      <c r="B12" s="63" t="s">
        <v>429</v>
      </c>
      <c r="C12" s="64" t="n">
        <f aca="false">IFERROR(IF($L$23,2*ATAN((-$L$16+SQRT(MAX(0,$L$21)))/(2*$L$15)),""),"")</f>
        <v>2.30679372389105</v>
      </c>
      <c r="D12" s="64" t="n">
        <f aca="false">IFERROR(IF($L$23,DEGREES(C12),""),"")</f>
        <v>132.169544586223</v>
      </c>
      <c r="E12" s="63" t="s">
        <v>429</v>
      </c>
      <c r="F12" s="64" t="n">
        <f aca="false">IFERROR(IF($L$23,2*ATAN((-$L$16-SQRT(MAX(0,$L$21)))/(2*$L$15)),""),"")</f>
        <v>0.126292893242444</v>
      </c>
      <c r="G12" s="64" t="n">
        <f aca="false">IFERROR(IF($L$23,DEGREES(F12),""),"")</f>
        <v>7.23604976528832</v>
      </c>
      <c r="K12" s="59" t="s">
        <v>430</v>
      </c>
      <c r="L12" s="59" t="n">
        <f aca="false">(L5^2-L6^2+L7^2+L8^2)/(2*L5*L7)</f>
        <v>0.8125</v>
      </c>
    </row>
    <row r="13" customFormat="false" ht="14.25" hidden="false" customHeight="false" outlineLevel="0" collapsed="false">
      <c r="B13" s="63" t="s">
        <v>193</v>
      </c>
      <c r="C13" s="64" t="n">
        <f aca="false">IFERROR(IF($L$23,ACOS(ABS(COS(C12-C11))),""),"")</f>
        <v>0.411041456222714</v>
      </c>
      <c r="D13" s="64" t="n">
        <f aca="false">IFERROR(IF($L$23,DEGREES(C13),""),"")</f>
        <v>23.5509406464729</v>
      </c>
      <c r="E13" s="63" t="s">
        <v>193</v>
      </c>
      <c r="F13" s="64" t="n">
        <f aca="false">IFERROR(IF($L$23,ACOS(ABS(COS(F12-F11))),""),"")</f>
        <v>0.411041456222714</v>
      </c>
      <c r="G13" s="64" t="n">
        <f aca="false">IFERROR(IF($L$23,DEGREES(F13),""),"")</f>
        <v>23.5509406464729</v>
      </c>
      <c r="K13" s="59" t="s">
        <v>431</v>
      </c>
      <c r="L13" s="59" t="n">
        <f aca="false">L8/L6</f>
        <v>0.75</v>
      </c>
    </row>
    <row r="14" customFormat="false" ht="14.25" hidden="false" customHeight="false" outlineLevel="0" collapsed="false">
      <c r="K14" s="59" t="s">
        <v>432</v>
      </c>
      <c r="L14" s="59" t="n">
        <f aca="false">(L7^2-L8^2-L5^2-L6^2)/(2*L5*L6)</f>
        <v>-0.6484375</v>
      </c>
    </row>
    <row r="15" customFormat="false" ht="14.25" hidden="false" customHeight="false" outlineLevel="0" collapsed="false">
      <c r="C15" s="62" t="s">
        <v>426</v>
      </c>
      <c r="K15" s="59" t="s">
        <v>433</v>
      </c>
      <c r="L15" s="59" t="n">
        <f aca="false">COS(L9)-L10-L11*COS(L9)+L12</f>
        <v>0.364602595678883</v>
      </c>
    </row>
    <row r="16" customFormat="false" ht="15.75" hidden="false" customHeight="true" outlineLevel="0" collapsed="false">
      <c r="B16" s="63" t="s">
        <v>175</v>
      </c>
      <c r="C16" s="64" t="n">
        <f aca="false">IFERROR(IF($L$23,D11+360,""),"")</f>
        <v>515.720485232696</v>
      </c>
      <c r="K16" s="59" t="s">
        <v>434</v>
      </c>
      <c r="L16" s="59" t="n">
        <f aca="false">-2*SIN(L9)</f>
        <v>-0.845236523481399</v>
      </c>
    </row>
    <row r="17" customFormat="false" ht="15.75" hidden="false" customHeight="true" outlineLevel="0" collapsed="false">
      <c r="B17" s="63" t="s">
        <v>429</v>
      </c>
      <c r="C17" s="64" t="n">
        <f aca="false">IFERROR(IF($L$23,D12+360,""),"")</f>
        <v>492.169544586223</v>
      </c>
      <c r="K17" s="59" t="s">
        <v>435</v>
      </c>
      <c r="L17" s="59" t="n">
        <f aca="false">L10-(L11+1)*COS(L9)+L12</f>
        <v>0.0519870216055836</v>
      </c>
    </row>
    <row r="18" customFormat="false" ht="14.25" hidden="false" customHeight="false" outlineLevel="0" collapsed="false">
      <c r="K18" s="59" t="s">
        <v>436</v>
      </c>
      <c r="L18" s="59" t="n">
        <f aca="false">COS(L9)-L10+L13*COS(L9)+L14</f>
        <v>0.187601127314137</v>
      </c>
    </row>
    <row r="19" customFormat="false" ht="15" hidden="false" customHeight="true" outlineLevel="0" collapsed="false">
      <c r="C19" s="53" t="s">
        <v>437</v>
      </c>
      <c r="D19" s="53"/>
      <c r="E19" s="53"/>
      <c r="F19" s="53"/>
      <c r="K19" s="59" t="s">
        <v>438</v>
      </c>
      <c r="L19" s="59" t="n">
        <f aca="false">-2*SIN(L9)</f>
        <v>-0.845236523481399</v>
      </c>
    </row>
    <row r="20" customFormat="false" ht="14.25" hidden="false" customHeight="false" outlineLevel="0" collapsed="false">
      <c r="D20" s="61" t="s">
        <v>422</v>
      </c>
      <c r="F20" s="61" t="s">
        <v>423</v>
      </c>
      <c r="K20" s="59" t="s">
        <v>439</v>
      </c>
      <c r="L20" s="59" t="n">
        <f aca="false">L10+(L13-1)*COS(L9)+L14</f>
        <v>-0.125014446759163</v>
      </c>
    </row>
    <row r="21" customFormat="false" ht="14.25" hidden="false" customHeight="false" outlineLevel="0" collapsed="false">
      <c r="D21" s="62" t="s">
        <v>440</v>
      </c>
      <c r="F21" s="62" t="s">
        <v>440</v>
      </c>
      <c r="K21" s="59" t="s">
        <v>441</v>
      </c>
      <c r="L21" s="59" t="n">
        <f aca="false">L16^2-4*L15*L17</f>
        <v>0.638606368550882</v>
      </c>
    </row>
    <row r="22" customFormat="false" ht="15.75" hidden="false" customHeight="true" outlineLevel="0" collapsed="false">
      <c r="C22" s="63" t="s">
        <v>203</v>
      </c>
      <c r="D22" s="64" t="n">
        <f aca="false">IFERROR(IF($L$23,$L$5*$G$6*SIN(C12-$L$9)/($L$6*SIN(C11-C12)),""),"")</f>
        <v>239.119341432469</v>
      </c>
      <c r="E22" s="63" t="s">
        <v>203</v>
      </c>
      <c r="F22" s="64" t="n">
        <f aca="false">IFERROR(IF($L$23,$L$5*$G$6*SIN(F12-$L$9)/($L$6*SIN(F11-F12)),""),"")</f>
        <v>76.3572253534658</v>
      </c>
      <c r="K22" s="59" t="s">
        <v>442</v>
      </c>
      <c r="L22" s="59" t="n">
        <f aca="false">L19^2-4*L18*L20</f>
        <v>0.80823618519721</v>
      </c>
    </row>
    <row r="23" customFormat="false" ht="15.75" hidden="false" customHeight="true" outlineLevel="0" collapsed="false">
      <c r="C23" s="63" t="s">
        <v>443</v>
      </c>
      <c r="D23" s="64" t="n">
        <f aca="false">IFERROR(IF($L$23,$L$5*$G$6*SIN($L$9-C11)/($L$7*SIN(C12-C11)),""),"")</f>
        <v>168.606149665872</v>
      </c>
      <c r="E23" s="63" t="s">
        <v>443</v>
      </c>
      <c r="F23" s="64" t="n">
        <f aca="false">IFERROR(IF($L$23,$L$5*$G$6*SIN($L$9-F11)/($L$7*SIN(F12-F11)),""),"")</f>
        <v>146.870417120063</v>
      </c>
      <c r="K23" s="59" t="s">
        <v>444</v>
      </c>
      <c r="L23" s="65" t="b">
        <f aca="false">IFERROR(AND(COUNT(B6:I6)=8,L21&gt;=-0.000000001,L22&gt;=-0.000000001),FALSE())</f>
        <v>1</v>
      </c>
    </row>
    <row r="24" customFormat="false" ht="14.25" hidden="false" customHeight="false" outlineLevel="0" collapsed="false">
      <c r="C24" s="66" t="s">
        <v>445</v>
      </c>
      <c r="D24" s="64" t="n">
        <f aca="false">IFERROR(IF($L$23,-$L$5*$G$6*SIN($L$9),""),"")</f>
        <v>-338.09460939256</v>
      </c>
      <c r="E24" s="66" t="s">
        <v>445</v>
      </c>
      <c r="F24" s="64" t="n">
        <f aca="false">IFERROR(IF($L$23,-$L$5*$G$6*SIN($L$9),""),"")</f>
        <v>-338.09460939256</v>
      </c>
      <c r="K24" s="59" t="s">
        <v>446</v>
      </c>
      <c r="L24" s="59" t="n">
        <f aca="false">IFERROR(DEGREES(ACOS(MIN(1,MAX(-1,(L5^2+L8^2-(L6-L7)^2)/(2*L5*L8))))),"")</f>
        <v>0</v>
      </c>
    </row>
    <row r="25" customFormat="false" ht="14.25" hidden="false" customHeight="false" outlineLevel="0" collapsed="false">
      <c r="C25" s="66" t="s">
        <v>447</v>
      </c>
      <c r="D25" s="64" t="n">
        <f aca="false">IFERROR(IF($L$23,$L$5*$G$6*COS($L$9),""),"")</f>
        <v>725.04622962932</v>
      </c>
      <c r="E25" s="66" t="s">
        <v>447</v>
      </c>
      <c r="F25" s="64" t="n">
        <f aca="false">IFERROR(IF($L$23,$L$5*$G$6*COS($L$9),""),"")</f>
        <v>725.04622962932</v>
      </c>
      <c r="K25" s="59" t="s">
        <v>448</v>
      </c>
      <c r="L25" s="59" t="n">
        <f aca="false">IFERROR(DEGREES(ACOS(MIN(1,MAX(-1,(L5^2+L8^2-(L6+L7)^2)/(2*L5*L8))))),"")</f>
        <v>180</v>
      </c>
    </row>
    <row r="26" customFormat="false" ht="14.25" hidden="false" customHeight="false" outlineLevel="0" collapsed="false">
      <c r="C26" s="66" t="s">
        <v>449</v>
      </c>
      <c r="D26" s="64" t="n">
        <f aca="false">IFERROR(IF($L$23,-$L$6*D22*SIN(C11),""),"")</f>
        <v>-786.584936782343</v>
      </c>
      <c r="E26" s="66" t="s">
        <v>449</v>
      </c>
      <c r="F26" s="64" t="n">
        <f aca="false">IFERROR(IF($L$23,-$L$6*F22*SIN(F11),""),"")</f>
        <v>171.599820912191</v>
      </c>
    </row>
    <row r="27" customFormat="false" ht="14.25" hidden="false" customHeight="false" outlineLevel="0" collapsed="false">
      <c r="C27" s="66" t="s">
        <v>450</v>
      </c>
      <c r="D27" s="64" t="n">
        <f aca="false">IFERROR(IF($L$23,$L$6*D22*COS(C11),""),"")</f>
        <v>-1743.75455321022</v>
      </c>
      <c r="E27" s="66" t="s">
        <v>450</v>
      </c>
      <c r="F27" s="64" t="n">
        <f aca="false">IFERROR(IF($L$23,$L$6*F22*COS(F11),""),"")</f>
        <v>586.259973679273</v>
      </c>
    </row>
    <row r="28" customFormat="false" ht="14.25" hidden="false" customHeight="false" outlineLevel="0" collapsed="false">
      <c r="C28" s="66" t="s">
        <v>451</v>
      </c>
      <c r="D28" s="64" t="n">
        <f aca="false">IFERROR(IF($L$23,D24+D26,""),"")</f>
        <v>-1124.6795461749</v>
      </c>
      <c r="E28" s="66" t="s">
        <v>451</v>
      </c>
      <c r="F28" s="64" t="n">
        <f aca="false">IFERROR(IF($L$23,F24+F26,""),"")</f>
        <v>-166.494788480369</v>
      </c>
    </row>
    <row r="29" customFormat="false" ht="14.25" hidden="false" customHeight="false" outlineLevel="0" collapsed="false">
      <c r="C29" s="66" t="s">
        <v>452</v>
      </c>
      <c r="D29" s="64" t="n">
        <f aca="false">IFERROR(IF($L$23,D25+D27,""),"")</f>
        <v>-1018.7083235809</v>
      </c>
      <c r="E29" s="66" t="s">
        <v>452</v>
      </c>
      <c r="F29" s="64" t="n">
        <f aca="false">IFERROR(IF($L$23,F25+F27,""),"")</f>
        <v>1311.30620330859</v>
      </c>
    </row>
    <row r="30" customFormat="false" ht="14.25" hidden="false" customHeight="false" outlineLevel="0" collapsed="false">
      <c r="C30" s="66" t="s">
        <v>453</v>
      </c>
      <c r="D30" s="64" t="n">
        <f aca="false">IFERROR(IF($L$23,-$H$6*D22*SIN(C11+RADIANS($I$6)),""),"")</f>
        <v>-951.714104718003</v>
      </c>
      <c r="E30" s="66" t="s">
        <v>453</v>
      </c>
      <c r="F30" s="64" t="n">
        <f aca="false">IFERROR(IF($L$23,-$H$6*F22*SIN(F11+RADIANS($I$6)),""),"")</f>
        <v>296.757970442171</v>
      </c>
    </row>
    <row r="31" customFormat="false" ht="14.25" hidden="false" customHeight="false" outlineLevel="0" collapsed="false">
      <c r="C31" s="66" t="s">
        <v>454</v>
      </c>
      <c r="D31" s="64" t="n">
        <f aca="false">IFERROR(IF($L$23,$H$6*D22*COS(C11+RADIANS($I$6)),""),"")</f>
        <v>-95.3373695587121</v>
      </c>
      <c r="E31" s="66" t="s">
        <v>454</v>
      </c>
      <c r="F31" s="64" t="n">
        <f aca="false">IFERROR(IF($L$23,$H$6*F22*COS(F11+RADIANS($I$6)),""),"")</f>
        <v>72.2600913224096</v>
      </c>
    </row>
    <row r="32" customFormat="false" ht="14.25" hidden="false" customHeight="false" outlineLevel="0" collapsed="false">
      <c r="C32" s="66" t="s">
        <v>455</v>
      </c>
      <c r="D32" s="64" t="n">
        <f aca="false">IFERROR(IF($L$23,D24+D30,""),"")</f>
        <v>-1289.80871411056</v>
      </c>
      <c r="E32" s="66" t="s">
        <v>455</v>
      </c>
      <c r="F32" s="64" t="n">
        <f aca="false">IFERROR(IF($L$23,F24+F30,""),"")</f>
        <v>-41.3366389503885</v>
      </c>
    </row>
    <row r="33" customFormat="false" ht="14.25" hidden="false" customHeight="false" outlineLevel="0" collapsed="false">
      <c r="C33" s="66" t="s">
        <v>456</v>
      </c>
      <c r="D33" s="64" t="n">
        <f aca="false">IFERROR(IF($L$23,D25+D31,""),"")</f>
        <v>629.708860070608</v>
      </c>
      <c r="E33" s="66" t="s">
        <v>456</v>
      </c>
      <c r="F33" s="64" t="n">
        <f aca="false">IFERROR(IF($L$23,F25+F31,""),"")</f>
        <v>797.30632095173</v>
      </c>
    </row>
    <row r="35" customFormat="false" ht="14.25" hidden="false" customHeight="false" outlineLevel="0" collapsed="false">
      <c r="B35" s="67" t="s">
        <v>457</v>
      </c>
    </row>
    <row r="37" customFormat="false" ht="14.25" hidden="false" customHeight="false" outlineLevel="0" collapsed="false">
      <c r="B37" s="61" t="s">
        <v>458</v>
      </c>
    </row>
    <row r="38" customFormat="false" ht="14.25" hidden="false" customHeight="false" outlineLevel="0" collapsed="false">
      <c r="B38" s="51" t="s">
        <v>459</v>
      </c>
      <c r="F38" s="51" t="n">
        <f aca="false">IF(COUNT($B$6:$I$6)&lt;8,"",SQRT($L$5^2+$L$8^2-2*$L$5*$L$8*COS($L$9)))</f>
        <v>3.6047818858402</v>
      </c>
      <c r="G38" s="51" t="s">
        <v>460</v>
      </c>
    </row>
    <row r="39" customFormat="false" ht="14.25" hidden="false" customHeight="false" outlineLevel="0" collapsed="false">
      <c r="B39" s="51" t="s">
        <v>461</v>
      </c>
      <c r="F39" s="51" t="n">
        <f aca="false">IF(COUNT($B$6:$I$6)&lt;8,"",ABS($L$6-$L$7))</f>
        <v>1</v>
      </c>
      <c r="G39" s="51" t="s">
        <v>460</v>
      </c>
    </row>
    <row r="40" customFormat="false" ht="14.25" hidden="false" customHeight="false" outlineLevel="0" collapsed="false">
      <c r="B40" s="51" t="s">
        <v>462</v>
      </c>
      <c r="F40" s="51" t="n">
        <f aca="false">IF(COUNT($B$6:$I$6)&lt;8,"",$L$6+$L$7)</f>
        <v>17</v>
      </c>
      <c r="G40" s="51" t="s">
        <v>460</v>
      </c>
    </row>
    <row r="41" customFormat="false" ht="14.25" hidden="false" customHeight="false" outlineLevel="0" collapsed="false">
      <c r="B41" s="51" t="s">
        <v>463</v>
      </c>
      <c r="F41" s="51" t="str">
        <f aca="false">IF(COUNT($B$6:$I$6)&lt;8,"",IF(OR((($L$5^2+$L$8^2-($L$6-$L$7)^2)/(2*$L$5*$L$8))&lt;-1,(($L$5^2+$L$8^2-($L$6+$L$7)^2)/(2*$L$5*$L$8))&gt;1),"ninguno (con estas longitudes nunca se conectan)",IF(AND($L$24=0,$L$25=180),"cualquiera (el eslabón 2 da la vuelta completa)","de "&amp;FIXED($L$24,2,TRUE())&amp;"° a "&amp;FIXED($L$25,2,TRUE())&amp;"°  y de "&amp;FIXED(360-$L$25,2,TRUE())&amp;"° a "&amp;FIXED(360-$L$24,2,TRUE())&amp;"°")))</f>
        <v>cualquiera (el eslabón 2 da la vuelta completa)</v>
      </c>
    </row>
    <row r="42" customFormat="false" ht="14.25" hidden="false" customHeight="false" outlineLevel="0" collapsed="false">
      <c r="B42" s="61" t="str">
        <f aca="false">IF(COUNT($B$6:$I$6)&lt;8,"",IF($L$23,"R/ Sí se pueden conectar: A–O4 = "&amp;FIXED(F38,3,TRUE())&amp;" cm está entre "&amp;FIXED(F39,3,TRUE())&amp;" y "&amp;FIXED(F40,3,TRUE())&amp;" cm.","R/Para este ángulo de entrada los eslabones no se pueden conectar."))</f>
        <v>R/ Sí se pueden conectar: A–O4 = 3.605 cm está entre 1.000 y 17.000 cm.</v>
      </c>
    </row>
  </sheetData>
  <mergeCells count="5">
    <mergeCell ref="B1:I1"/>
    <mergeCell ref="B2:I2"/>
    <mergeCell ref="B3:I3"/>
    <mergeCell ref="B7:I7"/>
    <mergeCell ref="C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false"/>
  </sheetPr>
  <dimension ref="B1:L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5859375" defaultRowHeight="14.25" zeroHeight="false" outlineLevelRow="0" outlineLevelCol="0"/>
  <cols>
    <col collapsed="false" customWidth="true" hidden="false" outlineLevel="0" max="1" min="1" style="51" width="2.78"/>
    <col collapsed="false" customWidth="true" hidden="false" outlineLevel="0" max="2" min="2" style="51" width="10.78"/>
    <col collapsed="false" customWidth="true" hidden="false" outlineLevel="0" max="4" min="3" style="51" width="13.78"/>
    <col collapsed="false" customWidth="true" hidden="false" outlineLevel="0" max="5" min="5" style="51" width="10.78"/>
    <col collapsed="false" customWidth="true" hidden="false" outlineLevel="0" max="7" min="6" style="51" width="13.78"/>
    <col collapsed="false" customWidth="true" hidden="false" outlineLevel="0" max="9" min="8" style="51" width="8.78"/>
    <col collapsed="false" customWidth="true" hidden="false" outlineLevel="0" max="10" min="10" style="51" width="4.78"/>
    <col collapsed="false" customWidth="true" hidden="false" outlineLevel="0" max="11" min="11" style="51" width="36.78"/>
    <col collapsed="false" customWidth="true" hidden="false" outlineLevel="0" max="12" min="12" style="51" width="16.78"/>
    <col collapsed="false" customWidth="false" hidden="false" outlineLevel="0" max="16384" min="13" style="51" width="11.56"/>
  </cols>
  <sheetData>
    <row r="1" customFormat="false" ht="25.5" hidden="false" customHeight="true" outlineLevel="0" collapsed="false">
      <c r="B1" s="52" t="s">
        <v>406</v>
      </c>
      <c r="C1" s="52"/>
      <c r="D1" s="52"/>
      <c r="E1" s="52"/>
      <c r="F1" s="52"/>
      <c r="G1" s="52"/>
      <c r="H1" s="52"/>
      <c r="I1" s="52"/>
    </row>
    <row r="2" customFormat="false" ht="15" hidden="false" customHeight="true" outlineLevel="0" collapsed="false">
      <c r="B2" s="53" t="s">
        <v>407</v>
      </c>
      <c r="C2" s="53"/>
      <c r="D2" s="53"/>
      <c r="E2" s="53"/>
      <c r="F2" s="53"/>
      <c r="G2" s="53"/>
      <c r="H2" s="53"/>
      <c r="I2" s="53"/>
    </row>
    <row r="3" customFormat="false" ht="14.25" hidden="false" customHeight="false" outlineLevel="0" collapsed="false">
      <c r="B3" s="54" t="s">
        <v>408</v>
      </c>
      <c r="C3" s="54"/>
      <c r="D3" s="54"/>
      <c r="E3" s="54"/>
      <c r="F3" s="54"/>
      <c r="G3" s="54"/>
      <c r="H3" s="54"/>
      <c r="I3" s="54"/>
    </row>
    <row r="4" customFormat="false" ht="23.25" hidden="false" customHeight="true" outlineLevel="0" collapsed="false">
      <c r="B4" s="55" t="s">
        <v>409</v>
      </c>
      <c r="K4" s="56" t="s">
        <v>410</v>
      </c>
      <c r="L4" s="56"/>
    </row>
    <row r="5" customFormat="false" ht="15.75" hidden="false" customHeight="true" outlineLevel="0" collapsed="false">
      <c r="B5" s="57" t="s">
        <v>411</v>
      </c>
      <c r="C5" s="57" t="s">
        <v>412</v>
      </c>
      <c r="D5" s="57" t="s">
        <v>413</v>
      </c>
      <c r="E5" s="57" t="s">
        <v>414</v>
      </c>
      <c r="F5" s="58" t="s">
        <v>164</v>
      </c>
      <c r="G5" s="58" t="s">
        <v>75</v>
      </c>
      <c r="H5" s="58" t="s">
        <v>415</v>
      </c>
      <c r="I5" s="58" t="s">
        <v>416</v>
      </c>
      <c r="K5" s="59" t="s">
        <v>417</v>
      </c>
      <c r="L5" s="59" t="n">
        <f aca="false">C6</f>
        <v>5</v>
      </c>
    </row>
    <row r="6" customFormat="false" ht="14.25" hidden="false" customHeight="false" outlineLevel="0" collapsed="false">
      <c r="B6" s="60" t="n">
        <v>4</v>
      </c>
      <c r="C6" s="60" t="n">
        <v>5</v>
      </c>
      <c r="D6" s="60" t="n">
        <v>2</v>
      </c>
      <c r="E6" s="60" t="n">
        <v>5</v>
      </c>
      <c r="F6" s="60" t="n">
        <v>80</v>
      </c>
      <c r="G6" s="60" t="n">
        <v>25</v>
      </c>
      <c r="H6" s="60" t="n">
        <v>9</v>
      </c>
      <c r="I6" s="60" t="n">
        <v>80</v>
      </c>
      <c r="K6" s="59" t="s">
        <v>418</v>
      </c>
      <c r="L6" s="59" t="n">
        <f aca="false">D6</f>
        <v>2</v>
      </c>
    </row>
    <row r="7" customFormat="false" ht="15" hidden="false" customHeight="true" outlineLevel="0" collapsed="false">
      <c r="B7" s="53" t="str">
        <f aca="false">IF(COUNT($B$6:$I$6)&lt;8,"Faltan datos: llena las 8 celdas amarillas.",IF($L$23,"","R/Para este ángulo de entrada los eslabones no se pueden conectar."))</f>
        <v/>
      </c>
      <c r="C7" s="53"/>
      <c r="D7" s="53"/>
      <c r="E7" s="53"/>
      <c r="F7" s="53"/>
      <c r="G7" s="53"/>
      <c r="H7" s="53"/>
      <c r="I7" s="53"/>
      <c r="K7" s="59" t="s">
        <v>419</v>
      </c>
      <c r="L7" s="59" t="n">
        <f aca="false">E6</f>
        <v>5</v>
      </c>
    </row>
    <row r="8" customFormat="false" ht="14.25" hidden="false" customHeight="false" outlineLevel="0" collapsed="false">
      <c r="D8" s="61" t="s">
        <v>420</v>
      </c>
      <c r="K8" s="59" t="s">
        <v>421</v>
      </c>
      <c r="L8" s="59" t="n">
        <f aca="false">B6</f>
        <v>4</v>
      </c>
    </row>
    <row r="9" customFormat="false" ht="14.25" hidden="false" customHeight="false" outlineLevel="0" collapsed="false">
      <c r="C9" s="61" t="s">
        <v>422</v>
      </c>
      <c r="F9" s="61" t="s">
        <v>423</v>
      </c>
      <c r="K9" s="59" t="s">
        <v>424</v>
      </c>
      <c r="L9" s="59" t="n">
        <f aca="false">RADIANS(F6)</f>
        <v>1.39626340159546</v>
      </c>
    </row>
    <row r="10" customFormat="false" ht="14.25" hidden="false" customHeight="false" outlineLevel="0" collapsed="false">
      <c r="C10" s="62" t="s">
        <v>425</v>
      </c>
      <c r="D10" s="62" t="s">
        <v>426</v>
      </c>
      <c r="F10" s="62" t="s">
        <v>425</v>
      </c>
      <c r="G10" s="62" t="s">
        <v>426</v>
      </c>
      <c r="K10" s="59" t="s">
        <v>427</v>
      </c>
      <c r="L10" s="59" t="n">
        <f aca="false">L8/L5</f>
        <v>0.8</v>
      </c>
    </row>
    <row r="11" customFormat="false" ht="15.75" hidden="false" customHeight="true" outlineLevel="0" collapsed="false">
      <c r="B11" s="63" t="s">
        <v>175</v>
      </c>
      <c r="C11" s="64" t="n">
        <f aca="false">IFERROR(IF($L$23,2*ATAN((-$L$19+SQRT(MAX(0,$L$22)))/(2*$L$18)),""),"")</f>
        <v>-1.98163825725828</v>
      </c>
      <c r="D11" s="64" t="n">
        <f aca="false">IFERROR(IF($L$23,DEGREES(C11),""),"")</f>
        <v>-113.539508662559</v>
      </c>
      <c r="E11" s="63" t="s">
        <v>175</v>
      </c>
      <c r="F11" s="64" t="n">
        <f aca="false">IFERROR(IF($L$23,2*ATAN((-$L$19-SQRT(MAX(0,$L$22)))/(2*$L$18)),""),"")</f>
        <v>-0.0269933180294352</v>
      </c>
      <c r="G11" s="64" t="n">
        <f aca="false">IFERROR(IF($L$23,DEGREES(F11),""),"")</f>
        <v>-1.54660319814103</v>
      </c>
      <c r="K11" s="59" t="s">
        <v>428</v>
      </c>
      <c r="L11" s="59" t="n">
        <f aca="false">L8/L7</f>
        <v>0.8</v>
      </c>
    </row>
    <row r="12" customFormat="false" ht="15.75" hidden="false" customHeight="true" outlineLevel="0" collapsed="false">
      <c r="B12" s="63" t="s">
        <v>429</v>
      </c>
      <c r="C12" s="64" t="n">
        <f aca="false">IFERROR(IF($L$23,2*ATAN((-$L$16+SQRT(MAX(0,$L$21)))/(2*$L$15)),""),"")</f>
        <v>2.47527714482983</v>
      </c>
      <c r="D12" s="64" t="n">
        <f aca="false">IFERROR(IF($L$23,DEGREES(C12),""),"")</f>
        <v>141.822933523942</v>
      </c>
      <c r="E12" s="63" t="s">
        <v>429</v>
      </c>
      <c r="F12" s="64" t="n">
        <f aca="false">IFERROR(IF($L$23,2*ATAN((-$L$16-SQRT(MAX(0,$L$21)))/(2*$L$15)),""),"")</f>
        <v>1.79927658706204</v>
      </c>
      <c r="G12" s="64" t="n">
        <f aca="false">IFERROR(IF($L$23,DEGREES(F12),""),"")</f>
        <v>103.090954615358</v>
      </c>
      <c r="K12" s="59" t="s">
        <v>430</v>
      </c>
      <c r="L12" s="59" t="n">
        <f aca="false">(L5^2-L6^2+L7^2+L8^2)/(2*L5*L7)</f>
        <v>1.24</v>
      </c>
    </row>
    <row r="13" customFormat="false" ht="14.25" hidden="false" customHeight="false" outlineLevel="0" collapsed="false">
      <c r="B13" s="63" t="s">
        <v>193</v>
      </c>
      <c r="C13" s="64" t="n">
        <f aca="false">IFERROR(IF($L$23,ACOS(ABS(COS(C12-C11))),""),"")</f>
        <v>1.31532274849832</v>
      </c>
      <c r="D13" s="64" t="n">
        <f aca="false">IFERROR(IF($L$23,DEGREES(C13),""),"")</f>
        <v>75.3624421865009</v>
      </c>
      <c r="E13" s="63" t="s">
        <v>193</v>
      </c>
      <c r="F13" s="64" t="n">
        <f aca="false">IFERROR(IF($L$23,ACOS(ABS(COS(F12-F11))),""),"")</f>
        <v>1.31532274849832</v>
      </c>
      <c r="G13" s="64" t="n">
        <f aca="false">IFERROR(IF($L$23,DEGREES(F13),""),"")</f>
        <v>75.3624421865009</v>
      </c>
      <c r="K13" s="59" t="s">
        <v>431</v>
      </c>
      <c r="L13" s="59" t="n">
        <f aca="false">L8/L6</f>
        <v>2</v>
      </c>
    </row>
    <row r="14" customFormat="false" ht="14.25" hidden="false" customHeight="false" outlineLevel="0" collapsed="false">
      <c r="K14" s="59" t="s">
        <v>432</v>
      </c>
      <c r="L14" s="59" t="n">
        <f aca="false">(L7^2-L8^2-L5^2-L6^2)/(2*L5*L6)</f>
        <v>-1</v>
      </c>
    </row>
    <row r="15" customFormat="false" ht="14.25" hidden="false" customHeight="false" outlineLevel="0" collapsed="false">
      <c r="C15" s="62" t="s">
        <v>426</v>
      </c>
      <c r="K15" s="59" t="s">
        <v>433</v>
      </c>
      <c r="L15" s="59" t="n">
        <f aca="false">COS(L9)-L10-L11*COS(L9)+L12</f>
        <v>0.474729635533386</v>
      </c>
    </row>
    <row r="16" customFormat="false" ht="15.75" hidden="false" customHeight="true" outlineLevel="0" collapsed="false">
      <c r="B16" s="63" t="s">
        <v>175</v>
      </c>
      <c r="C16" s="64" t="n">
        <f aca="false">IFERROR(IF($L$23,D11+360,""),"")</f>
        <v>246.460491337441</v>
      </c>
      <c r="K16" s="59" t="s">
        <v>434</v>
      </c>
      <c r="L16" s="59" t="n">
        <f aca="false">-2*SIN(L9)</f>
        <v>-1.96961550602442</v>
      </c>
    </row>
    <row r="17" customFormat="false" ht="15.75" hidden="false" customHeight="true" outlineLevel="0" collapsed="false">
      <c r="B17" s="63" t="s">
        <v>429</v>
      </c>
      <c r="C17" s="64" t="n">
        <f aca="false">IFERROR(IF($L$23,D12+360,""),"")</f>
        <v>501.822933523942</v>
      </c>
      <c r="K17" s="59" t="s">
        <v>435</v>
      </c>
      <c r="L17" s="59" t="n">
        <f aca="false">L10-(L11+1)*COS(L9)+L12</f>
        <v>1.72743328019953</v>
      </c>
    </row>
    <row r="18" customFormat="false" ht="14.25" hidden="false" customHeight="false" outlineLevel="0" collapsed="false">
      <c r="K18" s="59" t="s">
        <v>436</v>
      </c>
      <c r="L18" s="59" t="n">
        <f aca="false">COS(L9)-L10+L13*COS(L9)+L14</f>
        <v>-1.27905546699921</v>
      </c>
    </row>
    <row r="19" customFormat="false" ht="15" hidden="false" customHeight="true" outlineLevel="0" collapsed="false">
      <c r="C19" s="53" t="s">
        <v>437</v>
      </c>
      <c r="D19" s="53"/>
      <c r="E19" s="53"/>
      <c r="F19" s="53"/>
      <c r="K19" s="59" t="s">
        <v>438</v>
      </c>
      <c r="L19" s="59" t="n">
        <f aca="false">-2*SIN(L9)</f>
        <v>-1.96961550602442</v>
      </c>
    </row>
    <row r="20" customFormat="false" ht="14.25" hidden="false" customHeight="false" outlineLevel="0" collapsed="false">
      <c r="D20" s="61" t="s">
        <v>422</v>
      </c>
      <c r="F20" s="61" t="s">
        <v>423</v>
      </c>
      <c r="K20" s="59" t="s">
        <v>439</v>
      </c>
      <c r="L20" s="59" t="n">
        <f aca="false">L10+(L13-1)*COS(L9)+L14</f>
        <v>-0.0263518223330695</v>
      </c>
    </row>
    <row r="21" customFormat="false" ht="14.25" hidden="false" customHeight="false" outlineLevel="0" collapsed="false">
      <c r="D21" s="62" t="s">
        <v>440</v>
      </c>
      <c r="F21" s="62" t="s">
        <v>440</v>
      </c>
      <c r="K21" s="59" t="s">
        <v>441</v>
      </c>
      <c r="L21" s="59" t="n">
        <f aca="false">L16^2-4*L15*L17</f>
        <v>0.599130155502368</v>
      </c>
    </row>
    <row r="22" customFormat="false" ht="15.75" hidden="false" customHeight="true" outlineLevel="0" collapsed="false">
      <c r="C22" s="63" t="s">
        <v>203</v>
      </c>
      <c r="D22" s="64" t="n">
        <f aca="false">IFERROR(IF($L$23,$L$5*$G$6*SIN(C12-$L$9)/($L$6*SIN(C11-C12)),""),"")</f>
        <v>56.9413880608623</v>
      </c>
      <c r="E22" s="63" t="s">
        <v>203</v>
      </c>
      <c r="F22" s="64" t="n">
        <f aca="false">IFERROR(IF($L$23,$L$5*$G$6*SIN(F12-$L$9)/($L$6*SIN(F11-F12)),""),"")</f>
        <v>-25.3342488588987</v>
      </c>
      <c r="K22" s="59" t="s">
        <v>442</v>
      </c>
      <c r="L22" s="59" t="n">
        <f aca="false">L19^2-4*L18*L20</f>
        <v>3.7445634718898</v>
      </c>
    </row>
    <row r="23" customFormat="false" ht="15.75" hidden="false" customHeight="true" outlineLevel="0" collapsed="false">
      <c r="C23" s="63" t="s">
        <v>443</v>
      </c>
      <c r="D23" s="64" t="n">
        <f aca="false">IFERROR(IF($L$23,$L$5*$G$6*SIN($L$9-C11)/($L$7*SIN(C12-C11)),""),"")</f>
        <v>6.0492307732601</v>
      </c>
      <c r="E23" s="63" t="s">
        <v>443</v>
      </c>
      <c r="F23" s="64" t="n">
        <f aca="false">IFERROR(IF($L$23,$L$5*$G$6*SIN($L$9-F11)/($L$7*SIN(F12-F11)),""),"")</f>
        <v>25.5579084287035</v>
      </c>
      <c r="K23" s="59" t="s">
        <v>444</v>
      </c>
      <c r="L23" s="65" t="b">
        <f aca="false">IFERROR(AND(COUNT(B6:I6)=8,L21&gt;=-0.000000001,L22&gt;=-0.000000001),FALSE())</f>
        <v>1</v>
      </c>
    </row>
    <row r="24" customFormat="false" ht="14.25" hidden="false" customHeight="false" outlineLevel="0" collapsed="false">
      <c r="C24" s="66" t="s">
        <v>445</v>
      </c>
      <c r="D24" s="64" t="n">
        <f aca="false">IFERROR(IF($L$23,-$L$5*$G$6*SIN($L$9),""),"")</f>
        <v>-123.100969126526</v>
      </c>
      <c r="E24" s="66" t="s">
        <v>445</v>
      </c>
      <c r="F24" s="64" t="n">
        <f aca="false">IFERROR(IF($L$23,-$L$5*$G$6*SIN($L$9),""),"")</f>
        <v>-123.100969126526</v>
      </c>
      <c r="K24" s="59" t="s">
        <v>446</v>
      </c>
      <c r="L24" s="59" t="n">
        <f aca="false">IFERROR(DEGREES(ACOS(MIN(1,MAX(-1,(L5^2+L8^2-(L6-L7)^2)/(2*L5*L8))))),"")</f>
        <v>36.869897645844</v>
      </c>
    </row>
    <row r="25" customFormat="false" ht="14.25" hidden="false" customHeight="false" outlineLevel="0" collapsed="false">
      <c r="C25" s="66" t="s">
        <v>447</v>
      </c>
      <c r="D25" s="64" t="n">
        <f aca="false">IFERROR(IF($L$23,$L$5*$G$6*COS($L$9),""),"")</f>
        <v>21.7060222083663</v>
      </c>
      <c r="E25" s="66" t="s">
        <v>447</v>
      </c>
      <c r="F25" s="64" t="n">
        <f aca="false">IFERROR(IF($L$23,$L$5*$G$6*COS($L$9),""),"")</f>
        <v>21.7060222083663</v>
      </c>
      <c r="K25" s="59" t="s">
        <v>448</v>
      </c>
      <c r="L25" s="59" t="n">
        <f aca="false">IFERROR(DEGREES(ACOS(MIN(1,MAX(-1,(L5^2+L8^2-(L6+L7)^2)/(2*L5*L8))))),"")</f>
        <v>101.536959032816</v>
      </c>
    </row>
    <row r="26" customFormat="false" ht="14.25" hidden="false" customHeight="false" outlineLevel="0" collapsed="false">
      <c r="C26" s="66" t="s">
        <v>449</v>
      </c>
      <c r="D26" s="64" t="n">
        <f aca="false">IFERROR(IF($L$23,-$L$6*D22*SIN(C11),""),"")</f>
        <v>104.406009116577</v>
      </c>
      <c r="E26" s="66" t="s">
        <v>449</v>
      </c>
      <c r="F26" s="64" t="n">
        <f aca="false">IFERROR(IF($L$23,-$L$6*F22*SIN(F11),""),"")</f>
        <v>-1.36754478439105</v>
      </c>
    </row>
    <row r="27" customFormat="false" ht="14.25" hidden="false" customHeight="false" outlineLevel="0" collapsed="false">
      <c r="C27" s="66" t="s">
        <v>450</v>
      </c>
      <c r="D27" s="64" t="n">
        <f aca="false">IFERROR(IF($L$23,$L$6*D22*COS(C11),""),"")</f>
        <v>-45.4826555682501</v>
      </c>
      <c r="E27" s="66" t="s">
        <v>450</v>
      </c>
      <c r="F27" s="64" t="n">
        <f aca="false">IFERROR(IF($L$23,$L$6*F22*COS(F11),""),"")</f>
        <v>-50.6500393113482</v>
      </c>
    </row>
    <row r="28" customFormat="false" ht="14.25" hidden="false" customHeight="false" outlineLevel="0" collapsed="false">
      <c r="C28" s="66" t="s">
        <v>451</v>
      </c>
      <c r="D28" s="64" t="n">
        <f aca="false">IFERROR(IF($L$23,D24+D26,""),"")</f>
        <v>-18.6949600099489</v>
      </c>
      <c r="E28" s="66" t="s">
        <v>451</v>
      </c>
      <c r="F28" s="64" t="n">
        <f aca="false">IFERROR(IF($L$23,F24+F26,""),"")</f>
        <v>-124.468513910917</v>
      </c>
    </row>
    <row r="29" customFormat="false" ht="14.25" hidden="false" customHeight="false" outlineLevel="0" collapsed="false">
      <c r="C29" s="66" t="s">
        <v>452</v>
      </c>
      <c r="D29" s="64" t="n">
        <f aca="false">IFERROR(IF($L$23,D25+D27,""),"")</f>
        <v>-23.7766333598838</v>
      </c>
      <c r="E29" s="66" t="s">
        <v>452</v>
      </c>
      <c r="F29" s="64" t="n">
        <f aca="false">IFERROR(IF($L$23,F25+F27,""),"")</f>
        <v>-28.9440171029819</v>
      </c>
    </row>
    <row r="30" customFormat="false" ht="14.25" hidden="false" customHeight="false" outlineLevel="0" collapsed="false">
      <c r="C30" s="66" t="s">
        <v>453</v>
      </c>
      <c r="D30" s="64" t="n">
        <f aca="false">IFERROR(IF($L$23,-$H$6*D22*SIN(C11+RADIANS($I$6)),""),"")</f>
        <v>283.147132732952</v>
      </c>
      <c r="E30" s="66" t="s">
        <v>453</v>
      </c>
      <c r="F30" s="64" t="n">
        <f aca="false">IFERROR(IF($L$23,-$H$6*F22*SIN(F11+RADIANS($I$6)),""),"")</f>
        <v>223.393858850256</v>
      </c>
    </row>
    <row r="31" customFormat="false" ht="14.25" hidden="false" customHeight="false" outlineLevel="0" collapsed="false">
      <c r="C31" s="66" t="s">
        <v>454</v>
      </c>
      <c r="D31" s="64" t="n">
        <f aca="false">IFERROR(IF($L$23,$H$6*D22*COS(C11+RADIANS($I$6)),""),"")</f>
        <v>427.148401428851</v>
      </c>
      <c r="E31" s="66" t="s">
        <v>454</v>
      </c>
      <c r="F31" s="64" t="n">
        <f aca="false">IFERROR(IF($L$23,$H$6*F22*COS(F11+RADIANS($I$6)),""),"")</f>
        <v>-45.6392507914517</v>
      </c>
    </row>
    <row r="32" customFormat="false" ht="14.25" hidden="false" customHeight="false" outlineLevel="0" collapsed="false">
      <c r="C32" s="66" t="s">
        <v>455</v>
      </c>
      <c r="D32" s="64" t="n">
        <f aca="false">IFERROR(IF($L$23,D24+D30,""),"")</f>
        <v>160.046163606426</v>
      </c>
      <c r="E32" s="66" t="s">
        <v>455</v>
      </c>
      <c r="F32" s="64" t="n">
        <f aca="false">IFERROR(IF($L$23,F24+F30,""),"")</f>
        <v>100.29288972373</v>
      </c>
    </row>
    <row r="33" customFormat="false" ht="14.25" hidden="false" customHeight="false" outlineLevel="0" collapsed="false">
      <c r="C33" s="66" t="s">
        <v>456</v>
      </c>
      <c r="D33" s="64" t="n">
        <f aca="false">IFERROR(IF($L$23,D25+D31,""),"")</f>
        <v>448.854423637217</v>
      </c>
      <c r="E33" s="66" t="s">
        <v>456</v>
      </c>
      <c r="F33" s="64" t="n">
        <f aca="false">IFERROR(IF($L$23,F25+F31,""),"")</f>
        <v>-23.9332285830854</v>
      </c>
    </row>
    <row r="35" customFormat="false" ht="14.25" hidden="false" customHeight="false" outlineLevel="0" collapsed="false">
      <c r="B35" s="67" t="s">
        <v>457</v>
      </c>
    </row>
    <row r="37" customFormat="false" ht="14.25" hidden="false" customHeight="false" outlineLevel="0" collapsed="false">
      <c r="B37" s="61" t="s">
        <v>458</v>
      </c>
    </row>
    <row r="38" customFormat="false" ht="14.25" hidden="false" customHeight="false" outlineLevel="0" collapsed="false">
      <c r="B38" s="51" t="s">
        <v>459</v>
      </c>
      <c r="F38" s="51" t="n">
        <f aca="false">IF(COUNT($B$6:$I$6)&lt;8,"",SQRT($L$5^2+$L$8^2-2*$L$5*$L$8*COS($L$9)))</f>
        <v>5.83558676512678</v>
      </c>
      <c r="G38" s="51" t="s">
        <v>460</v>
      </c>
    </row>
    <row r="39" customFormat="false" ht="14.25" hidden="false" customHeight="false" outlineLevel="0" collapsed="false">
      <c r="B39" s="51" t="s">
        <v>461</v>
      </c>
      <c r="F39" s="51" t="n">
        <f aca="false">IF(COUNT($B$6:$I$6)&lt;8,"",ABS($L$6-$L$7))</f>
        <v>3</v>
      </c>
      <c r="G39" s="51" t="s">
        <v>460</v>
      </c>
    </row>
    <row r="40" customFormat="false" ht="14.25" hidden="false" customHeight="false" outlineLevel="0" collapsed="false">
      <c r="B40" s="51" t="s">
        <v>462</v>
      </c>
      <c r="F40" s="51" t="n">
        <f aca="false">IF(COUNT($B$6:$I$6)&lt;8,"",$L$6+$L$7)</f>
        <v>7</v>
      </c>
      <c r="G40" s="51" t="s">
        <v>460</v>
      </c>
    </row>
    <row r="41" customFormat="false" ht="14.25" hidden="false" customHeight="false" outlineLevel="0" collapsed="false">
      <c r="B41" s="51" t="s">
        <v>463</v>
      </c>
      <c r="F41" s="51" t="str">
        <f aca="false">IF(COUNT($B$6:$I$6)&lt;8,"",IF(OR((($L$5^2+$L$8^2-($L$6-$L$7)^2)/(2*$L$5*$L$8))&lt;-1,(($L$5^2+$L$8^2-($L$6+$L$7)^2)/(2*$L$5*$L$8))&gt;1),"ninguno (con estas longitudes nunca se conectan)",IF(AND($L$24=0,$L$25=180),"cualquiera (el eslabón 2 da la vuelta completa)","de "&amp;FIXED($L$24,2,TRUE())&amp;"° a "&amp;FIXED($L$25,2,TRUE())&amp;"°  y de "&amp;FIXED(360-$L$25,2,TRUE())&amp;"° a "&amp;FIXED(360-$L$24,2,TRUE())&amp;"°")))</f>
        <v>de 36.87° a 101.54°  y de 258.46° a 323.13°</v>
      </c>
    </row>
    <row r="42" customFormat="false" ht="14.25" hidden="false" customHeight="false" outlineLevel="0" collapsed="false">
      <c r="B42" s="61" t="str">
        <f aca="false">IF(COUNT($B$6:$I$6)&lt;8,"",IF($L$23,"R/ Sí se pueden conectar: A–O4 = "&amp;FIXED(F38,3,TRUE())&amp;" cm está entre "&amp;FIXED(F39,3,TRUE())&amp;" y "&amp;FIXED(F40,3,TRUE())&amp;" cm.","R/Para este ángulo de entrada los eslabones no se pueden conectar."))</f>
        <v>R/ Sí se pueden conectar: A–O4 = 5.836 cm está entre 3.000 y 7.000 cm.</v>
      </c>
    </row>
  </sheetData>
  <mergeCells count="5">
    <mergeCell ref="B1:I1"/>
    <mergeCell ref="B2:I2"/>
    <mergeCell ref="B3:I3"/>
    <mergeCell ref="B7:I7"/>
    <mergeCell ref="C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74" activeCellId="0" sqref="C74"/>
    </sheetView>
  </sheetViews>
  <sheetFormatPr defaultColWidth="11.55859375" defaultRowHeight="12.75" zeroHeight="false" outlineLevelRow="0" outlineLevelCol="0"/>
  <cols>
    <col collapsed="false" customWidth="true" hidden="false" outlineLevel="0" max="1" min="1" style="68" width="34.78"/>
    <col collapsed="false" customWidth="true" hidden="false" outlineLevel="0" max="2" min="2" style="68" width="9.78"/>
    <col collapsed="false" customWidth="true" hidden="false" outlineLevel="0" max="4" min="3" style="68" width="17.78"/>
    <col collapsed="false" customWidth="true" hidden="false" outlineLevel="0" max="5" min="5" style="68" width="9.78"/>
    <col collapsed="false" customWidth="true" hidden="false" outlineLevel="0" max="6" min="6" style="68" width="44.78"/>
    <col collapsed="false" customWidth="false" hidden="false" outlineLevel="0" max="16384" min="7" style="68" width="11.56"/>
  </cols>
  <sheetData>
    <row r="1" customFormat="false" ht="30" hidden="false" customHeight="true" outlineLevel="0" collapsed="false">
      <c r="A1" s="69" t="s">
        <v>464</v>
      </c>
      <c r="B1" s="69"/>
      <c r="C1" s="69"/>
      <c r="D1" s="69"/>
      <c r="E1" s="69"/>
      <c r="F1" s="69"/>
    </row>
    <row r="2" customFormat="false" ht="12.75" hidden="false" customHeight="false" outlineLevel="0" collapsed="false">
      <c r="A2" s="70" t="s">
        <v>465</v>
      </c>
      <c r="B2" s="70"/>
      <c r="C2" s="70"/>
      <c r="D2" s="70"/>
      <c r="E2" s="70"/>
      <c r="F2" s="70"/>
    </row>
    <row r="4" customFormat="false" ht="19.5" hidden="false" customHeight="true" outlineLevel="0" collapsed="false">
      <c r="A4" s="71" t="s">
        <v>466</v>
      </c>
      <c r="B4" s="71"/>
      <c r="C4" s="71"/>
      <c r="D4" s="71"/>
      <c r="E4" s="71"/>
      <c r="F4" s="71"/>
    </row>
    <row r="5" customFormat="false" ht="12.75" hidden="false" customHeight="false" outlineLevel="0" collapsed="false">
      <c r="A5" s="72" t="s">
        <v>47</v>
      </c>
      <c r="B5" s="72" t="s">
        <v>48</v>
      </c>
      <c r="C5" s="72" t="s">
        <v>49</v>
      </c>
      <c r="D5" s="72" t="s">
        <v>50</v>
      </c>
      <c r="E5" s="72"/>
      <c r="F5" s="72" t="s">
        <v>51</v>
      </c>
    </row>
    <row r="6" customFormat="false" ht="12.75" hidden="false" customHeight="false" outlineLevel="0" collapsed="false">
      <c r="A6" s="68" t="s">
        <v>467</v>
      </c>
      <c r="B6" s="73" t="s">
        <v>53</v>
      </c>
      <c r="C6" s="74" t="n">
        <v>2</v>
      </c>
      <c r="D6" s="68" t="s">
        <v>54</v>
      </c>
      <c r="F6" s="75" t="s">
        <v>468</v>
      </c>
    </row>
    <row r="7" customFormat="false" ht="12.75" hidden="false" customHeight="false" outlineLevel="0" collapsed="false">
      <c r="A7" s="68" t="s">
        <v>469</v>
      </c>
      <c r="B7" s="73" t="s">
        <v>57</v>
      </c>
      <c r="C7" s="74" t="n">
        <v>7</v>
      </c>
      <c r="D7" s="68" t="s">
        <v>54</v>
      </c>
      <c r="F7" s="75" t="s">
        <v>470</v>
      </c>
    </row>
    <row r="8" customFormat="false" ht="12.75" hidden="false" customHeight="false" outlineLevel="0" collapsed="false">
      <c r="A8" s="68" t="s">
        <v>471</v>
      </c>
      <c r="B8" s="73" t="s">
        <v>60</v>
      </c>
      <c r="C8" s="74" t="n">
        <v>9</v>
      </c>
      <c r="D8" s="68" t="s">
        <v>54</v>
      </c>
      <c r="F8" s="75" t="s">
        <v>472</v>
      </c>
    </row>
    <row r="9" customFormat="false" ht="12.75" hidden="false" customHeight="false" outlineLevel="0" collapsed="false">
      <c r="A9" s="68" t="s">
        <v>473</v>
      </c>
      <c r="B9" s="73" t="s">
        <v>178</v>
      </c>
      <c r="C9" s="74" t="n">
        <v>6</v>
      </c>
      <c r="D9" s="68" t="s">
        <v>54</v>
      </c>
      <c r="F9" s="75" t="s">
        <v>474</v>
      </c>
    </row>
    <row r="10" customFormat="false" ht="12.75" hidden="false" customHeight="false" outlineLevel="0" collapsed="false">
      <c r="A10" s="68" t="s">
        <v>475</v>
      </c>
      <c r="B10" s="73" t="s">
        <v>164</v>
      </c>
      <c r="C10" s="74" t="n">
        <v>30</v>
      </c>
      <c r="D10" s="68" t="s">
        <v>165</v>
      </c>
      <c r="F10" s="75" t="s">
        <v>476</v>
      </c>
    </row>
    <row r="11" customFormat="false" ht="12.75" hidden="false" customHeight="false" outlineLevel="0" collapsed="false">
      <c r="A11" s="68" t="s">
        <v>74</v>
      </c>
      <c r="B11" s="73" t="s">
        <v>75</v>
      </c>
      <c r="C11" s="74" t="n">
        <v>10</v>
      </c>
      <c r="D11" s="68" t="s">
        <v>76</v>
      </c>
      <c r="F11" s="75" t="s">
        <v>477</v>
      </c>
    </row>
    <row r="12" customFormat="false" ht="12.75" hidden="false" customHeight="false" outlineLevel="0" collapsed="false">
      <c r="A12" s="68" t="s">
        <v>70</v>
      </c>
      <c r="B12" s="73" t="s">
        <v>71</v>
      </c>
      <c r="C12" s="74" t="n">
        <v>0</v>
      </c>
      <c r="D12" s="68" t="s">
        <v>478</v>
      </c>
      <c r="F12" s="75" t="s">
        <v>479</v>
      </c>
    </row>
    <row r="13" customFormat="false" ht="12.75" hidden="false" customHeight="false" outlineLevel="0" collapsed="false">
      <c r="A13" s="68" t="s">
        <v>480</v>
      </c>
      <c r="B13" s="73" t="s">
        <v>481</v>
      </c>
      <c r="C13" s="74" t="n">
        <v>6</v>
      </c>
      <c r="D13" s="68" t="s">
        <v>54</v>
      </c>
      <c r="F13" s="75" t="s">
        <v>482</v>
      </c>
    </row>
    <row r="14" customFormat="false" ht="12.75" hidden="false" customHeight="false" outlineLevel="0" collapsed="false">
      <c r="A14" s="68" t="s">
        <v>483</v>
      </c>
      <c r="B14" s="73" t="s">
        <v>484</v>
      </c>
      <c r="C14" s="74" t="n">
        <v>30</v>
      </c>
      <c r="D14" s="68" t="s">
        <v>165</v>
      </c>
      <c r="F14" s="75" t="s">
        <v>485</v>
      </c>
    </row>
    <row r="16" customFormat="false" ht="19.5" hidden="false" customHeight="true" outlineLevel="0" collapsed="false">
      <c r="A16" s="71" t="s">
        <v>486</v>
      </c>
      <c r="B16" s="71"/>
      <c r="C16" s="71"/>
      <c r="D16" s="71"/>
      <c r="E16" s="71"/>
      <c r="F16" s="71"/>
    </row>
    <row r="17" customFormat="false" ht="12.75" hidden="false" customHeight="false" outlineLevel="0" collapsed="false">
      <c r="A17" s="72" t="s">
        <v>487</v>
      </c>
      <c r="B17" s="72" t="s">
        <v>48</v>
      </c>
      <c r="C17" s="72" t="s">
        <v>49</v>
      </c>
      <c r="D17" s="72"/>
      <c r="E17" s="72"/>
      <c r="F17" s="72" t="s">
        <v>109</v>
      </c>
    </row>
    <row r="18" customFormat="false" ht="12.75" hidden="false" customHeight="false" outlineLevel="0" collapsed="false">
      <c r="A18" s="68" t="s">
        <v>488</v>
      </c>
      <c r="B18" s="73" t="s">
        <v>489</v>
      </c>
      <c r="C18" s="76" t="n">
        <f aca="false">$C$9/$C$6</f>
        <v>3</v>
      </c>
      <c r="F18" s="75" t="s">
        <v>490</v>
      </c>
    </row>
    <row r="19" customFormat="false" ht="12.75" hidden="false" customHeight="false" outlineLevel="0" collapsed="false">
      <c r="A19" s="68" t="s">
        <v>491</v>
      </c>
      <c r="B19" s="73" t="s">
        <v>492</v>
      </c>
      <c r="C19" s="76" t="n">
        <f aca="false">$C$9/$C$8</f>
        <v>0.666666666666667</v>
      </c>
      <c r="F19" s="75" t="s">
        <v>493</v>
      </c>
    </row>
    <row r="20" customFormat="false" ht="12.75" hidden="false" customHeight="false" outlineLevel="0" collapsed="false">
      <c r="A20" s="68" t="s">
        <v>494</v>
      </c>
      <c r="B20" s="73" t="s">
        <v>495</v>
      </c>
      <c r="C20" s="76" t="n">
        <f aca="false">($C$6^2-$C$7^2+$C$8^2+$C$9^2)/(2*$C$6*$C$8)</f>
        <v>2</v>
      </c>
      <c r="F20" s="75" t="s">
        <v>496</v>
      </c>
    </row>
    <row r="21" customFormat="false" ht="12.75" hidden="false" customHeight="false" outlineLevel="0" collapsed="false">
      <c r="A21" s="68" t="s">
        <v>497</v>
      </c>
      <c r="B21" s="73" t="s">
        <v>498</v>
      </c>
      <c r="C21" s="76" t="n">
        <f aca="false">$C$9/$C$7</f>
        <v>0.857142857142857</v>
      </c>
      <c r="F21" s="75" t="s">
        <v>499</v>
      </c>
    </row>
    <row r="22" customFormat="false" ht="12.75" hidden="false" customHeight="false" outlineLevel="0" collapsed="false">
      <c r="A22" s="68" t="s">
        <v>500</v>
      </c>
      <c r="B22" s="73" t="s">
        <v>501</v>
      </c>
      <c r="C22" s="76" t="n">
        <f aca="false">($C$8^2-$C$9^2-$C$6^2-$C$7^2)/(2*$C$6*$C$7)</f>
        <v>-0.285714285714286</v>
      </c>
      <c r="F22" s="75" t="s">
        <v>502</v>
      </c>
    </row>
    <row r="24" customFormat="false" ht="19.5" hidden="false" customHeight="true" outlineLevel="0" collapsed="false">
      <c r="A24" s="71" t="s">
        <v>503</v>
      </c>
      <c r="B24" s="71"/>
      <c r="C24" s="71"/>
      <c r="D24" s="71"/>
      <c r="E24" s="71"/>
      <c r="F24" s="71"/>
    </row>
    <row r="25" customFormat="false" ht="12.75" hidden="false" customHeight="false" outlineLevel="0" collapsed="false">
      <c r="A25" s="72" t="s">
        <v>504</v>
      </c>
      <c r="B25" s="72" t="s">
        <v>48</v>
      </c>
      <c r="C25" s="72" t="s">
        <v>49</v>
      </c>
      <c r="D25" s="72"/>
      <c r="E25" s="72"/>
      <c r="F25" s="72" t="s">
        <v>109</v>
      </c>
    </row>
    <row r="26" customFormat="false" ht="12.75" hidden="false" customHeight="false" outlineLevel="0" collapsed="false">
      <c r="A26" s="68" t="s">
        <v>505</v>
      </c>
      <c r="B26" s="73" t="s">
        <v>506</v>
      </c>
      <c r="C26" s="76" t="n">
        <f aca="false">COS(RADIANS($C$10))-$C$18-$C$19*COS(RADIANS($C$10))+$C$20</f>
        <v>-0.711324865405187</v>
      </c>
      <c r="F26" s="75" t="s">
        <v>507</v>
      </c>
    </row>
    <row r="27" customFormat="false" ht="12.75" hidden="false" customHeight="false" outlineLevel="0" collapsed="false">
      <c r="A27" s="68" t="s">
        <v>508</v>
      </c>
      <c r="B27" s="73" t="s">
        <v>509</v>
      </c>
      <c r="C27" s="76" t="n">
        <f aca="false">-2*SIN(RADIANS($C$10))</f>
        <v>-1</v>
      </c>
      <c r="F27" s="75" t="s">
        <v>510</v>
      </c>
    </row>
    <row r="28" customFormat="false" ht="12.75" hidden="false" customHeight="false" outlineLevel="0" collapsed="false">
      <c r="A28" s="68" t="s">
        <v>511</v>
      </c>
      <c r="B28" s="73" t="s">
        <v>512</v>
      </c>
      <c r="C28" s="76" t="n">
        <f aca="false">$C$18-($C$19+1)*COS(RADIANS($C$10))+$C$20</f>
        <v>3.55662432702594</v>
      </c>
      <c r="F28" s="75" t="s">
        <v>513</v>
      </c>
    </row>
    <row r="29" customFormat="false" ht="12.75" hidden="false" customHeight="false" outlineLevel="0" collapsed="false">
      <c r="A29" s="68" t="s">
        <v>514</v>
      </c>
      <c r="B29" s="73" t="s">
        <v>515</v>
      </c>
      <c r="C29" s="76" t="n">
        <f aca="false">COS(RADIANS($C$10))-$C$18+$C$21*COS(RADIANS($C$10))+$C$22</f>
        <v>-1.67738139297176</v>
      </c>
      <c r="F29" s="75" t="s">
        <v>516</v>
      </c>
    </row>
    <row r="30" customFormat="false" ht="12.75" hidden="false" customHeight="false" outlineLevel="0" collapsed="false">
      <c r="A30" s="68" t="s">
        <v>517</v>
      </c>
      <c r="B30" s="73" t="s">
        <v>518</v>
      </c>
      <c r="C30" s="76" t="n">
        <f aca="false">-2*SIN(RADIANS($C$10))</f>
        <v>-1</v>
      </c>
      <c r="F30" s="75" t="s">
        <v>519</v>
      </c>
    </row>
    <row r="31" customFormat="false" ht="12.75" hidden="false" customHeight="false" outlineLevel="0" collapsed="false">
      <c r="A31" s="68" t="s">
        <v>520</v>
      </c>
      <c r="B31" s="73" t="s">
        <v>521</v>
      </c>
      <c r="C31" s="76" t="n">
        <f aca="false">$C$18+($C$21-1)*COS(RADIANS($C$10))+$C$22</f>
        <v>2.59056779945937</v>
      </c>
      <c r="F31" s="75" t="s">
        <v>522</v>
      </c>
    </row>
    <row r="32" customFormat="false" ht="12.75" hidden="false" customHeight="false" outlineLevel="0" collapsed="false">
      <c r="A32" s="68" t="s">
        <v>523</v>
      </c>
      <c r="B32" s="73" t="s">
        <v>524</v>
      </c>
      <c r="C32" s="76" t="n">
        <f aca="false">$C$27^2-4*$C$26*$C$28</f>
        <v>11.1196612828741</v>
      </c>
      <c r="F32" s="75" t="s">
        <v>525</v>
      </c>
    </row>
    <row r="33" customFormat="false" ht="12.75" hidden="false" customHeight="false" outlineLevel="0" collapsed="false">
      <c r="A33" s="68" t="s">
        <v>526</v>
      </c>
      <c r="B33" s="73" t="s">
        <v>527</v>
      </c>
      <c r="C33" s="76" t="n">
        <f aca="false">$C$30^2-4*$C$29*$C$31</f>
        <v>18.3814808961797</v>
      </c>
      <c r="F33" s="75" t="s">
        <v>525</v>
      </c>
    </row>
    <row r="34" customFormat="false" ht="12.75" hidden="false" customHeight="false" outlineLevel="0" collapsed="false">
      <c r="A34" s="77" t="s">
        <v>528</v>
      </c>
      <c r="C34" s="78" t="str">
        <f aca="false">IF(AND($C$32&gt;=0,$C$33&gt;=0),"ENSAMBLA - el mecanismo existe en esta posicion","NO ENSAMBLA - revisa las longitudes o el angulo de entrada")</f>
        <v>ENSAMBLA - el mecanismo existe en esta posicion</v>
      </c>
      <c r="D34" s="78"/>
      <c r="E34" s="78"/>
      <c r="F34" s="78"/>
    </row>
    <row r="36" customFormat="false" ht="19.5" hidden="false" customHeight="true" outlineLevel="0" collapsed="false">
      <c r="A36" s="71" t="s">
        <v>529</v>
      </c>
      <c r="B36" s="71"/>
      <c r="C36" s="71"/>
      <c r="D36" s="71"/>
      <c r="E36" s="71"/>
      <c r="F36" s="71"/>
    </row>
    <row r="37" customFormat="false" ht="12.75" hidden="false" customHeight="false" outlineLevel="0" collapsed="false">
      <c r="A37" s="72" t="s">
        <v>168</v>
      </c>
      <c r="B37" s="72" t="s">
        <v>48</v>
      </c>
      <c r="C37" s="72" t="s">
        <v>169</v>
      </c>
      <c r="D37" s="72" t="s">
        <v>170</v>
      </c>
      <c r="E37" s="72" t="s">
        <v>50</v>
      </c>
      <c r="F37" s="72" t="s">
        <v>80</v>
      </c>
    </row>
    <row r="38" customFormat="false" ht="12.75" hidden="false" customHeight="false" outlineLevel="0" collapsed="false">
      <c r="A38" s="68" t="s">
        <v>530</v>
      </c>
      <c r="B38" s="68" t="s">
        <v>175</v>
      </c>
      <c r="C38" s="79" t="n">
        <f aca="false">IFERROR(MOD(DEGREES(2*ATAN((-$C$30-SQRT($C$33))/(2*$C$29))),360),"")</f>
        <v>88.8372413002617</v>
      </c>
      <c r="D38" s="79" t="n">
        <f aca="false">IFERROR(MOD(DEGREES(2*ATAN((-$C$30+SQRT($C$33))/(2*$C$29))),360),"")</f>
        <v>244.789187835711</v>
      </c>
      <c r="E38" s="68" t="s">
        <v>165</v>
      </c>
    </row>
    <row r="39" customFormat="false" ht="12.75" hidden="false" customHeight="false" outlineLevel="0" collapsed="false">
      <c r="A39" s="68" t="s">
        <v>531</v>
      </c>
      <c r="B39" s="68" t="s">
        <v>429</v>
      </c>
      <c r="C39" s="79" t="n">
        <f aca="false">IFERROR(MOD(DEGREES(2*ATAN((-$C$27-SQRT($C$32))/(2*$C$26))),360),"")</f>
        <v>117.28606786035</v>
      </c>
      <c r="D39" s="79" t="n">
        <f aca="false">IFERROR(MOD(DEGREES(2*ATAN((-$C$27+SQRT($C$32))/(2*$C$26))),360),"")</f>
        <v>216.340361275623</v>
      </c>
      <c r="E39" s="68" t="s">
        <v>165</v>
      </c>
    </row>
    <row r="40" customFormat="false" ht="12.75" hidden="false" customHeight="false" outlineLevel="0" collapsed="false">
      <c r="A40" s="68" t="s">
        <v>532</v>
      </c>
      <c r="B40" s="68" t="s">
        <v>181</v>
      </c>
      <c r="C40" s="79" t="n">
        <f aca="false">$C$6*COS(RADIANS($C$10))</f>
        <v>1.73205080756888</v>
      </c>
      <c r="D40" s="79" t="n">
        <f aca="false">$C$6*COS(RADIANS($C$10))</f>
        <v>1.73205080756888</v>
      </c>
      <c r="E40" s="68" t="s">
        <v>54</v>
      </c>
    </row>
    <row r="41" customFormat="false" ht="12.75" hidden="false" customHeight="false" outlineLevel="0" collapsed="false">
      <c r="A41" s="68" t="s">
        <v>533</v>
      </c>
      <c r="B41" s="68" t="s">
        <v>184</v>
      </c>
      <c r="C41" s="79" t="n">
        <f aca="false">$C$6*SIN(RADIANS($C$10))</f>
        <v>1</v>
      </c>
      <c r="D41" s="79" t="n">
        <f aca="false">$C$6*SIN(RADIANS($C$10))</f>
        <v>1</v>
      </c>
      <c r="E41" s="68" t="s">
        <v>54</v>
      </c>
    </row>
    <row r="42" customFormat="false" ht="12.75" hidden="false" customHeight="false" outlineLevel="0" collapsed="false">
      <c r="A42" s="68" t="s">
        <v>534</v>
      </c>
      <c r="B42" s="68" t="s">
        <v>187</v>
      </c>
      <c r="C42" s="79" t="n">
        <f aca="false">IFERROR($C$9+$C$8*COS(RADIANS(C39)),"")</f>
        <v>1.87409883081919</v>
      </c>
      <c r="D42" s="79" t="n">
        <f aca="false">IFERROR($C$9+$C$8*COS(RADIANS(D39)),"")</f>
        <v>-1.24959941618741</v>
      </c>
      <c r="E42" s="68" t="s">
        <v>54</v>
      </c>
    </row>
    <row r="43" customFormat="false" ht="12.75" hidden="false" customHeight="false" outlineLevel="0" collapsed="false">
      <c r="A43" s="68" t="s">
        <v>535</v>
      </c>
      <c r="B43" s="68" t="s">
        <v>190</v>
      </c>
      <c r="C43" s="79" t="n">
        <f aca="false">IFERROR($C$8*SIN(RADIANS(C39)),"")</f>
        <v>7.99855859153088</v>
      </c>
      <c r="D43" s="79" t="n">
        <f aca="false">IFERROR($C$8*SIN(RADIANS(D39)),"")</f>
        <v>-5.33322681917947</v>
      </c>
      <c r="E43" s="68" t="s">
        <v>54</v>
      </c>
    </row>
    <row r="44" customFormat="false" ht="12.75" hidden="false" customHeight="false" outlineLevel="0" collapsed="false">
      <c r="A44" s="68" t="s">
        <v>536</v>
      </c>
      <c r="B44" s="68" t="s">
        <v>537</v>
      </c>
      <c r="C44" s="79" t="n">
        <f aca="false">IFERROR(C40+$C$13*COS(RADIANS(C38+$C$14)),"")</f>
        <v>-1.16188813449395</v>
      </c>
      <c r="D44" s="79" t="n">
        <f aca="false">IFERROR(D40+$C$13*COS(RADIANS(D38+$C$14)),"")</f>
        <v>2.23298958238365</v>
      </c>
      <c r="E44" s="68" t="s">
        <v>54</v>
      </c>
    </row>
    <row r="45" customFormat="false" ht="12.75" hidden="false" customHeight="false" outlineLevel="0" collapsed="false">
      <c r="A45" s="68" t="s">
        <v>538</v>
      </c>
      <c r="B45" s="68" t="s">
        <v>539</v>
      </c>
      <c r="C45" s="79" t="n">
        <f aca="false">IFERROR(C41+$C$13*SIN(RADIANS(C38+$C$14)),"")</f>
        <v>6.25596017865549</v>
      </c>
      <c r="D45" s="79" t="n">
        <f aca="false">IFERROR(D41+$C$13*SIN(RADIANS(D38+$C$14)),"")</f>
        <v>-4.9790517930427</v>
      </c>
      <c r="E45" s="68" t="s">
        <v>54</v>
      </c>
    </row>
    <row r="46" customFormat="false" ht="12.75" hidden="false" customHeight="false" outlineLevel="0" collapsed="false">
      <c r="A46" s="68" t="s">
        <v>192</v>
      </c>
      <c r="B46" s="68" t="s">
        <v>193</v>
      </c>
      <c r="C46" s="79" t="n">
        <f aca="false">IFERROR(IF(MOD(C39-C38,180)&gt;90,180-MOD(C39-C38,180),MOD(C39-C38,180)),"")</f>
        <v>28.4488265600885</v>
      </c>
      <c r="D46" s="79" t="n">
        <f aca="false">IFERROR(IF(MOD(D39-D38,180)&gt;90,180-MOD(D39-D38,180),MOD(D39-D38,180)),"")</f>
        <v>28.4488265600885</v>
      </c>
      <c r="E46" s="68" t="s">
        <v>165</v>
      </c>
      <c r="F46" s="68" t="s">
        <v>540</v>
      </c>
    </row>
    <row r="48" customFormat="false" ht="19.5" hidden="false" customHeight="true" outlineLevel="0" collapsed="false">
      <c r="A48" s="71" t="s">
        <v>541</v>
      </c>
      <c r="B48" s="71"/>
      <c r="C48" s="71"/>
      <c r="D48" s="71"/>
      <c r="E48" s="71"/>
      <c r="F48" s="71"/>
    </row>
    <row r="49" customFormat="false" ht="12.75" hidden="false" customHeight="false" outlineLevel="0" collapsed="false">
      <c r="A49" s="72" t="s">
        <v>168</v>
      </c>
      <c r="B49" s="72" t="s">
        <v>48</v>
      </c>
      <c r="C49" s="72" t="s">
        <v>169</v>
      </c>
      <c r="D49" s="72" t="s">
        <v>170</v>
      </c>
      <c r="E49" s="72" t="s">
        <v>50</v>
      </c>
      <c r="F49" s="72" t="s">
        <v>80</v>
      </c>
    </row>
    <row r="50" customFormat="false" ht="12.75" hidden="false" customHeight="false" outlineLevel="0" collapsed="false">
      <c r="A50" s="68" t="s">
        <v>542</v>
      </c>
      <c r="B50" s="68" t="s">
        <v>75</v>
      </c>
      <c r="C50" s="79" t="n">
        <f aca="false">$C$11</f>
        <v>10</v>
      </c>
      <c r="D50" s="79" t="n">
        <f aca="false">$C$11</f>
        <v>10</v>
      </c>
      <c r="E50" s="68" t="s">
        <v>76</v>
      </c>
    </row>
    <row r="51" customFormat="false" ht="12.75" hidden="false" customHeight="false" outlineLevel="0" collapsed="false">
      <c r="A51" s="68" t="s">
        <v>543</v>
      </c>
      <c r="B51" s="68" t="s">
        <v>203</v>
      </c>
      <c r="C51" s="79" t="n">
        <f aca="false">IFERROR($C$6*$C$11*SIN(RADIANS(C39-$C$10))/($C$7*SIN(RADIANS(C38-C39))),"")</f>
        <v>-5.99096571858614</v>
      </c>
      <c r="D51" s="79" t="n">
        <f aca="false">IFERROR($C$6*$C$11*SIN(RADIANS(D39-$C$10))/($C$7*SIN(RADIANS(D38-D39))),"")</f>
        <v>-0.662352004927967</v>
      </c>
      <c r="E51" s="68" t="s">
        <v>76</v>
      </c>
    </row>
    <row r="52" customFormat="false" ht="12.75" hidden="false" customHeight="false" outlineLevel="0" collapsed="false">
      <c r="A52" s="68" t="s">
        <v>544</v>
      </c>
      <c r="B52" s="68" t="s">
        <v>443</v>
      </c>
      <c r="C52" s="79" t="n">
        <f aca="false">IFERROR($C$6*$C$11*SIN(RADIANS($C$10-C38))/($C$8*SIN(RADIANS(C39-C38))),"")</f>
        <v>-3.99173479021389</v>
      </c>
      <c r="D52" s="79" t="n">
        <f aca="false">IFERROR($C$6*$C$11*SIN(RADIANS($C$10-D38))/($C$8*SIN(RADIANS(D39-D38))),"")</f>
        <v>-2.66158293330022</v>
      </c>
      <c r="E52" s="68" t="s">
        <v>76</v>
      </c>
    </row>
    <row r="53" customFormat="false" ht="12.75" hidden="false" customHeight="false" outlineLevel="0" collapsed="false">
      <c r="A53" s="68" t="s">
        <v>545</v>
      </c>
      <c r="B53" s="68" t="s">
        <v>210</v>
      </c>
      <c r="C53" s="79" t="n">
        <f aca="false">-$C$6*$C$11*SIN(RADIANS($C$10))</f>
        <v>-10</v>
      </c>
      <c r="D53" s="79" t="n">
        <f aca="false">-$C$6*$C$11*SIN(RADIANS($C$10))</f>
        <v>-10</v>
      </c>
      <c r="E53" s="68" t="s">
        <v>207</v>
      </c>
    </row>
    <row r="54" customFormat="false" ht="12.75" hidden="false" customHeight="false" outlineLevel="0" collapsed="false">
      <c r="A54" s="68" t="s">
        <v>546</v>
      </c>
      <c r="B54" s="68" t="s">
        <v>213</v>
      </c>
      <c r="C54" s="79" t="n">
        <f aca="false">$C$6*$C$11*COS(RADIANS($C$10))</f>
        <v>17.3205080756888</v>
      </c>
      <c r="D54" s="79" t="n">
        <f aca="false">$C$6*$C$11*COS(RADIANS($C$10))</f>
        <v>17.3205080756888</v>
      </c>
      <c r="E54" s="68" t="s">
        <v>207</v>
      </c>
    </row>
    <row r="55" customFormat="false" ht="12.75" hidden="false" customHeight="false" outlineLevel="0" collapsed="false">
      <c r="A55" s="77" t="s">
        <v>215</v>
      </c>
      <c r="B55" s="77" t="s">
        <v>547</v>
      </c>
      <c r="C55" s="80" t="n">
        <f aca="false">IFERROR(SQRT(C53^2+C54^2),"")</f>
        <v>20</v>
      </c>
      <c r="D55" s="80" t="n">
        <f aca="false">IFERROR(SQRT(D53^2+D54^2),"")</f>
        <v>20</v>
      </c>
      <c r="E55" s="77" t="s">
        <v>207</v>
      </c>
      <c r="F55" s="77"/>
    </row>
    <row r="56" customFormat="false" ht="12.75" hidden="false" customHeight="false" outlineLevel="0" collapsed="false">
      <c r="A56" s="68" t="s">
        <v>548</v>
      </c>
      <c r="B56" s="68" t="s">
        <v>549</v>
      </c>
      <c r="C56" s="79" t="n">
        <f aca="false">IFERROR(-$C$8*C52*SIN(RADIANS(C39)),"")</f>
        <v>31.928124601378</v>
      </c>
      <c r="D56" s="79" t="n">
        <f aca="false">IFERROR(-$C$8*D52*SIN(RADIANS(D39)),"")</f>
        <v>-14.1948254813471</v>
      </c>
      <c r="E56" s="68" t="s">
        <v>207</v>
      </c>
    </row>
    <row r="57" customFormat="false" ht="12.75" hidden="false" customHeight="false" outlineLevel="0" collapsed="false">
      <c r="A57" s="68" t="s">
        <v>550</v>
      </c>
      <c r="B57" s="68" t="s">
        <v>551</v>
      </c>
      <c r="C57" s="79" t="n">
        <f aca="false">IFERROR($C$8*C52*COS(RADIANS(C39)),"")</f>
        <v>16.4695032380032</v>
      </c>
      <c r="D57" s="79" t="n">
        <f aca="false">IFERROR($C$8*D52*COS(RADIANS(D39)),"")</f>
        <v>19.2954100793877</v>
      </c>
      <c r="E57" s="68" t="s">
        <v>207</v>
      </c>
    </row>
    <row r="58" customFormat="false" ht="12.75" hidden="false" customHeight="false" outlineLevel="0" collapsed="false">
      <c r="A58" s="77" t="s">
        <v>552</v>
      </c>
      <c r="B58" s="77" t="s">
        <v>553</v>
      </c>
      <c r="C58" s="80" t="n">
        <f aca="false">IFERROR(SQRT(C56^2+C57^2),"")</f>
        <v>35.925613111925</v>
      </c>
      <c r="D58" s="80" t="n">
        <f aca="false">IFERROR(SQRT(D56^2+D57^2),"")</f>
        <v>23.954246399702</v>
      </c>
      <c r="E58" s="77" t="s">
        <v>207</v>
      </c>
      <c r="F58" s="77"/>
    </row>
    <row r="59" customFormat="false" ht="12.75" hidden="false" customHeight="false" outlineLevel="0" collapsed="false">
      <c r="A59" s="68" t="s">
        <v>554</v>
      </c>
      <c r="B59" s="68" t="s">
        <v>555</v>
      </c>
      <c r="C59" s="79" t="n">
        <f aca="false">IFERROR(C53-$C$13*C51*SIN(RADIANS(C38+$C$14)),"")</f>
        <v>21.488277248579</v>
      </c>
      <c r="D59" s="79" t="n">
        <f aca="false">IFERROR(D53-$C$13*D51*SIN(RADIANS(D38+$C$14)),"")</f>
        <v>-13.96023694269</v>
      </c>
      <c r="E59" s="68" t="s">
        <v>207</v>
      </c>
    </row>
    <row r="60" customFormat="false" ht="12.75" hidden="false" customHeight="false" outlineLevel="0" collapsed="false">
      <c r="A60" s="68" t="s">
        <v>556</v>
      </c>
      <c r="B60" s="68" t="s">
        <v>557</v>
      </c>
      <c r="C60" s="79" t="n">
        <f aca="false">IFERROR(C54+$C$13*C51*COS(RADIANS(C38+$C$14)),"")</f>
        <v>34.6579970692686</v>
      </c>
      <c r="D60" s="79" t="n">
        <f aca="false">IFERROR(D54+$C$13*D51*COS(RADIANS(D38+$C$14)),"")</f>
        <v>16.9887102738441</v>
      </c>
      <c r="E60" s="68" t="s">
        <v>207</v>
      </c>
    </row>
    <row r="61" customFormat="false" ht="12.75" hidden="false" customHeight="false" outlineLevel="0" collapsed="false">
      <c r="A61" s="77" t="s">
        <v>558</v>
      </c>
      <c r="B61" s="77" t="s">
        <v>559</v>
      </c>
      <c r="C61" s="80" t="n">
        <f aca="false">IFERROR(SQRT(C59^2+C60^2),"")</f>
        <v>40.7789506972069</v>
      </c>
      <c r="D61" s="80" t="n">
        <f aca="false">IFERROR(SQRT(D59^2+D60^2),"")</f>
        <v>21.9887355767598</v>
      </c>
      <c r="E61" s="77" t="s">
        <v>207</v>
      </c>
      <c r="F61" s="77"/>
    </row>
    <row r="63" customFormat="false" ht="19.5" hidden="false" customHeight="true" outlineLevel="0" collapsed="false">
      <c r="A63" s="71" t="s">
        <v>560</v>
      </c>
      <c r="B63" s="71"/>
      <c r="C63" s="71"/>
      <c r="D63" s="71"/>
      <c r="E63" s="71"/>
      <c r="F63" s="71"/>
    </row>
    <row r="64" customFormat="false" ht="12.75" hidden="false" customHeight="false" outlineLevel="0" collapsed="false">
      <c r="A64" s="72" t="s">
        <v>168</v>
      </c>
      <c r="B64" s="72" t="s">
        <v>48</v>
      </c>
      <c r="C64" s="72" t="s">
        <v>169</v>
      </c>
      <c r="D64" s="72" t="s">
        <v>170</v>
      </c>
      <c r="E64" s="72" t="s">
        <v>50</v>
      </c>
      <c r="F64" s="72" t="s">
        <v>80</v>
      </c>
    </row>
    <row r="65" customFormat="false" ht="12.75" hidden="false" customHeight="false" outlineLevel="0" collapsed="false">
      <c r="A65" s="68" t="s">
        <v>561</v>
      </c>
      <c r="B65" s="68" t="s">
        <v>562</v>
      </c>
      <c r="C65" s="79" t="n">
        <f aca="false">IFERROR($C$8*SIN(RADIANS(C39)),"")</f>
        <v>7.99855859153088</v>
      </c>
      <c r="D65" s="79" t="n">
        <f aca="false">IFERROR($C$8*SIN(RADIANS(D39)),"")</f>
        <v>-5.33322681917947</v>
      </c>
    </row>
    <row r="66" customFormat="false" ht="12.75" hidden="false" customHeight="false" outlineLevel="0" collapsed="false">
      <c r="A66" s="68" t="s">
        <v>563</v>
      </c>
      <c r="B66" s="68" t="s">
        <v>564</v>
      </c>
      <c r="C66" s="79" t="n">
        <f aca="false">IFERROR($C$7*SIN(RADIANS(C38)),"")</f>
        <v>6.99855859153088</v>
      </c>
      <c r="D66" s="79" t="n">
        <f aca="false">IFERROR($C$7*SIN(RADIANS(D38)),"")</f>
        <v>-6.33322681917947</v>
      </c>
    </row>
    <row r="67" customFormat="false" ht="12.75" hidden="false" customHeight="false" outlineLevel="0" collapsed="false">
      <c r="A67" s="68" t="s">
        <v>565</v>
      </c>
      <c r="B67" s="68" t="s">
        <v>566</v>
      </c>
      <c r="C67" s="79" t="n">
        <f aca="false">IFERROR($C$6*$C$12*SIN(RADIANS($C$10))+$C$6*$C$11^2*COS(RADIANS($C$10))+$C$7*C51^2*COS(RADIANS(C38))-$C$8*C52^2*COS(RADIANS(C39)),"")</f>
        <v>244.045310618491</v>
      </c>
      <c r="D67" s="79" t="n">
        <f aca="false">IFERROR($C$6*$C$12*SIN(RADIANS($C$10))+$C$6*$C$11^2*COS(RADIANS($C$10))+$C$7*D51^2*COS(RADIANS(D38))-$C$8*D52^2*COS(RADIANS(D39)),"")</f>
        <v>223.253334613529</v>
      </c>
    </row>
    <row r="68" customFormat="false" ht="12.75" hidden="false" customHeight="false" outlineLevel="0" collapsed="false">
      <c r="A68" s="68" t="s">
        <v>567</v>
      </c>
      <c r="B68" s="68" t="s">
        <v>568</v>
      </c>
      <c r="C68" s="79" t="n">
        <f aca="false">IFERROR($C$8*COS(RADIANS(C39)),"")</f>
        <v>-4.12590116918081</v>
      </c>
      <c r="D68" s="79" t="n">
        <f aca="false">IFERROR($C$8*COS(RADIANS(D39)),"")</f>
        <v>-7.24959941618741</v>
      </c>
    </row>
    <row r="69" customFormat="false" ht="12.75" hidden="false" customHeight="false" outlineLevel="0" collapsed="false">
      <c r="A69" s="68" t="s">
        <v>569</v>
      </c>
      <c r="B69" s="68" t="s">
        <v>570</v>
      </c>
      <c r="C69" s="79" t="n">
        <f aca="false">IFERROR($C$7*COS(RADIANS(C38)),"")</f>
        <v>0.142048023250314</v>
      </c>
      <c r="D69" s="79" t="n">
        <f aca="false">IFERROR($C$7*COS(RADIANS(D38)),"")</f>
        <v>-2.98165022375629</v>
      </c>
    </row>
    <row r="70" customFormat="false" ht="12.75" hidden="false" customHeight="false" outlineLevel="0" collapsed="false">
      <c r="A70" s="68" t="s">
        <v>571</v>
      </c>
      <c r="B70" s="68" t="s">
        <v>572</v>
      </c>
      <c r="C70" s="79" t="n">
        <f aca="false">IFERROR($C$6*$C$12*COS(RADIANS($C$10))-$C$6*$C$11^2*SIN(RADIANS($C$10))-$C$7*C51^2*SIN(RADIANS(C38))+$C$8*C52^2*SIN(RADIANS(C39)),"")</f>
        <v>-223.741351373859</v>
      </c>
      <c r="D70" s="79" t="n">
        <f aca="false">IFERROR($C$6*$C$12*COS(RADIANS($C$10))-$C$6*$C$11^2*SIN(RADIANS($C$10))-$C$7*D51^2*SIN(RADIANS(D38))+$C$8*D52^2*SIN(RADIANS(D39)),"")</f>
        <v>-135.002254174435</v>
      </c>
    </row>
    <row r="71" customFormat="false" ht="12.75" hidden="false" customHeight="false" outlineLevel="0" collapsed="false">
      <c r="A71" s="77" t="s">
        <v>573</v>
      </c>
      <c r="B71" s="77" t="s">
        <v>223</v>
      </c>
      <c r="C71" s="80" t="n">
        <f aca="false">IFERROR((C67*C68-C65*C70)/(C65*C69-C66*C68),"")</f>
        <v>26.0800166383044</v>
      </c>
      <c r="D71" s="80" t="n">
        <f aca="false">IFERROR((D67*D68-D65*D70)/(D65*D69-D66*D68),"")</f>
        <v>77.9198550618115</v>
      </c>
      <c r="E71" s="77" t="s">
        <v>478</v>
      </c>
      <c r="F71" s="77"/>
    </row>
    <row r="72" customFormat="false" ht="12.75" hidden="false" customHeight="false" outlineLevel="0" collapsed="false">
      <c r="A72" s="77" t="s">
        <v>574</v>
      </c>
      <c r="B72" s="77" t="s">
        <v>575</v>
      </c>
      <c r="C72" s="80" t="n">
        <f aca="false">IFERROR((C67*C69-C66*C70)/(C65*C69-C66*C68),"")</f>
        <v>53.330588286423</v>
      </c>
      <c r="D72" s="80" t="n">
        <f aca="false">IFERROR((D67*D69-D66*D70)/(D65*D69-D66*D68),"")</f>
        <v>50.669283413693</v>
      </c>
      <c r="E72" s="77" t="s">
        <v>478</v>
      </c>
      <c r="F72" s="77"/>
    </row>
    <row r="73" customFormat="false" ht="12.75" hidden="false" customHeight="false" outlineLevel="0" collapsed="false">
      <c r="A73" s="68" t="s">
        <v>576</v>
      </c>
      <c r="B73" s="68" t="s">
        <v>230</v>
      </c>
      <c r="C73" s="79" t="n">
        <f aca="false">-$C$6*$C$11^2*COS(RADIANS($C$10))-$C$6*$C$12*SIN(RADIANS($C$10))</f>
        <v>-173.205080756888</v>
      </c>
      <c r="D73" s="79" t="n">
        <f aca="false">-$C$6*$C$11^2*COS(RADIANS($C$10))-$C$6*$C$12*SIN(RADIANS($C$10))</f>
        <v>-173.205080756888</v>
      </c>
      <c r="E73" s="68" t="s">
        <v>577</v>
      </c>
    </row>
    <row r="74" customFormat="false" ht="12.75" hidden="false" customHeight="false" outlineLevel="0" collapsed="false">
      <c r="A74" s="68" t="s">
        <v>578</v>
      </c>
      <c r="B74" s="68" t="s">
        <v>233</v>
      </c>
      <c r="C74" s="79" t="n">
        <f aca="false">-$C$6*$C$11^2*SIN(RADIANS($C$10))+$C$6*$C$12*COS(RADIANS($C$10))</f>
        <v>-100</v>
      </c>
      <c r="D74" s="79" t="n">
        <f aca="false">-$C$6*$C$11^2*SIN(RADIANS($C$10))+$C$6*$C$12*COS(RADIANS($C$10))</f>
        <v>-100</v>
      </c>
      <c r="E74" s="68" t="s">
        <v>577</v>
      </c>
    </row>
    <row r="75" customFormat="false" ht="12.75" hidden="false" customHeight="false" outlineLevel="0" collapsed="false">
      <c r="A75" s="77" t="s">
        <v>235</v>
      </c>
      <c r="B75" s="77" t="s">
        <v>579</v>
      </c>
      <c r="C75" s="80" t="n">
        <f aca="false">IFERROR(SQRT(C73^2+C74^2),"")</f>
        <v>200</v>
      </c>
      <c r="D75" s="80" t="n">
        <f aca="false">IFERROR(SQRT(D73^2+D74^2),"")</f>
        <v>200</v>
      </c>
      <c r="E75" s="77" t="s">
        <v>577</v>
      </c>
      <c r="F75" s="77"/>
    </row>
    <row r="76" customFormat="false" ht="12.75" hidden="false" customHeight="false" outlineLevel="0" collapsed="false">
      <c r="A76" s="68" t="s">
        <v>580</v>
      </c>
      <c r="B76" s="68" t="s">
        <v>581</v>
      </c>
      <c r="C76" s="79" t="n">
        <f aca="false">IFERROR(-$C$8*C52^2*COS(RADIANS(C39))-$C$8*C72*SIN(RADIANS(C39)),"")</f>
        <v>-360.825946077087</v>
      </c>
      <c r="D76" s="79" t="n">
        <f aca="false">IFERROR(-$C$8*D52^2*COS(RADIANS(D39))-$C$8*D72*SIN(RADIANS(D39)),"")</f>
        <v>321.58711536884</v>
      </c>
      <c r="E76" s="68" t="s">
        <v>577</v>
      </c>
    </row>
    <row r="77" customFormat="false" ht="12.75" hidden="false" customHeight="false" outlineLevel="0" collapsed="false">
      <c r="A77" s="68" t="s">
        <v>582</v>
      </c>
      <c r="B77" s="68" t="s">
        <v>583</v>
      </c>
      <c r="C77" s="79" t="n">
        <f aca="false">IFERROR(-$C$8*C52^2*SIN(RADIANS(C39))+$C$8*C72*COS(RADIANS(C39)),"")</f>
        <v>-347.485342321658</v>
      </c>
      <c r="D77" s="79" t="n">
        <f aca="false">IFERROR(-$C$8*D52^2*SIN(RADIANS(D39))+$C$8*D72*COS(RADIANS(D39)),"")</f>
        <v>-329.551302212214</v>
      </c>
      <c r="E77" s="68" t="s">
        <v>577</v>
      </c>
    </row>
    <row r="78" customFormat="false" ht="12.75" hidden="false" customHeight="false" outlineLevel="0" collapsed="false">
      <c r="A78" s="77" t="s">
        <v>584</v>
      </c>
      <c r="B78" s="77" t="s">
        <v>585</v>
      </c>
      <c r="C78" s="80" t="n">
        <f aca="false">IFERROR(SQRT(C76^2+C77^2),"")</f>
        <v>500.940541871812</v>
      </c>
      <c r="D78" s="80" t="n">
        <f aca="false">IFERROR(SQRT(D76^2+D77^2),"")</f>
        <v>460.458829387621</v>
      </c>
      <c r="E78" s="77" t="s">
        <v>577</v>
      </c>
      <c r="F78" s="77"/>
    </row>
    <row r="79" customFormat="false" ht="12.75" hidden="false" customHeight="false" outlineLevel="0" collapsed="false">
      <c r="A79" s="68" t="s">
        <v>586</v>
      </c>
      <c r="B79" s="68" t="s">
        <v>587</v>
      </c>
      <c r="C79" s="79" t="n">
        <f aca="false">IFERROR(C73-$C$13*C51^2*COS(RADIANS(C38+$C$14))-$C$13*C71*SIN(RADIANS(C38+$C$14)),"")</f>
        <v>-206.412307459587</v>
      </c>
      <c r="D79" s="79" t="n">
        <f aca="false">IFERROR(D73-$C$13*D51^2*COS(RADIANS(D38+$C$14))-$C$13*D71*SIN(RADIANS(D38+$C$14)),"")</f>
        <v>292.462001424781</v>
      </c>
      <c r="E79" s="68" t="s">
        <v>577</v>
      </c>
    </row>
    <row r="80" customFormat="false" ht="12.75" hidden="false" customHeight="false" outlineLevel="0" collapsed="false">
      <c r="A80" s="68" t="s">
        <v>588</v>
      </c>
      <c r="B80" s="68" t="s">
        <v>589</v>
      </c>
      <c r="C80" s="79" t="n">
        <f aca="false">IFERROR(C74-$C$13*C51^2*SIN(RADIANS(C38+$C$14))+$C$13*C71*COS(RADIANS(C38+$C$14)),"")</f>
        <v>-364.119165292808</v>
      </c>
      <c r="D80" s="79" t="n">
        <f aca="false">IFERROR(D74-$C$13*D51^2*SIN(RADIANS(D38+$C$14))+$C$13*D71*COS(RADIANS(D38+$C$14)),"")</f>
        <v>-58.3438523926113</v>
      </c>
      <c r="E80" s="68" t="s">
        <v>577</v>
      </c>
    </row>
    <row r="81" customFormat="false" ht="12.75" hidden="false" customHeight="false" outlineLevel="0" collapsed="false">
      <c r="A81" s="77" t="s">
        <v>590</v>
      </c>
      <c r="B81" s="77" t="s">
        <v>591</v>
      </c>
      <c r="C81" s="80" t="n">
        <f aca="false">IFERROR(SQRT(C79^2+C80^2),"")</f>
        <v>418.555620203961</v>
      </c>
      <c r="D81" s="80" t="n">
        <f aca="false">IFERROR(SQRT(D79^2+D80^2),"")</f>
        <v>298.224793384788</v>
      </c>
      <c r="E81" s="77" t="s">
        <v>577</v>
      </c>
      <c r="F81" s="77"/>
    </row>
    <row r="83" customFormat="false" ht="19.5" hidden="false" customHeight="true" outlineLevel="0" collapsed="false">
      <c r="A83" s="71" t="s">
        <v>592</v>
      </c>
      <c r="B83" s="71"/>
      <c r="C83" s="71"/>
      <c r="D83" s="71"/>
      <c r="E83" s="71"/>
      <c r="F83" s="71"/>
    </row>
    <row r="84" customFormat="false" ht="12.75" hidden="false" customHeight="false" outlineLevel="0" collapsed="false">
      <c r="A84" s="72" t="s">
        <v>47</v>
      </c>
      <c r="B84" s="72" t="s">
        <v>48</v>
      </c>
      <c r="C84" s="72" t="s">
        <v>49</v>
      </c>
      <c r="D84" s="72"/>
      <c r="E84" s="72"/>
      <c r="F84" s="72" t="s">
        <v>80</v>
      </c>
    </row>
    <row r="85" customFormat="false" ht="12.75" hidden="false" customHeight="false" outlineLevel="0" collapsed="false">
      <c r="A85" s="68" t="s">
        <v>593</v>
      </c>
      <c r="B85" s="68" t="s">
        <v>124</v>
      </c>
      <c r="C85" s="81" t="n">
        <f aca="false">MIN($C$6:$C$9)</f>
        <v>2</v>
      </c>
      <c r="E85" s="68" t="s">
        <v>54</v>
      </c>
    </row>
    <row r="86" customFormat="false" ht="12.75" hidden="false" customHeight="false" outlineLevel="0" collapsed="false">
      <c r="A86" s="68" t="s">
        <v>594</v>
      </c>
      <c r="B86" s="68" t="s">
        <v>82</v>
      </c>
      <c r="C86" s="81" t="n">
        <f aca="false">MAX($C$6:$C$9)</f>
        <v>9</v>
      </c>
      <c r="E86" s="68" t="s">
        <v>54</v>
      </c>
    </row>
    <row r="87" customFormat="false" ht="12.75" hidden="false" customHeight="false" outlineLevel="0" collapsed="false">
      <c r="A87" s="68" t="s">
        <v>595</v>
      </c>
      <c r="B87" s="68" t="s">
        <v>596</v>
      </c>
      <c r="C87" s="81" t="n">
        <f aca="false">SUM($C$6:$C$9)-C85-C86</f>
        <v>13</v>
      </c>
      <c r="E87" s="68" t="s">
        <v>54</v>
      </c>
    </row>
    <row r="88" customFormat="false" ht="12.75" hidden="false" customHeight="false" outlineLevel="0" collapsed="false">
      <c r="A88" s="68" t="s">
        <v>597</v>
      </c>
      <c r="B88" s="68" t="s">
        <v>598</v>
      </c>
      <c r="C88" s="81" t="n">
        <f aca="false">C85+C86</f>
        <v>11</v>
      </c>
      <c r="E88" s="68" t="s">
        <v>54</v>
      </c>
    </row>
    <row r="89" customFormat="false" ht="12.75" hidden="false" customHeight="false" outlineLevel="0" collapsed="false">
      <c r="A89" s="77" t="s">
        <v>599</v>
      </c>
      <c r="C89" s="78" t="str">
        <f aca="false">IF(C88&lt;C87,"S+L &lt; P+Q   -&gt;   SI CUMPLE GRASHOF (Clase I)",IF(C88=C87,"S+L = P+Q   -&gt;   PUNTO DE CAMBIO (Clase III)","S+L &gt; P+Q   -&gt;   NO CUMPLE GRASHOF (Clase II)"))</f>
        <v>S+L &lt; P+Q   -&gt;   SI CUMPLE GRASHOF (Clase I)</v>
      </c>
      <c r="D89" s="78"/>
      <c r="E89" s="78"/>
      <c r="F89" s="78"/>
    </row>
    <row r="90" customFormat="false" ht="12.75" hidden="false" customHeight="false" outlineLevel="0" collapsed="false">
      <c r="A90" s="77" t="s">
        <v>600</v>
      </c>
      <c r="C90" s="78" t="str">
        <f aca="false">IF(C88&gt;C87,"Triple balancin - ningun eslabon da vuelta completa",IF(C88=C87,"Punto de cambio - los eslabones se alinean (posicion singular)",IF($C$9=C85,"Doble manivela (drag-link) - el eslabon mas corto es la bancada",IF($C$7=C85,"Doble balancin - el eslabon mas corto es el acoplador","Manivela-balancin - el eslabon mas corto da vuelta completa"))))</f>
        <v>Manivela-balancin - el eslabon mas corto da vuelta completa</v>
      </c>
      <c r="D90" s="78"/>
      <c r="E90" s="78"/>
      <c r="F90" s="78"/>
    </row>
    <row r="92" customFormat="false" ht="19.5" hidden="false" customHeight="true" outlineLevel="0" collapsed="false">
      <c r="A92" s="82"/>
    </row>
    <row r="93" customFormat="false" ht="12.75" hidden="false" customHeight="false" outlineLevel="0" collapsed="false">
      <c r="A93" s="83"/>
    </row>
    <row r="94" customFormat="false" ht="12.75" hidden="false" customHeight="false" outlineLevel="0" collapsed="false">
      <c r="A94" s="83"/>
    </row>
    <row r="95" customFormat="false" ht="12.75" hidden="false" customHeight="false" outlineLevel="0" collapsed="false">
      <c r="A95" s="83"/>
    </row>
    <row r="96" customFormat="false" ht="12.75" hidden="false" customHeight="false" outlineLevel="0" collapsed="false">
      <c r="A96" s="83"/>
    </row>
    <row r="97" customFormat="false" ht="12.75" hidden="false" customHeight="false" outlineLevel="0" collapsed="false">
      <c r="A97" s="83"/>
    </row>
    <row r="98" customFormat="false" ht="12.75" hidden="false" customHeight="false" outlineLevel="0" collapsed="false">
      <c r="A98" s="83"/>
    </row>
    <row r="99" customFormat="false" ht="12.75" hidden="false" customHeight="false" outlineLevel="0" collapsed="false">
      <c r="A99" s="83"/>
    </row>
  </sheetData>
  <mergeCells count="12">
    <mergeCell ref="A1:F1"/>
    <mergeCell ref="A2:F2"/>
    <mergeCell ref="A4:F4"/>
    <mergeCell ref="A16:F16"/>
    <mergeCell ref="A24:F24"/>
    <mergeCell ref="C34:F34"/>
    <mergeCell ref="A36:F36"/>
    <mergeCell ref="A48:F48"/>
    <mergeCell ref="A63:F63"/>
    <mergeCell ref="A83:F83"/>
    <mergeCell ref="C89:F89"/>
    <mergeCell ref="C90:F9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B6" activeCellId="0" sqref="B6"/>
    </sheetView>
  </sheetViews>
  <sheetFormatPr defaultColWidth="11.55859375" defaultRowHeight="11.25" zeroHeight="false" outlineLevelRow="0" outlineLevelCol="1"/>
  <cols>
    <col collapsed="false" customWidth="true" hidden="false" outlineLevel="0" max="1" min="1" style="83" width="6.78"/>
    <col collapsed="false" customWidth="true" hidden="false" outlineLevel="0" max="29" min="2" style="83" width="9.78"/>
    <col collapsed="false" customWidth="true" hidden="false" outlineLevel="0" max="30" min="30" style="83" width="16.78"/>
    <col collapsed="false" customWidth="true" hidden="false" outlineLevel="0" max="31" min="31" style="83" width="24.78"/>
    <col collapsed="false" customWidth="true" hidden="false" outlineLevel="0" max="32" min="32" style="83" width="2.78"/>
    <col collapsed="false" customWidth="true" hidden="true" outlineLevel="1" max="49" min="33" style="83" width="9.78"/>
    <col collapsed="false" customWidth="false" hidden="false" outlineLevel="0" max="16384" min="50" style="83" width="11.56"/>
  </cols>
  <sheetData>
    <row r="1" customFormat="false" ht="25.5" hidden="false" customHeight="true" outlineLevel="0" collapsed="false">
      <c r="A1" s="84" t="s">
        <v>601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customFormat="false" ht="11.25" hidden="false" customHeight="false" outlineLevel="0" collapsed="false">
      <c r="A2" s="70" t="s">
        <v>602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customFormat="false" ht="12" hidden="false" customHeight="true" outlineLevel="0" collapsed="false">
      <c r="A3" s="85" t="s">
        <v>603</v>
      </c>
      <c r="B3" s="85"/>
      <c r="C3" s="85"/>
      <c r="D3" s="85"/>
      <c r="E3" s="85"/>
      <c r="F3" s="85"/>
      <c r="G3" s="85"/>
      <c r="H3" s="85"/>
      <c r="I3" s="85"/>
      <c r="J3" s="85"/>
      <c r="K3" s="86" t="s">
        <v>604</v>
      </c>
      <c r="L3" s="86"/>
      <c r="M3" s="86"/>
      <c r="N3" s="86"/>
      <c r="O3" s="86"/>
      <c r="P3" s="86"/>
      <c r="Q3" s="86"/>
      <c r="R3" s="86"/>
      <c r="S3" s="86"/>
      <c r="T3" s="86"/>
      <c r="U3" s="87" t="s">
        <v>605</v>
      </c>
      <c r="V3" s="87"/>
      <c r="W3" s="87"/>
      <c r="X3" s="87"/>
      <c r="Y3" s="87"/>
      <c r="Z3" s="87"/>
      <c r="AA3" s="87"/>
      <c r="AB3" s="87"/>
      <c r="AC3" s="87"/>
      <c r="AD3" s="88" t="s">
        <v>606</v>
      </c>
      <c r="AE3" s="88"/>
      <c r="AG3" s="89" t="s">
        <v>607</v>
      </c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</row>
    <row r="4" customFormat="false" ht="27.75" hidden="false" customHeight="true" outlineLevel="0" collapsed="false">
      <c r="A4" s="90" t="s">
        <v>608</v>
      </c>
      <c r="B4" s="90" t="s">
        <v>53</v>
      </c>
      <c r="C4" s="90" t="s">
        <v>57</v>
      </c>
      <c r="D4" s="90" t="s">
        <v>60</v>
      </c>
      <c r="E4" s="90" t="s">
        <v>178</v>
      </c>
      <c r="F4" s="90" t="s">
        <v>609</v>
      </c>
      <c r="G4" s="90" t="s">
        <v>610</v>
      </c>
      <c r="H4" s="90" t="s">
        <v>611</v>
      </c>
      <c r="I4" s="90" t="s">
        <v>481</v>
      </c>
      <c r="J4" s="90" t="s">
        <v>612</v>
      </c>
      <c r="K4" s="91" t="s">
        <v>613</v>
      </c>
      <c r="L4" s="91" t="s">
        <v>614</v>
      </c>
      <c r="M4" s="91" t="s">
        <v>615</v>
      </c>
      <c r="N4" s="91" t="s">
        <v>616</v>
      </c>
      <c r="O4" s="91" t="s">
        <v>617</v>
      </c>
      <c r="P4" s="91" t="s">
        <v>547</v>
      </c>
      <c r="Q4" s="91" t="s">
        <v>553</v>
      </c>
      <c r="R4" s="91" t="s">
        <v>559</v>
      </c>
      <c r="S4" s="91" t="s">
        <v>618</v>
      </c>
      <c r="T4" s="91" t="s">
        <v>619</v>
      </c>
      <c r="U4" s="92" t="s">
        <v>613</v>
      </c>
      <c r="V4" s="92" t="s">
        <v>614</v>
      </c>
      <c r="W4" s="92" t="s">
        <v>615</v>
      </c>
      <c r="X4" s="92" t="s">
        <v>616</v>
      </c>
      <c r="Y4" s="92" t="s">
        <v>617</v>
      </c>
      <c r="Z4" s="92" t="s">
        <v>553</v>
      </c>
      <c r="AA4" s="92" t="s">
        <v>559</v>
      </c>
      <c r="AB4" s="92" t="s">
        <v>618</v>
      </c>
      <c r="AC4" s="92" t="s">
        <v>619</v>
      </c>
      <c r="AD4" s="93" t="s">
        <v>620</v>
      </c>
      <c r="AE4" s="93" t="s">
        <v>600</v>
      </c>
      <c r="AG4" s="94" t="s">
        <v>489</v>
      </c>
      <c r="AH4" s="94" t="s">
        <v>492</v>
      </c>
      <c r="AI4" s="94" t="s">
        <v>495</v>
      </c>
      <c r="AJ4" s="94" t="s">
        <v>498</v>
      </c>
      <c r="AK4" s="94" t="s">
        <v>501</v>
      </c>
      <c r="AL4" s="94" t="s">
        <v>506</v>
      </c>
      <c r="AM4" s="94" t="s">
        <v>509</v>
      </c>
      <c r="AN4" s="94" t="s">
        <v>512</v>
      </c>
      <c r="AO4" s="94" t="s">
        <v>515</v>
      </c>
      <c r="AP4" s="94" t="s">
        <v>518</v>
      </c>
      <c r="AQ4" s="94" t="s">
        <v>521</v>
      </c>
      <c r="AR4" s="94" t="s">
        <v>621</v>
      </c>
      <c r="AS4" s="94" t="s">
        <v>622</v>
      </c>
      <c r="AT4" s="94" t="s">
        <v>623</v>
      </c>
      <c r="AU4" s="94" t="s">
        <v>624</v>
      </c>
      <c r="AV4" s="94" t="s">
        <v>625</v>
      </c>
      <c r="AW4" s="94" t="s">
        <v>626</v>
      </c>
    </row>
    <row r="5" customFormat="false" ht="12" hidden="false" customHeight="true" outlineLevel="0" collapsed="false">
      <c r="A5" s="95" t="n">
        <v>1</v>
      </c>
      <c r="B5" s="96" t="n">
        <v>2</v>
      </c>
      <c r="C5" s="96" t="n">
        <v>7</v>
      </c>
      <c r="D5" s="96" t="n">
        <v>9</v>
      </c>
      <c r="E5" s="96" t="n">
        <v>6</v>
      </c>
      <c r="F5" s="96" t="n">
        <v>30</v>
      </c>
      <c r="G5" s="96" t="n">
        <v>10</v>
      </c>
      <c r="H5" s="96" t="n">
        <v>0</v>
      </c>
      <c r="I5" s="96" t="n">
        <v>6</v>
      </c>
      <c r="J5" s="96" t="n">
        <v>30</v>
      </c>
      <c r="K5" s="97" t="n">
        <f aca="false">IFERROR(MOD(DEGREES(2*ATAN((-$AP5-SQRT($AS5))/(2*$AO5))),360),"")</f>
        <v>88.8372413002617</v>
      </c>
      <c r="L5" s="97" t="n">
        <f aca="false">IFERROR(MOD(DEGREES(2*ATAN((-$AM5-SQRT($AR5))/(2*$AL5))),360),"")</f>
        <v>117.28606786035</v>
      </c>
      <c r="M5" s="97" t="n">
        <f aca="false">IFERROR(IF(MOD($L5-$K5,180)&gt;90,180-MOD($L5-$K5,180),MOD($L5-$K5,180)),"")</f>
        <v>28.4488265600885</v>
      </c>
      <c r="N5" s="97" t="n">
        <f aca="false">IFERROR($B5*$G5*SIN(RADIANS($L5-$F5))/($C5*SIN(RADIANS($K5-$L5))),"")</f>
        <v>-5.99096571858614</v>
      </c>
      <c r="O5" s="97" t="n">
        <f aca="false">IFERROR($B5*$G5*SIN(RADIANS($F5-$K5))/($D5*SIN(RADIANS($L5-$K5))),"")</f>
        <v>-3.99173479021389</v>
      </c>
      <c r="P5" s="97" t="n">
        <f aca="false">IFERROR(IF($B5="","",ABS($B5*$G5)),"")</f>
        <v>20</v>
      </c>
      <c r="Q5" s="97" t="n">
        <f aca="false">IFERROR(ABS($D5*$O5),"")</f>
        <v>35.925613111925</v>
      </c>
      <c r="R5" s="97" t="n">
        <f aca="false">IFERROR(SQRT((-$B5*$G5*SIN(RADIANS($F5))-$I5*$N5*SIN(RADIANS($K5+$J5)))^2+($B5*$G5*COS(RADIANS($F5))+$I5*$N5*COS(RADIANS($K5+$J5)))^2),"")</f>
        <v>40.7789506972069</v>
      </c>
      <c r="S5" s="97" t="n">
        <f aca="false">IFERROR(($AT5*COS(RADIANS($L5))-$AU5*SIN(RADIANS($L5)))/($C5*SIN(RADIANS($L5-$K5))),"")</f>
        <v>26.0800166383044</v>
      </c>
      <c r="T5" s="97" t="n">
        <f aca="false">IFERROR(($AT5*COS(RADIANS($K5))-$AU5*SIN(RADIANS($K5)))/($D5*SIN(RADIANS($L5-$K5))),"")</f>
        <v>53.3305882864229</v>
      </c>
      <c r="U5" s="97" t="n">
        <f aca="false">IFERROR(MOD(DEGREES(2*ATAN((-$AP5+SQRT($AS5))/(2*$AO5))),360),"")</f>
        <v>244.789187835711</v>
      </c>
      <c r="V5" s="97" t="n">
        <f aca="false">IFERROR(MOD(DEGREES(2*ATAN((-$AM5+SQRT($AR5))/(2*$AL5))),360),"")</f>
        <v>216.340361275623</v>
      </c>
      <c r="W5" s="97" t="n">
        <f aca="false">IFERROR(IF(MOD($V5-$U5,180)&gt;90,180-MOD($V5-$U5,180),MOD($V5-$U5,180)),"")</f>
        <v>28.4488265600885</v>
      </c>
      <c r="X5" s="97" t="n">
        <f aca="false">IFERROR($B5*$G5*SIN(RADIANS($V5-$F5))/($C5*SIN(RADIANS($U5-$V5))),"")</f>
        <v>-0.662352004927967</v>
      </c>
      <c r="Y5" s="97" t="n">
        <f aca="false">IFERROR($B5*$G5*SIN(RADIANS($F5-$U5))/($D5*SIN(RADIANS($V5-$U5))),"")</f>
        <v>-2.66158293330022</v>
      </c>
      <c r="Z5" s="97" t="n">
        <f aca="false">IFERROR(ABS($D5*$Y5),"")</f>
        <v>23.954246399702</v>
      </c>
      <c r="AA5" s="97" t="n">
        <f aca="false">IFERROR(SQRT((-$B5*$G5*SIN(RADIANS($F5))-$I5*$X5*SIN(RADIANS($U5+$J5)))^2+($B5*$G5*COS(RADIANS($F5))+$I5*$X5*COS(RADIANS($U5+$J5)))^2),"")</f>
        <v>21.9887355767598</v>
      </c>
      <c r="AB5" s="97" t="n">
        <f aca="false">IFERROR(($AV5*COS(RADIANS($V5))-$AW5*SIN(RADIANS($V5)))/($C5*SIN(RADIANS($V5-$U5))),"")</f>
        <v>77.9198550618115</v>
      </c>
      <c r="AC5" s="97" t="n">
        <f aca="false">IFERROR(($AV5*COS(RADIANS($U5))-$AW5*SIN(RADIANS($U5)))/($D5*SIN(RADIANS($V5-$U5))),"")</f>
        <v>50.669283413693</v>
      </c>
      <c r="AD5" s="98" t="str">
        <f aca="false">IF(COUNT($B5:$E5)&lt;4,"",IF(MIN($B5:$E5)+MAX($B5:$E5)&lt;SUM($B5:$E5)-MIN($B5:$E5)-MAX($B5:$E5),"Grashof",IF(MIN($B5:$E5)+MAX($B5:$E5)=SUM($B5:$E5)-MIN($B5:$E5)-MAX($B5:$E5),"Punto de cambio","No Grashof")))</f>
        <v>Grashof</v>
      </c>
      <c r="AE5" s="98" t="str">
        <f aca="false">IF(COUNT($B5:$E5)&lt;4,"",IF(MIN($B5:$E5)+MAX($B5:$E5)&gt;SUM($B5:$E5)-MIN($B5:$E5)-MAX($B5:$E5),"Triple balancin",IF(MIN($B5:$E5)+MAX($B5:$E5)=SUM($B5:$E5)-MIN($B5:$E5)-MAX($B5:$E5),"Punto de cambio",IF($E5=MIN($B5:$E5),"Doble manivela",IF($C5=MIN($B5:$E5),"Doble balancin","Manivela-balancin")))))</f>
        <v>Manivela-balancin</v>
      </c>
      <c r="AG5" s="99" t="n">
        <f aca="false">IFERROR($E5/$B5,"")</f>
        <v>3</v>
      </c>
      <c r="AH5" s="99" t="n">
        <f aca="false">IFERROR($E5/$D5,"")</f>
        <v>0.666666666666667</v>
      </c>
      <c r="AI5" s="99" t="n">
        <f aca="false">IFERROR(($B5^2-$C5^2+$D5^2+$E5^2)/(2*$B5*$D5),"")</f>
        <v>2</v>
      </c>
      <c r="AJ5" s="99" t="n">
        <f aca="false">IFERROR($E5/$C5,"")</f>
        <v>0.857142857142857</v>
      </c>
      <c r="AK5" s="99" t="n">
        <f aca="false">IFERROR(($D5^2-$E5^2-$B5^2-$C5^2)/(2*$B5*$C5),"")</f>
        <v>-0.285714285714286</v>
      </c>
      <c r="AL5" s="99" t="n">
        <f aca="false">IFERROR(COS(RADIANS($F5))-$AG5-$AH5*COS(RADIANS($F5))+$AI5,"")</f>
        <v>-0.711324865405187</v>
      </c>
      <c r="AM5" s="99" t="n">
        <f aca="false">IFERROR(IF($B5="","",-2*SIN(RADIANS($F5))),"")</f>
        <v>-1</v>
      </c>
      <c r="AN5" s="99" t="n">
        <f aca="false">IFERROR($AG5-($AH5+1)*COS(RADIANS($F5))+$AI5,"")</f>
        <v>3.55662432702594</v>
      </c>
      <c r="AO5" s="99" t="n">
        <f aca="false">IFERROR(COS(RADIANS($F5))-$AG5+$AJ5*COS(RADIANS($F5))+$AK5,"")</f>
        <v>-1.67738139297176</v>
      </c>
      <c r="AP5" s="99" t="n">
        <f aca="false">IFERROR(IF($B5="","",-2*SIN(RADIANS($F5))),"")</f>
        <v>-1</v>
      </c>
      <c r="AQ5" s="99" t="n">
        <f aca="false">IFERROR($AG5+($AJ5-1)*COS(RADIANS($F5))+$AK5,"")</f>
        <v>2.59056779945937</v>
      </c>
      <c r="AR5" s="99" t="n">
        <f aca="false">IFERROR($AM5^2-4*$AL5*$AN5,"")</f>
        <v>11.1196612828741</v>
      </c>
      <c r="AS5" s="99" t="n">
        <f aca="false">IFERROR($AP5^2-4*$AO5*$AQ5,"")</f>
        <v>18.3814808961797</v>
      </c>
      <c r="AT5" s="99" t="n">
        <f aca="false">IFERROR($B5*$H5*SIN(RADIANS($F5))+$B5*$G5^2*COS(RADIANS($F5))+$C5*$N5^2*COS(RADIANS($K5))-$D5*$O5^2*COS(RADIANS($L5)),"")</f>
        <v>244.045310618491</v>
      </c>
      <c r="AU5" s="99" t="n">
        <f aca="false">IFERROR($B5*$H5*COS(RADIANS($F5))-$B5*$G5^2*SIN(RADIANS($F5))-$C5*$N5^2*SIN(RADIANS($K5))+$D5*$O5^2*SIN(RADIANS($L5)),"")</f>
        <v>-223.741351373859</v>
      </c>
      <c r="AV5" s="99" t="n">
        <f aca="false">IFERROR($B5*$H5*SIN(RADIANS($F5))+$B5*$G5^2*COS(RADIANS($F5))+$C5*$X5^2*COS(RADIANS($U5))-$D5*$Y5^2*COS(RADIANS($V5)),"")</f>
        <v>223.253334613529</v>
      </c>
      <c r="AW5" s="99" t="n">
        <f aca="false">IFERROR($B5*$H5*COS(RADIANS($F5))-$B5*$G5^2*SIN(RADIANS($F5))-$C5*$X5^2*SIN(RADIANS($U5))+$D5*$Y5^2*SIN(RADIANS($V5)),"")</f>
        <v>-135.002254174435</v>
      </c>
    </row>
    <row r="6" customFormat="false" ht="12" hidden="false" customHeight="true" outlineLevel="0" collapsed="false">
      <c r="A6" s="95" t="n">
        <v>2</v>
      </c>
      <c r="B6" s="96"/>
      <c r="C6" s="96"/>
      <c r="D6" s="96"/>
      <c r="E6" s="96"/>
      <c r="F6" s="96"/>
      <c r="G6" s="96"/>
      <c r="H6" s="96"/>
      <c r="I6" s="96"/>
      <c r="J6" s="96"/>
      <c r="K6" s="97" t="str">
        <f aca="false">IFERROR(MOD(DEGREES(2*ATAN((-$AP6-SQRT($AS6))/(2*$AO6))),360),"")</f>
        <v/>
      </c>
      <c r="L6" s="97" t="str">
        <f aca="false">IFERROR(MOD(DEGREES(2*ATAN((-$AM6-SQRT($AR6))/(2*$AL6))),360),"")</f>
        <v/>
      </c>
      <c r="M6" s="97" t="str">
        <f aca="false">IFERROR(IF(MOD($L6-$K6,180)&gt;90,180-MOD($L6-$K6,180),MOD($L6-$K6,180)),"")</f>
        <v/>
      </c>
      <c r="N6" s="97" t="str">
        <f aca="false">IFERROR($B6*$G6*SIN(RADIANS($L6-$F6))/($C6*SIN(RADIANS($K6-$L6))),"")</f>
        <v/>
      </c>
      <c r="O6" s="97" t="str">
        <f aca="false">IFERROR($B6*$G6*SIN(RADIANS($F6-$K6))/($D6*SIN(RADIANS($L6-$K6))),"")</f>
        <v/>
      </c>
      <c r="P6" s="97" t="str">
        <f aca="false">IFERROR(IF($B6="","",ABS($B6*$G6)),"")</f>
        <v/>
      </c>
      <c r="Q6" s="97" t="str">
        <f aca="false">IFERROR(ABS($D6*$O6),"")</f>
        <v/>
      </c>
      <c r="R6" s="97" t="str">
        <f aca="false">IFERROR(SQRT((-$B6*$G6*SIN(RADIANS($F6))-$I6*$N6*SIN(RADIANS($K6+$J6)))^2+($B6*$G6*COS(RADIANS($F6))+$I6*$N6*COS(RADIANS($K6+$J6)))^2),"")</f>
        <v/>
      </c>
      <c r="S6" s="97" t="str">
        <f aca="false">IFERROR(($AT6*COS(RADIANS($L6))-$AU6*SIN(RADIANS($L6)))/($C6*SIN(RADIANS($L6-$K6))),"")</f>
        <v/>
      </c>
      <c r="T6" s="97" t="str">
        <f aca="false">IFERROR(($AT6*COS(RADIANS($K6))-$AU6*SIN(RADIANS($K6)))/($D6*SIN(RADIANS($L6-$K6))),"")</f>
        <v/>
      </c>
      <c r="U6" s="97" t="str">
        <f aca="false">IFERROR(MOD(DEGREES(2*ATAN((-$AP6+SQRT($AS6))/(2*$AO6))),360),"")</f>
        <v/>
      </c>
      <c r="V6" s="97" t="str">
        <f aca="false">IFERROR(MOD(DEGREES(2*ATAN((-$AM6+SQRT($AR6))/(2*$AL6))),360),"")</f>
        <v/>
      </c>
      <c r="W6" s="97" t="str">
        <f aca="false">IFERROR(IF(MOD($V6-$U6,180)&gt;90,180-MOD($V6-$U6,180),MOD($V6-$U6,180)),"")</f>
        <v/>
      </c>
      <c r="X6" s="97" t="str">
        <f aca="false">IFERROR($B6*$G6*SIN(RADIANS($V6-$F6))/($C6*SIN(RADIANS($U6-$V6))),"")</f>
        <v/>
      </c>
      <c r="Y6" s="97" t="str">
        <f aca="false">IFERROR($B6*$G6*SIN(RADIANS($F6-$U6))/($D6*SIN(RADIANS($V6-$U6))),"")</f>
        <v/>
      </c>
      <c r="Z6" s="97" t="str">
        <f aca="false">IFERROR(ABS($D6*$Y6),"")</f>
        <v/>
      </c>
      <c r="AA6" s="97" t="str">
        <f aca="false">IFERROR(SQRT((-$B6*$G6*SIN(RADIANS($F6))-$I6*$X6*SIN(RADIANS($U6+$J6)))^2+($B6*$G6*COS(RADIANS($F6))+$I6*$X6*COS(RADIANS($U6+$J6)))^2),"")</f>
        <v/>
      </c>
      <c r="AB6" s="97" t="str">
        <f aca="false">IFERROR(($AV6*COS(RADIANS($V6))-$AW6*SIN(RADIANS($V6)))/($C6*SIN(RADIANS($V6-$U6))),"")</f>
        <v/>
      </c>
      <c r="AC6" s="97" t="str">
        <f aca="false">IFERROR(($AV6*COS(RADIANS($U6))-$AW6*SIN(RADIANS($U6)))/($D6*SIN(RADIANS($V6-$U6))),"")</f>
        <v/>
      </c>
      <c r="AD6" s="98" t="str">
        <f aca="false">IF(COUNT($B6:$E6)&lt;4,"",IF(MIN($B6:$E6)+MAX($B6:$E6)&lt;SUM($B6:$E6)-MIN($B6:$E6)-MAX($B6:$E6),"Grashof",IF(MIN($B6:$E6)+MAX($B6:$E6)=SUM($B6:$E6)-MIN($B6:$E6)-MAX($B6:$E6),"Punto de cambio","No Grashof")))</f>
        <v/>
      </c>
      <c r="AE6" s="98" t="str">
        <f aca="false">IF(COUNT($B6:$E6)&lt;4,"",IF(MIN($B6:$E6)+MAX($B6:$E6)&gt;SUM($B6:$E6)-MIN($B6:$E6)-MAX($B6:$E6),"Triple balancin",IF(MIN($B6:$E6)+MAX($B6:$E6)=SUM($B6:$E6)-MIN($B6:$E6)-MAX($B6:$E6),"Punto de cambio",IF($E6=MIN($B6:$E6),"Doble manivela",IF($C6=MIN($B6:$E6),"Doble balancin","Manivela-balancin")))))</f>
        <v/>
      </c>
      <c r="AG6" s="99" t="str">
        <f aca="false">IFERROR($E6/$B6,"")</f>
        <v/>
      </c>
      <c r="AH6" s="99" t="str">
        <f aca="false">IFERROR($E6/$D6,"")</f>
        <v/>
      </c>
      <c r="AI6" s="99" t="str">
        <f aca="false">IFERROR(($B6^2-$C6^2+$D6^2+$E6^2)/(2*$B6*$D6),"")</f>
        <v/>
      </c>
      <c r="AJ6" s="99" t="str">
        <f aca="false">IFERROR($E6/$C6,"")</f>
        <v/>
      </c>
      <c r="AK6" s="99" t="str">
        <f aca="false">IFERROR(($D6^2-$E6^2-$B6^2-$C6^2)/(2*$B6*$C6),"")</f>
        <v/>
      </c>
      <c r="AL6" s="99" t="str">
        <f aca="false">IFERROR(COS(RADIANS($F6))-$AG6-$AH6*COS(RADIANS($F6))+$AI6,"")</f>
        <v/>
      </c>
      <c r="AM6" s="99" t="str">
        <f aca="false">IFERROR(IF($B6="","",-2*SIN(RADIANS($F6))),"")</f>
        <v/>
      </c>
      <c r="AN6" s="99" t="str">
        <f aca="false">IFERROR($AG6-($AH6+1)*COS(RADIANS($F6))+$AI6,"")</f>
        <v/>
      </c>
      <c r="AO6" s="99" t="str">
        <f aca="false">IFERROR(COS(RADIANS($F6))-$AG6+$AJ6*COS(RADIANS($F6))+$AK6,"")</f>
        <v/>
      </c>
      <c r="AP6" s="99" t="str">
        <f aca="false">IFERROR(IF($B6="","",-2*SIN(RADIANS($F6))),"")</f>
        <v/>
      </c>
      <c r="AQ6" s="99" t="str">
        <f aca="false">IFERROR($AG6+($AJ6-1)*COS(RADIANS($F6))+$AK6,"")</f>
        <v/>
      </c>
      <c r="AR6" s="99" t="str">
        <f aca="false">IFERROR($AM6^2-4*$AL6*$AN6,"")</f>
        <v/>
      </c>
      <c r="AS6" s="99" t="str">
        <f aca="false">IFERROR($AP6^2-4*$AO6*$AQ6,"")</f>
        <v/>
      </c>
      <c r="AT6" s="99" t="str">
        <f aca="false">IFERROR($B6*$H6*SIN(RADIANS($F6))+$B6*$G6^2*COS(RADIANS($F6))+$C6*$N6^2*COS(RADIANS($K6))-$D6*$O6^2*COS(RADIANS($L6)),"")</f>
        <v/>
      </c>
      <c r="AU6" s="99" t="str">
        <f aca="false">IFERROR($B6*$H6*COS(RADIANS($F6))-$B6*$G6^2*SIN(RADIANS($F6))-$C6*$N6^2*SIN(RADIANS($K6))+$D6*$O6^2*SIN(RADIANS($L6)),"")</f>
        <v/>
      </c>
      <c r="AV6" s="99" t="str">
        <f aca="false">IFERROR($B6*$H6*SIN(RADIANS($F6))+$B6*$G6^2*COS(RADIANS($F6))+$C6*$X6^2*COS(RADIANS($U6))-$D6*$Y6^2*COS(RADIANS($V6)),"")</f>
        <v/>
      </c>
      <c r="AW6" s="99" t="str">
        <f aca="false">IFERROR($B6*$H6*COS(RADIANS($F6))-$B6*$G6^2*SIN(RADIANS($F6))-$C6*$X6^2*SIN(RADIANS($U6))+$D6*$Y6^2*SIN(RADIANS($V6)),"")</f>
        <v/>
      </c>
    </row>
    <row r="7" customFormat="false" ht="12" hidden="false" customHeight="true" outlineLevel="0" collapsed="false">
      <c r="A7" s="95" t="n">
        <v>3</v>
      </c>
      <c r="B7" s="96"/>
      <c r="C7" s="96"/>
      <c r="D7" s="96"/>
      <c r="E7" s="96"/>
      <c r="F7" s="96"/>
      <c r="G7" s="96"/>
      <c r="H7" s="96"/>
      <c r="I7" s="96"/>
      <c r="J7" s="96"/>
      <c r="K7" s="97" t="str">
        <f aca="false">IFERROR(MOD(DEGREES(2*ATAN((-$AP7-SQRT($AS7))/(2*$AO7))),360),"")</f>
        <v/>
      </c>
      <c r="L7" s="97" t="str">
        <f aca="false">IFERROR(MOD(DEGREES(2*ATAN((-$AM7-SQRT($AR7))/(2*$AL7))),360),"")</f>
        <v/>
      </c>
      <c r="M7" s="97" t="str">
        <f aca="false">IFERROR(IF(MOD($L7-$K7,180)&gt;90,180-MOD($L7-$K7,180),MOD($L7-$K7,180)),"")</f>
        <v/>
      </c>
      <c r="N7" s="97" t="str">
        <f aca="false">IFERROR($B7*$G7*SIN(RADIANS($L7-$F7))/($C7*SIN(RADIANS($K7-$L7))),"")</f>
        <v/>
      </c>
      <c r="O7" s="97" t="str">
        <f aca="false">IFERROR($B7*$G7*SIN(RADIANS($F7-$K7))/($D7*SIN(RADIANS($L7-$K7))),"")</f>
        <v/>
      </c>
      <c r="P7" s="97" t="str">
        <f aca="false">IFERROR(IF($B7="","",ABS($B7*$G7)),"")</f>
        <v/>
      </c>
      <c r="Q7" s="97" t="str">
        <f aca="false">IFERROR(ABS($D7*$O7),"")</f>
        <v/>
      </c>
      <c r="R7" s="97" t="str">
        <f aca="false">IFERROR(SQRT((-$B7*$G7*SIN(RADIANS($F7))-$I7*$N7*SIN(RADIANS($K7+$J7)))^2+($B7*$G7*COS(RADIANS($F7))+$I7*$N7*COS(RADIANS($K7+$J7)))^2),"")</f>
        <v/>
      </c>
      <c r="S7" s="97" t="str">
        <f aca="false">IFERROR(($AT7*COS(RADIANS($L7))-$AU7*SIN(RADIANS($L7)))/($C7*SIN(RADIANS($L7-$K7))),"")</f>
        <v/>
      </c>
      <c r="T7" s="97" t="str">
        <f aca="false">IFERROR(($AT7*COS(RADIANS($K7))-$AU7*SIN(RADIANS($K7)))/($D7*SIN(RADIANS($L7-$K7))),"")</f>
        <v/>
      </c>
      <c r="U7" s="97" t="str">
        <f aca="false">IFERROR(MOD(DEGREES(2*ATAN((-$AP7+SQRT($AS7))/(2*$AO7))),360),"")</f>
        <v/>
      </c>
      <c r="V7" s="97" t="str">
        <f aca="false">IFERROR(MOD(DEGREES(2*ATAN((-$AM7+SQRT($AR7))/(2*$AL7))),360),"")</f>
        <v/>
      </c>
      <c r="W7" s="97" t="str">
        <f aca="false">IFERROR(IF(MOD($V7-$U7,180)&gt;90,180-MOD($V7-$U7,180),MOD($V7-$U7,180)),"")</f>
        <v/>
      </c>
      <c r="X7" s="97" t="str">
        <f aca="false">IFERROR($B7*$G7*SIN(RADIANS($V7-$F7))/($C7*SIN(RADIANS($U7-$V7))),"")</f>
        <v/>
      </c>
      <c r="Y7" s="97" t="str">
        <f aca="false">IFERROR($B7*$G7*SIN(RADIANS($F7-$U7))/($D7*SIN(RADIANS($V7-$U7))),"")</f>
        <v/>
      </c>
      <c r="Z7" s="97" t="str">
        <f aca="false">IFERROR(ABS($D7*$Y7),"")</f>
        <v/>
      </c>
      <c r="AA7" s="97" t="str">
        <f aca="false">IFERROR(SQRT((-$B7*$G7*SIN(RADIANS($F7))-$I7*$X7*SIN(RADIANS($U7+$J7)))^2+($B7*$G7*COS(RADIANS($F7))+$I7*$X7*COS(RADIANS($U7+$J7)))^2),"")</f>
        <v/>
      </c>
      <c r="AB7" s="97" t="str">
        <f aca="false">IFERROR(($AV7*COS(RADIANS($V7))-$AW7*SIN(RADIANS($V7)))/($C7*SIN(RADIANS($V7-$U7))),"")</f>
        <v/>
      </c>
      <c r="AC7" s="97" t="str">
        <f aca="false">IFERROR(($AV7*COS(RADIANS($U7))-$AW7*SIN(RADIANS($U7)))/($D7*SIN(RADIANS($V7-$U7))),"")</f>
        <v/>
      </c>
      <c r="AD7" s="98" t="str">
        <f aca="false">IF(COUNT($B7:$E7)&lt;4,"",IF(MIN($B7:$E7)+MAX($B7:$E7)&lt;SUM($B7:$E7)-MIN($B7:$E7)-MAX($B7:$E7),"Grashof",IF(MIN($B7:$E7)+MAX($B7:$E7)=SUM($B7:$E7)-MIN($B7:$E7)-MAX($B7:$E7),"Punto de cambio","No Grashof")))</f>
        <v/>
      </c>
      <c r="AE7" s="98" t="str">
        <f aca="false">IF(COUNT($B7:$E7)&lt;4,"",IF(MIN($B7:$E7)+MAX($B7:$E7)&gt;SUM($B7:$E7)-MIN($B7:$E7)-MAX($B7:$E7),"Triple balancin",IF(MIN($B7:$E7)+MAX($B7:$E7)=SUM($B7:$E7)-MIN($B7:$E7)-MAX($B7:$E7),"Punto de cambio",IF($E7=MIN($B7:$E7),"Doble manivela",IF($C7=MIN($B7:$E7),"Doble balancin","Manivela-balancin")))))</f>
        <v/>
      </c>
      <c r="AG7" s="99" t="str">
        <f aca="false">IFERROR($E7/$B7,"")</f>
        <v/>
      </c>
      <c r="AH7" s="99" t="str">
        <f aca="false">IFERROR($E7/$D7,"")</f>
        <v/>
      </c>
      <c r="AI7" s="99" t="str">
        <f aca="false">IFERROR(($B7^2-$C7^2+$D7^2+$E7^2)/(2*$B7*$D7),"")</f>
        <v/>
      </c>
      <c r="AJ7" s="99" t="str">
        <f aca="false">IFERROR($E7/$C7,"")</f>
        <v/>
      </c>
      <c r="AK7" s="99" t="str">
        <f aca="false">IFERROR(($D7^2-$E7^2-$B7^2-$C7^2)/(2*$B7*$C7),"")</f>
        <v/>
      </c>
      <c r="AL7" s="99" t="str">
        <f aca="false">IFERROR(COS(RADIANS($F7))-$AG7-$AH7*COS(RADIANS($F7))+$AI7,"")</f>
        <v/>
      </c>
      <c r="AM7" s="99" t="str">
        <f aca="false">IFERROR(IF($B7="","",-2*SIN(RADIANS($F7))),"")</f>
        <v/>
      </c>
      <c r="AN7" s="99" t="str">
        <f aca="false">IFERROR($AG7-($AH7+1)*COS(RADIANS($F7))+$AI7,"")</f>
        <v/>
      </c>
      <c r="AO7" s="99" t="str">
        <f aca="false">IFERROR(COS(RADIANS($F7))-$AG7+$AJ7*COS(RADIANS($F7))+$AK7,"")</f>
        <v/>
      </c>
      <c r="AP7" s="99" t="str">
        <f aca="false">IFERROR(IF($B7="","",-2*SIN(RADIANS($F7))),"")</f>
        <v/>
      </c>
      <c r="AQ7" s="99" t="str">
        <f aca="false">IFERROR($AG7+($AJ7-1)*COS(RADIANS($F7))+$AK7,"")</f>
        <v/>
      </c>
      <c r="AR7" s="99" t="str">
        <f aca="false">IFERROR($AM7^2-4*$AL7*$AN7,"")</f>
        <v/>
      </c>
      <c r="AS7" s="99" t="str">
        <f aca="false">IFERROR($AP7^2-4*$AO7*$AQ7,"")</f>
        <v/>
      </c>
      <c r="AT7" s="99" t="str">
        <f aca="false">IFERROR($B7*$H7*SIN(RADIANS($F7))+$B7*$G7^2*COS(RADIANS($F7))+$C7*$N7^2*COS(RADIANS($K7))-$D7*$O7^2*COS(RADIANS($L7)),"")</f>
        <v/>
      </c>
      <c r="AU7" s="99" t="str">
        <f aca="false">IFERROR($B7*$H7*COS(RADIANS($F7))-$B7*$G7^2*SIN(RADIANS($F7))-$C7*$N7^2*SIN(RADIANS($K7))+$D7*$O7^2*SIN(RADIANS($L7)),"")</f>
        <v/>
      </c>
      <c r="AV7" s="99" t="str">
        <f aca="false">IFERROR($B7*$H7*SIN(RADIANS($F7))+$B7*$G7^2*COS(RADIANS($F7))+$C7*$X7^2*COS(RADIANS($U7))-$D7*$Y7^2*COS(RADIANS($V7)),"")</f>
        <v/>
      </c>
      <c r="AW7" s="99" t="str">
        <f aca="false">IFERROR($B7*$H7*COS(RADIANS($F7))-$B7*$G7^2*SIN(RADIANS($F7))-$C7*$X7^2*SIN(RADIANS($U7))+$D7*$Y7^2*SIN(RADIANS($V7)),"")</f>
        <v/>
      </c>
    </row>
    <row r="8" customFormat="false" ht="12" hidden="false" customHeight="true" outlineLevel="0" collapsed="false">
      <c r="A8" s="95" t="n">
        <v>4</v>
      </c>
      <c r="B8" s="96"/>
      <c r="C8" s="96"/>
      <c r="D8" s="96"/>
      <c r="E8" s="96"/>
      <c r="F8" s="96"/>
      <c r="G8" s="96"/>
      <c r="H8" s="96"/>
      <c r="I8" s="96"/>
      <c r="J8" s="96"/>
      <c r="K8" s="97" t="str">
        <f aca="false">IFERROR(MOD(DEGREES(2*ATAN((-$AP8-SQRT($AS8))/(2*$AO8))),360),"")</f>
        <v/>
      </c>
      <c r="L8" s="97" t="str">
        <f aca="false">IFERROR(MOD(DEGREES(2*ATAN((-$AM8-SQRT($AR8))/(2*$AL8))),360),"")</f>
        <v/>
      </c>
      <c r="M8" s="97" t="str">
        <f aca="false">IFERROR(IF(MOD($L8-$K8,180)&gt;90,180-MOD($L8-$K8,180),MOD($L8-$K8,180)),"")</f>
        <v/>
      </c>
      <c r="N8" s="97" t="str">
        <f aca="false">IFERROR($B8*$G8*SIN(RADIANS($L8-$F8))/($C8*SIN(RADIANS($K8-$L8))),"")</f>
        <v/>
      </c>
      <c r="O8" s="97" t="str">
        <f aca="false">IFERROR($B8*$G8*SIN(RADIANS($F8-$K8))/($D8*SIN(RADIANS($L8-$K8))),"")</f>
        <v/>
      </c>
      <c r="P8" s="97" t="str">
        <f aca="false">IFERROR(IF($B8="","",ABS($B8*$G8)),"")</f>
        <v/>
      </c>
      <c r="Q8" s="97" t="str">
        <f aca="false">IFERROR(ABS($D8*$O8),"")</f>
        <v/>
      </c>
      <c r="R8" s="97" t="str">
        <f aca="false">IFERROR(SQRT((-$B8*$G8*SIN(RADIANS($F8))-$I8*$N8*SIN(RADIANS($K8+$J8)))^2+($B8*$G8*COS(RADIANS($F8))+$I8*$N8*COS(RADIANS($K8+$J8)))^2),"")</f>
        <v/>
      </c>
      <c r="S8" s="97" t="str">
        <f aca="false">IFERROR(($AT8*COS(RADIANS($L8))-$AU8*SIN(RADIANS($L8)))/($C8*SIN(RADIANS($L8-$K8))),"")</f>
        <v/>
      </c>
      <c r="T8" s="97" t="str">
        <f aca="false">IFERROR(($AT8*COS(RADIANS($K8))-$AU8*SIN(RADIANS($K8)))/($D8*SIN(RADIANS($L8-$K8))),"")</f>
        <v/>
      </c>
      <c r="U8" s="97" t="str">
        <f aca="false">IFERROR(MOD(DEGREES(2*ATAN((-$AP8+SQRT($AS8))/(2*$AO8))),360),"")</f>
        <v/>
      </c>
      <c r="V8" s="97" t="str">
        <f aca="false">IFERROR(MOD(DEGREES(2*ATAN((-$AM8+SQRT($AR8))/(2*$AL8))),360),"")</f>
        <v/>
      </c>
      <c r="W8" s="97" t="str">
        <f aca="false">IFERROR(IF(MOD($V8-$U8,180)&gt;90,180-MOD($V8-$U8,180),MOD($V8-$U8,180)),"")</f>
        <v/>
      </c>
      <c r="X8" s="97" t="str">
        <f aca="false">IFERROR($B8*$G8*SIN(RADIANS($V8-$F8))/($C8*SIN(RADIANS($U8-$V8))),"")</f>
        <v/>
      </c>
      <c r="Y8" s="97" t="str">
        <f aca="false">IFERROR($B8*$G8*SIN(RADIANS($F8-$U8))/($D8*SIN(RADIANS($V8-$U8))),"")</f>
        <v/>
      </c>
      <c r="Z8" s="97" t="str">
        <f aca="false">IFERROR(ABS($D8*$Y8),"")</f>
        <v/>
      </c>
      <c r="AA8" s="97" t="str">
        <f aca="false">IFERROR(SQRT((-$B8*$G8*SIN(RADIANS($F8))-$I8*$X8*SIN(RADIANS($U8+$J8)))^2+($B8*$G8*COS(RADIANS($F8))+$I8*$X8*COS(RADIANS($U8+$J8)))^2),"")</f>
        <v/>
      </c>
      <c r="AB8" s="97" t="str">
        <f aca="false">IFERROR(($AV8*COS(RADIANS($V8))-$AW8*SIN(RADIANS($V8)))/($C8*SIN(RADIANS($V8-$U8))),"")</f>
        <v/>
      </c>
      <c r="AC8" s="97" t="str">
        <f aca="false">IFERROR(($AV8*COS(RADIANS($U8))-$AW8*SIN(RADIANS($U8)))/($D8*SIN(RADIANS($V8-$U8))),"")</f>
        <v/>
      </c>
      <c r="AD8" s="98" t="str">
        <f aca="false">IF(COUNT($B8:$E8)&lt;4,"",IF(MIN($B8:$E8)+MAX($B8:$E8)&lt;SUM($B8:$E8)-MIN($B8:$E8)-MAX($B8:$E8),"Grashof",IF(MIN($B8:$E8)+MAX($B8:$E8)=SUM($B8:$E8)-MIN($B8:$E8)-MAX($B8:$E8),"Punto de cambio","No Grashof")))</f>
        <v/>
      </c>
      <c r="AE8" s="98" t="str">
        <f aca="false">IF(COUNT($B8:$E8)&lt;4,"",IF(MIN($B8:$E8)+MAX($B8:$E8)&gt;SUM($B8:$E8)-MIN($B8:$E8)-MAX($B8:$E8),"Triple balancin",IF(MIN($B8:$E8)+MAX($B8:$E8)=SUM($B8:$E8)-MIN($B8:$E8)-MAX($B8:$E8),"Punto de cambio",IF($E8=MIN($B8:$E8),"Doble manivela",IF($C8=MIN($B8:$E8),"Doble balancin","Manivela-balancin")))))</f>
        <v/>
      </c>
      <c r="AG8" s="99" t="str">
        <f aca="false">IFERROR($E8/$B8,"")</f>
        <v/>
      </c>
      <c r="AH8" s="99" t="str">
        <f aca="false">IFERROR($E8/$D8,"")</f>
        <v/>
      </c>
      <c r="AI8" s="99" t="str">
        <f aca="false">IFERROR(($B8^2-$C8^2+$D8^2+$E8^2)/(2*$B8*$D8),"")</f>
        <v/>
      </c>
      <c r="AJ8" s="99" t="str">
        <f aca="false">IFERROR($E8/$C8,"")</f>
        <v/>
      </c>
      <c r="AK8" s="99" t="str">
        <f aca="false">IFERROR(($D8^2-$E8^2-$B8^2-$C8^2)/(2*$B8*$C8),"")</f>
        <v/>
      </c>
      <c r="AL8" s="99" t="str">
        <f aca="false">IFERROR(COS(RADIANS($F8))-$AG8-$AH8*COS(RADIANS($F8))+$AI8,"")</f>
        <v/>
      </c>
      <c r="AM8" s="99" t="str">
        <f aca="false">IFERROR(IF($B8="","",-2*SIN(RADIANS($F8))),"")</f>
        <v/>
      </c>
      <c r="AN8" s="99" t="str">
        <f aca="false">IFERROR($AG8-($AH8+1)*COS(RADIANS($F8))+$AI8,"")</f>
        <v/>
      </c>
      <c r="AO8" s="99" t="str">
        <f aca="false">IFERROR(COS(RADIANS($F8))-$AG8+$AJ8*COS(RADIANS($F8))+$AK8,"")</f>
        <v/>
      </c>
      <c r="AP8" s="99" t="str">
        <f aca="false">IFERROR(IF($B8="","",-2*SIN(RADIANS($F8))),"")</f>
        <v/>
      </c>
      <c r="AQ8" s="99" t="str">
        <f aca="false">IFERROR($AG8+($AJ8-1)*COS(RADIANS($F8))+$AK8,"")</f>
        <v/>
      </c>
      <c r="AR8" s="99" t="str">
        <f aca="false">IFERROR($AM8^2-4*$AL8*$AN8,"")</f>
        <v/>
      </c>
      <c r="AS8" s="99" t="str">
        <f aca="false">IFERROR($AP8^2-4*$AO8*$AQ8,"")</f>
        <v/>
      </c>
      <c r="AT8" s="99" t="str">
        <f aca="false">IFERROR($B8*$H8*SIN(RADIANS($F8))+$B8*$G8^2*COS(RADIANS($F8))+$C8*$N8^2*COS(RADIANS($K8))-$D8*$O8^2*COS(RADIANS($L8)),"")</f>
        <v/>
      </c>
      <c r="AU8" s="99" t="str">
        <f aca="false">IFERROR($B8*$H8*COS(RADIANS($F8))-$B8*$G8^2*SIN(RADIANS($F8))-$C8*$N8^2*SIN(RADIANS($K8))+$D8*$O8^2*SIN(RADIANS($L8)),"")</f>
        <v/>
      </c>
      <c r="AV8" s="99" t="str">
        <f aca="false">IFERROR($B8*$H8*SIN(RADIANS($F8))+$B8*$G8^2*COS(RADIANS($F8))+$C8*$X8^2*COS(RADIANS($U8))-$D8*$Y8^2*COS(RADIANS($V8)),"")</f>
        <v/>
      </c>
      <c r="AW8" s="99" t="str">
        <f aca="false">IFERROR($B8*$H8*COS(RADIANS($F8))-$B8*$G8^2*SIN(RADIANS($F8))-$C8*$X8^2*SIN(RADIANS($U8))+$D8*$Y8^2*SIN(RADIANS($V8)),"")</f>
        <v/>
      </c>
    </row>
    <row r="9" customFormat="false" ht="12" hidden="false" customHeight="true" outlineLevel="0" collapsed="false">
      <c r="A9" s="95" t="n">
        <v>5</v>
      </c>
      <c r="B9" s="96"/>
      <c r="C9" s="96"/>
      <c r="D9" s="96"/>
      <c r="E9" s="96"/>
      <c r="F9" s="96"/>
      <c r="G9" s="96"/>
      <c r="H9" s="96"/>
      <c r="I9" s="96"/>
      <c r="J9" s="96"/>
      <c r="K9" s="97" t="str">
        <f aca="false">IFERROR(MOD(DEGREES(2*ATAN((-$AP9-SQRT($AS9))/(2*$AO9))),360),"")</f>
        <v/>
      </c>
      <c r="L9" s="97" t="str">
        <f aca="false">IFERROR(MOD(DEGREES(2*ATAN((-$AM9-SQRT($AR9))/(2*$AL9))),360),"")</f>
        <v/>
      </c>
      <c r="M9" s="97" t="str">
        <f aca="false">IFERROR(IF(MOD($L9-$K9,180)&gt;90,180-MOD($L9-$K9,180),MOD($L9-$K9,180)),"")</f>
        <v/>
      </c>
      <c r="N9" s="97" t="str">
        <f aca="false">IFERROR($B9*$G9*SIN(RADIANS($L9-$F9))/($C9*SIN(RADIANS($K9-$L9))),"")</f>
        <v/>
      </c>
      <c r="O9" s="97" t="str">
        <f aca="false">IFERROR($B9*$G9*SIN(RADIANS($F9-$K9))/($D9*SIN(RADIANS($L9-$K9))),"")</f>
        <v/>
      </c>
      <c r="P9" s="97" t="str">
        <f aca="false">IFERROR(IF($B9="","",ABS($B9*$G9)),"")</f>
        <v/>
      </c>
      <c r="Q9" s="97" t="str">
        <f aca="false">IFERROR(ABS($D9*$O9),"")</f>
        <v/>
      </c>
      <c r="R9" s="97" t="str">
        <f aca="false">IFERROR(SQRT((-$B9*$G9*SIN(RADIANS($F9))-$I9*$N9*SIN(RADIANS($K9+$J9)))^2+($B9*$G9*COS(RADIANS($F9))+$I9*$N9*COS(RADIANS($K9+$J9)))^2),"")</f>
        <v/>
      </c>
      <c r="S9" s="97" t="str">
        <f aca="false">IFERROR(($AT9*COS(RADIANS($L9))-$AU9*SIN(RADIANS($L9)))/($C9*SIN(RADIANS($L9-$K9))),"")</f>
        <v/>
      </c>
      <c r="T9" s="97" t="str">
        <f aca="false">IFERROR(($AT9*COS(RADIANS($K9))-$AU9*SIN(RADIANS($K9)))/($D9*SIN(RADIANS($L9-$K9))),"")</f>
        <v/>
      </c>
      <c r="U9" s="97" t="str">
        <f aca="false">IFERROR(MOD(DEGREES(2*ATAN((-$AP9+SQRT($AS9))/(2*$AO9))),360),"")</f>
        <v/>
      </c>
      <c r="V9" s="97" t="str">
        <f aca="false">IFERROR(MOD(DEGREES(2*ATAN((-$AM9+SQRT($AR9))/(2*$AL9))),360),"")</f>
        <v/>
      </c>
      <c r="W9" s="97" t="str">
        <f aca="false">IFERROR(IF(MOD($V9-$U9,180)&gt;90,180-MOD($V9-$U9,180),MOD($V9-$U9,180)),"")</f>
        <v/>
      </c>
      <c r="X9" s="97" t="str">
        <f aca="false">IFERROR($B9*$G9*SIN(RADIANS($V9-$F9))/($C9*SIN(RADIANS($U9-$V9))),"")</f>
        <v/>
      </c>
      <c r="Y9" s="97" t="str">
        <f aca="false">IFERROR($B9*$G9*SIN(RADIANS($F9-$U9))/($D9*SIN(RADIANS($V9-$U9))),"")</f>
        <v/>
      </c>
      <c r="Z9" s="97" t="str">
        <f aca="false">IFERROR(ABS($D9*$Y9),"")</f>
        <v/>
      </c>
      <c r="AA9" s="97" t="str">
        <f aca="false">IFERROR(SQRT((-$B9*$G9*SIN(RADIANS($F9))-$I9*$X9*SIN(RADIANS($U9+$J9)))^2+($B9*$G9*COS(RADIANS($F9))+$I9*$X9*COS(RADIANS($U9+$J9)))^2),"")</f>
        <v/>
      </c>
      <c r="AB9" s="97" t="str">
        <f aca="false">IFERROR(($AV9*COS(RADIANS($V9))-$AW9*SIN(RADIANS($V9)))/($C9*SIN(RADIANS($V9-$U9))),"")</f>
        <v/>
      </c>
      <c r="AC9" s="97" t="str">
        <f aca="false">IFERROR(($AV9*COS(RADIANS($U9))-$AW9*SIN(RADIANS($U9)))/($D9*SIN(RADIANS($V9-$U9))),"")</f>
        <v/>
      </c>
      <c r="AD9" s="98" t="str">
        <f aca="false">IF(COUNT($B9:$E9)&lt;4,"",IF(MIN($B9:$E9)+MAX($B9:$E9)&lt;SUM($B9:$E9)-MIN($B9:$E9)-MAX($B9:$E9),"Grashof",IF(MIN($B9:$E9)+MAX($B9:$E9)=SUM($B9:$E9)-MIN($B9:$E9)-MAX($B9:$E9),"Punto de cambio","No Grashof")))</f>
        <v/>
      </c>
      <c r="AE9" s="98" t="str">
        <f aca="false">IF(COUNT($B9:$E9)&lt;4,"",IF(MIN($B9:$E9)+MAX($B9:$E9)&gt;SUM($B9:$E9)-MIN($B9:$E9)-MAX($B9:$E9),"Triple balancin",IF(MIN($B9:$E9)+MAX($B9:$E9)=SUM($B9:$E9)-MIN($B9:$E9)-MAX($B9:$E9),"Punto de cambio",IF($E9=MIN($B9:$E9),"Doble manivela",IF($C9=MIN($B9:$E9),"Doble balancin","Manivela-balancin")))))</f>
        <v/>
      </c>
      <c r="AG9" s="99" t="str">
        <f aca="false">IFERROR($E9/$B9,"")</f>
        <v/>
      </c>
      <c r="AH9" s="99" t="str">
        <f aca="false">IFERROR($E9/$D9,"")</f>
        <v/>
      </c>
      <c r="AI9" s="99" t="str">
        <f aca="false">IFERROR(($B9^2-$C9^2+$D9^2+$E9^2)/(2*$B9*$D9),"")</f>
        <v/>
      </c>
      <c r="AJ9" s="99" t="str">
        <f aca="false">IFERROR($E9/$C9,"")</f>
        <v/>
      </c>
      <c r="AK9" s="99" t="str">
        <f aca="false">IFERROR(($D9^2-$E9^2-$B9^2-$C9^2)/(2*$B9*$C9),"")</f>
        <v/>
      </c>
      <c r="AL9" s="99" t="str">
        <f aca="false">IFERROR(COS(RADIANS($F9))-$AG9-$AH9*COS(RADIANS($F9))+$AI9,"")</f>
        <v/>
      </c>
      <c r="AM9" s="99" t="str">
        <f aca="false">IFERROR(IF($B9="","",-2*SIN(RADIANS($F9))),"")</f>
        <v/>
      </c>
      <c r="AN9" s="99" t="str">
        <f aca="false">IFERROR($AG9-($AH9+1)*COS(RADIANS($F9))+$AI9,"")</f>
        <v/>
      </c>
      <c r="AO9" s="99" t="str">
        <f aca="false">IFERROR(COS(RADIANS($F9))-$AG9+$AJ9*COS(RADIANS($F9))+$AK9,"")</f>
        <v/>
      </c>
      <c r="AP9" s="99" t="str">
        <f aca="false">IFERROR(IF($B9="","",-2*SIN(RADIANS($F9))),"")</f>
        <v/>
      </c>
      <c r="AQ9" s="99" t="str">
        <f aca="false">IFERROR($AG9+($AJ9-1)*COS(RADIANS($F9))+$AK9,"")</f>
        <v/>
      </c>
      <c r="AR9" s="99" t="str">
        <f aca="false">IFERROR($AM9^2-4*$AL9*$AN9,"")</f>
        <v/>
      </c>
      <c r="AS9" s="99" t="str">
        <f aca="false">IFERROR($AP9^2-4*$AO9*$AQ9,"")</f>
        <v/>
      </c>
      <c r="AT9" s="99" t="str">
        <f aca="false">IFERROR($B9*$H9*SIN(RADIANS($F9))+$B9*$G9^2*COS(RADIANS($F9))+$C9*$N9^2*COS(RADIANS($K9))-$D9*$O9^2*COS(RADIANS($L9)),"")</f>
        <v/>
      </c>
      <c r="AU9" s="99" t="str">
        <f aca="false">IFERROR($B9*$H9*COS(RADIANS($F9))-$B9*$G9^2*SIN(RADIANS($F9))-$C9*$N9^2*SIN(RADIANS($K9))+$D9*$O9^2*SIN(RADIANS($L9)),"")</f>
        <v/>
      </c>
      <c r="AV9" s="99" t="str">
        <f aca="false">IFERROR($B9*$H9*SIN(RADIANS($F9))+$B9*$G9^2*COS(RADIANS($F9))+$C9*$X9^2*COS(RADIANS($U9))-$D9*$Y9^2*COS(RADIANS($V9)),"")</f>
        <v/>
      </c>
      <c r="AW9" s="99" t="str">
        <f aca="false">IFERROR($B9*$H9*COS(RADIANS($F9))-$B9*$G9^2*SIN(RADIANS($F9))-$C9*$X9^2*SIN(RADIANS($U9))+$D9*$Y9^2*SIN(RADIANS($V9)),"")</f>
        <v/>
      </c>
    </row>
    <row r="10" customFormat="false" ht="12" hidden="false" customHeight="true" outlineLevel="0" collapsed="false">
      <c r="A10" s="95" t="n">
        <v>6</v>
      </c>
      <c r="B10" s="96"/>
      <c r="C10" s="96"/>
      <c r="D10" s="96"/>
      <c r="E10" s="96"/>
      <c r="F10" s="96"/>
      <c r="G10" s="96"/>
      <c r="H10" s="96"/>
      <c r="I10" s="96"/>
      <c r="J10" s="96"/>
      <c r="K10" s="97" t="str">
        <f aca="false">IFERROR(MOD(DEGREES(2*ATAN((-$AP10-SQRT($AS10))/(2*$AO10))),360),"")</f>
        <v/>
      </c>
      <c r="L10" s="97" t="str">
        <f aca="false">IFERROR(MOD(DEGREES(2*ATAN((-$AM10-SQRT($AR10))/(2*$AL10))),360),"")</f>
        <v/>
      </c>
      <c r="M10" s="97" t="str">
        <f aca="false">IFERROR(IF(MOD($L10-$K10,180)&gt;90,180-MOD($L10-$K10,180),MOD($L10-$K10,180)),"")</f>
        <v/>
      </c>
      <c r="N10" s="97" t="str">
        <f aca="false">IFERROR($B10*$G10*SIN(RADIANS($L10-$F10))/($C10*SIN(RADIANS($K10-$L10))),"")</f>
        <v/>
      </c>
      <c r="O10" s="97" t="str">
        <f aca="false">IFERROR($B10*$G10*SIN(RADIANS($F10-$K10))/($D10*SIN(RADIANS($L10-$K10))),"")</f>
        <v/>
      </c>
      <c r="P10" s="97" t="str">
        <f aca="false">IFERROR(IF($B10="","",ABS($B10*$G10)),"")</f>
        <v/>
      </c>
      <c r="Q10" s="97" t="str">
        <f aca="false">IFERROR(ABS($D10*$O10),"")</f>
        <v/>
      </c>
      <c r="R10" s="97" t="str">
        <f aca="false">IFERROR(SQRT((-$B10*$G10*SIN(RADIANS($F10))-$I10*$N10*SIN(RADIANS($K10+$J10)))^2+($B10*$G10*COS(RADIANS($F10))+$I10*$N10*COS(RADIANS($K10+$J10)))^2),"")</f>
        <v/>
      </c>
      <c r="S10" s="97" t="str">
        <f aca="false">IFERROR(($AT10*COS(RADIANS($L10))-$AU10*SIN(RADIANS($L10)))/($C10*SIN(RADIANS($L10-$K10))),"")</f>
        <v/>
      </c>
      <c r="T10" s="97" t="str">
        <f aca="false">IFERROR(($AT10*COS(RADIANS($K10))-$AU10*SIN(RADIANS($K10)))/($D10*SIN(RADIANS($L10-$K10))),"")</f>
        <v/>
      </c>
      <c r="U10" s="97" t="str">
        <f aca="false">IFERROR(MOD(DEGREES(2*ATAN((-$AP10+SQRT($AS10))/(2*$AO10))),360),"")</f>
        <v/>
      </c>
      <c r="V10" s="97" t="str">
        <f aca="false">IFERROR(MOD(DEGREES(2*ATAN((-$AM10+SQRT($AR10))/(2*$AL10))),360),"")</f>
        <v/>
      </c>
      <c r="W10" s="97" t="str">
        <f aca="false">IFERROR(IF(MOD($V10-$U10,180)&gt;90,180-MOD($V10-$U10,180),MOD($V10-$U10,180)),"")</f>
        <v/>
      </c>
      <c r="X10" s="97" t="str">
        <f aca="false">IFERROR($B10*$G10*SIN(RADIANS($V10-$F10))/($C10*SIN(RADIANS($U10-$V10))),"")</f>
        <v/>
      </c>
      <c r="Y10" s="97" t="str">
        <f aca="false">IFERROR($B10*$G10*SIN(RADIANS($F10-$U10))/($D10*SIN(RADIANS($V10-$U10))),"")</f>
        <v/>
      </c>
      <c r="Z10" s="97" t="str">
        <f aca="false">IFERROR(ABS($D10*$Y10),"")</f>
        <v/>
      </c>
      <c r="AA10" s="97" t="str">
        <f aca="false">IFERROR(SQRT((-$B10*$G10*SIN(RADIANS($F10))-$I10*$X10*SIN(RADIANS($U10+$J10)))^2+($B10*$G10*COS(RADIANS($F10))+$I10*$X10*COS(RADIANS($U10+$J10)))^2),"")</f>
        <v/>
      </c>
      <c r="AB10" s="97" t="str">
        <f aca="false">IFERROR(($AV10*COS(RADIANS($V10))-$AW10*SIN(RADIANS($V10)))/($C10*SIN(RADIANS($V10-$U10))),"")</f>
        <v/>
      </c>
      <c r="AC10" s="97" t="str">
        <f aca="false">IFERROR(($AV10*COS(RADIANS($U10))-$AW10*SIN(RADIANS($U10)))/($D10*SIN(RADIANS($V10-$U10))),"")</f>
        <v/>
      </c>
      <c r="AD10" s="98" t="str">
        <f aca="false">IF(COUNT($B10:$E10)&lt;4,"",IF(MIN($B10:$E10)+MAX($B10:$E10)&lt;SUM($B10:$E10)-MIN($B10:$E10)-MAX($B10:$E10),"Grashof",IF(MIN($B10:$E10)+MAX($B10:$E10)=SUM($B10:$E10)-MIN($B10:$E10)-MAX($B10:$E10),"Punto de cambio","No Grashof")))</f>
        <v/>
      </c>
      <c r="AE10" s="98" t="str">
        <f aca="false">IF(COUNT($B10:$E10)&lt;4,"",IF(MIN($B10:$E10)+MAX($B10:$E10)&gt;SUM($B10:$E10)-MIN($B10:$E10)-MAX($B10:$E10),"Triple balancin",IF(MIN($B10:$E10)+MAX($B10:$E10)=SUM($B10:$E10)-MIN($B10:$E10)-MAX($B10:$E10),"Punto de cambio",IF($E10=MIN($B10:$E10),"Doble manivela",IF($C10=MIN($B10:$E10),"Doble balancin","Manivela-balancin")))))</f>
        <v/>
      </c>
      <c r="AG10" s="99" t="str">
        <f aca="false">IFERROR($E10/$B10,"")</f>
        <v/>
      </c>
      <c r="AH10" s="99" t="str">
        <f aca="false">IFERROR($E10/$D10,"")</f>
        <v/>
      </c>
      <c r="AI10" s="99" t="str">
        <f aca="false">IFERROR(($B10^2-$C10^2+$D10^2+$E10^2)/(2*$B10*$D10),"")</f>
        <v/>
      </c>
      <c r="AJ10" s="99" t="str">
        <f aca="false">IFERROR($E10/$C10,"")</f>
        <v/>
      </c>
      <c r="AK10" s="99" t="str">
        <f aca="false">IFERROR(($D10^2-$E10^2-$B10^2-$C10^2)/(2*$B10*$C10),"")</f>
        <v/>
      </c>
      <c r="AL10" s="99" t="str">
        <f aca="false">IFERROR(COS(RADIANS($F10))-$AG10-$AH10*COS(RADIANS($F10))+$AI10,"")</f>
        <v/>
      </c>
      <c r="AM10" s="99" t="str">
        <f aca="false">IFERROR(IF($B10="","",-2*SIN(RADIANS($F10))),"")</f>
        <v/>
      </c>
      <c r="AN10" s="99" t="str">
        <f aca="false">IFERROR($AG10-($AH10+1)*COS(RADIANS($F10))+$AI10,"")</f>
        <v/>
      </c>
      <c r="AO10" s="99" t="str">
        <f aca="false">IFERROR(COS(RADIANS($F10))-$AG10+$AJ10*COS(RADIANS($F10))+$AK10,"")</f>
        <v/>
      </c>
      <c r="AP10" s="99" t="str">
        <f aca="false">IFERROR(IF($B10="","",-2*SIN(RADIANS($F10))),"")</f>
        <v/>
      </c>
      <c r="AQ10" s="99" t="str">
        <f aca="false">IFERROR($AG10+($AJ10-1)*COS(RADIANS($F10))+$AK10,"")</f>
        <v/>
      </c>
      <c r="AR10" s="99" t="str">
        <f aca="false">IFERROR($AM10^2-4*$AL10*$AN10,"")</f>
        <v/>
      </c>
      <c r="AS10" s="99" t="str">
        <f aca="false">IFERROR($AP10^2-4*$AO10*$AQ10,"")</f>
        <v/>
      </c>
      <c r="AT10" s="99" t="str">
        <f aca="false">IFERROR($B10*$H10*SIN(RADIANS($F10))+$B10*$G10^2*COS(RADIANS($F10))+$C10*$N10^2*COS(RADIANS($K10))-$D10*$O10^2*COS(RADIANS($L10)),"")</f>
        <v/>
      </c>
      <c r="AU10" s="99" t="str">
        <f aca="false">IFERROR($B10*$H10*COS(RADIANS($F10))-$B10*$G10^2*SIN(RADIANS($F10))-$C10*$N10^2*SIN(RADIANS($K10))+$D10*$O10^2*SIN(RADIANS($L10)),"")</f>
        <v/>
      </c>
      <c r="AV10" s="99" t="str">
        <f aca="false">IFERROR($B10*$H10*SIN(RADIANS($F10))+$B10*$G10^2*COS(RADIANS($F10))+$C10*$X10^2*COS(RADIANS($U10))-$D10*$Y10^2*COS(RADIANS($V10)),"")</f>
        <v/>
      </c>
      <c r="AW10" s="99" t="str">
        <f aca="false">IFERROR($B10*$H10*COS(RADIANS($F10))-$B10*$G10^2*SIN(RADIANS($F10))-$C10*$X10^2*SIN(RADIANS($U10))+$D10*$Y10^2*SIN(RADIANS($V10)),"")</f>
        <v/>
      </c>
    </row>
    <row r="11" customFormat="false" ht="12" hidden="false" customHeight="true" outlineLevel="0" collapsed="false">
      <c r="A11" s="95" t="n">
        <v>7</v>
      </c>
      <c r="B11" s="96"/>
      <c r="C11" s="96"/>
      <c r="D11" s="96"/>
      <c r="E11" s="96"/>
      <c r="F11" s="96"/>
      <c r="G11" s="96"/>
      <c r="H11" s="96"/>
      <c r="I11" s="96"/>
      <c r="J11" s="96"/>
      <c r="K11" s="97" t="str">
        <f aca="false">IFERROR(MOD(DEGREES(2*ATAN((-$AP11-SQRT($AS11))/(2*$AO11))),360),"")</f>
        <v/>
      </c>
      <c r="L11" s="97" t="str">
        <f aca="false">IFERROR(MOD(DEGREES(2*ATAN((-$AM11-SQRT($AR11))/(2*$AL11))),360),"")</f>
        <v/>
      </c>
      <c r="M11" s="97" t="str">
        <f aca="false">IFERROR(IF(MOD($L11-$K11,180)&gt;90,180-MOD($L11-$K11,180),MOD($L11-$K11,180)),"")</f>
        <v/>
      </c>
      <c r="N11" s="97" t="str">
        <f aca="false">IFERROR($B11*$G11*SIN(RADIANS($L11-$F11))/($C11*SIN(RADIANS($K11-$L11))),"")</f>
        <v/>
      </c>
      <c r="O11" s="97" t="str">
        <f aca="false">IFERROR($B11*$G11*SIN(RADIANS($F11-$K11))/($D11*SIN(RADIANS($L11-$K11))),"")</f>
        <v/>
      </c>
      <c r="P11" s="97" t="str">
        <f aca="false">IFERROR(IF($B11="","",ABS($B11*$G11)),"")</f>
        <v/>
      </c>
      <c r="Q11" s="97" t="str">
        <f aca="false">IFERROR(ABS($D11*$O11),"")</f>
        <v/>
      </c>
      <c r="R11" s="97" t="str">
        <f aca="false">IFERROR(SQRT((-$B11*$G11*SIN(RADIANS($F11))-$I11*$N11*SIN(RADIANS($K11+$J11)))^2+($B11*$G11*COS(RADIANS($F11))+$I11*$N11*COS(RADIANS($K11+$J11)))^2),"")</f>
        <v/>
      </c>
      <c r="S11" s="97" t="str">
        <f aca="false">IFERROR(($AT11*COS(RADIANS($L11))-$AU11*SIN(RADIANS($L11)))/($C11*SIN(RADIANS($L11-$K11))),"")</f>
        <v/>
      </c>
      <c r="T11" s="97" t="str">
        <f aca="false">IFERROR(($AT11*COS(RADIANS($K11))-$AU11*SIN(RADIANS($K11)))/($D11*SIN(RADIANS($L11-$K11))),"")</f>
        <v/>
      </c>
      <c r="U11" s="97" t="str">
        <f aca="false">IFERROR(MOD(DEGREES(2*ATAN((-$AP11+SQRT($AS11))/(2*$AO11))),360),"")</f>
        <v/>
      </c>
      <c r="V11" s="97" t="str">
        <f aca="false">IFERROR(MOD(DEGREES(2*ATAN((-$AM11+SQRT($AR11))/(2*$AL11))),360),"")</f>
        <v/>
      </c>
      <c r="W11" s="97" t="str">
        <f aca="false">IFERROR(IF(MOD($V11-$U11,180)&gt;90,180-MOD($V11-$U11,180),MOD($V11-$U11,180)),"")</f>
        <v/>
      </c>
      <c r="X11" s="97" t="str">
        <f aca="false">IFERROR($B11*$G11*SIN(RADIANS($V11-$F11))/($C11*SIN(RADIANS($U11-$V11))),"")</f>
        <v/>
      </c>
      <c r="Y11" s="97" t="str">
        <f aca="false">IFERROR($B11*$G11*SIN(RADIANS($F11-$U11))/($D11*SIN(RADIANS($V11-$U11))),"")</f>
        <v/>
      </c>
      <c r="Z11" s="97" t="str">
        <f aca="false">IFERROR(ABS($D11*$Y11),"")</f>
        <v/>
      </c>
      <c r="AA11" s="97" t="str">
        <f aca="false">IFERROR(SQRT((-$B11*$G11*SIN(RADIANS($F11))-$I11*$X11*SIN(RADIANS($U11+$J11)))^2+($B11*$G11*COS(RADIANS($F11))+$I11*$X11*COS(RADIANS($U11+$J11)))^2),"")</f>
        <v/>
      </c>
      <c r="AB11" s="97" t="str">
        <f aca="false">IFERROR(($AV11*COS(RADIANS($V11))-$AW11*SIN(RADIANS($V11)))/($C11*SIN(RADIANS($V11-$U11))),"")</f>
        <v/>
      </c>
      <c r="AC11" s="97" t="str">
        <f aca="false">IFERROR(($AV11*COS(RADIANS($U11))-$AW11*SIN(RADIANS($U11)))/($D11*SIN(RADIANS($V11-$U11))),"")</f>
        <v/>
      </c>
      <c r="AD11" s="98" t="str">
        <f aca="false">IF(COUNT($B11:$E11)&lt;4,"",IF(MIN($B11:$E11)+MAX($B11:$E11)&lt;SUM($B11:$E11)-MIN($B11:$E11)-MAX($B11:$E11),"Grashof",IF(MIN($B11:$E11)+MAX($B11:$E11)=SUM($B11:$E11)-MIN($B11:$E11)-MAX($B11:$E11),"Punto de cambio","No Grashof")))</f>
        <v/>
      </c>
      <c r="AE11" s="98" t="str">
        <f aca="false">IF(COUNT($B11:$E11)&lt;4,"",IF(MIN($B11:$E11)+MAX($B11:$E11)&gt;SUM($B11:$E11)-MIN($B11:$E11)-MAX($B11:$E11),"Triple balancin",IF(MIN($B11:$E11)+MAX($B11:$E11)=SUM($B11:$E11)-MIN($B11:$E11)-MAX($B11:$E11),"Punto de cambio",IF($E11=MIN($B11:$E11),"Doble manivela",IF($C11=MIN($B11:$E11),"Doble balancin","Manivela-balancin")))))</f>
        <v/>
      </c>
      <c r="AG11" s="99" t="str">
        <f aca="false">IFERROR($E11/$B11,"")</f>
        <v/>
      </c>
      <c r="AH11" s="99" t="str">
        <f aca="false">IFERROR($E11/$D11,"")</f>
        <v/>
      </c>
      <c r="AI11" s="99" t="str">
        <f aca="false">IFERROR(($B11^2-$C11^2+$D11^2+$E11^2)/(2*$B11*$D11),"")</f>
        <v/>
      </c>
      <c r="AJ11" s="99" t="str">
        <f aca="false">IFERROR($E11/$C11,"")</f>
        <v/>
      </c>
      <c r="AK11" s="99" t="str">
        <f aca="false">IFERROR(($D11^2-$E11^2-$B11^2-$C11^2)/(2*$B11*$C11),"")</f>
        <v/>
      </c>
      <c r="AL11" s="99" t="str">
        <f aca="false">IFERROR(COS(RADIANS($F11))-$AG11-$AH11*COS(RADIANS($F11))+$AI11,"")</f>
        <v/>
      </c>
      <c r="AM11" s="99" t="str">
        <f aca="false">IFERROR(IF($B11="","",-2*SIN(RADIANS($F11))),"")</f>
        <v/>
      </c>
      <c r="AN11" s="99" t="str">
        <f aca="false">IFERROR($AG11-($AH11+1)*COS(RADIANS($F11))+$AI11,"")</f>
        <v/>
      </c>
      <c r="AO11" s="99" t="str">
        <f aca="false">IFERROR(COS(RADIANS($F11))-$AG11+$AJ11*COS(RADIANS($F11))+$AK11,"")</f>
        <v/>
      </c>
      <c r="AP11" s="99" t="str">
        <f aca="false">IFERROR(IF($B11="","",-2*SIN(RADIANS($F11))),"")</f>
        <v/>
      </c>
      <c r="AQ11" s="99" t="str">
        <f aca="false">IFERROR($AG11+($AJ11-1)*COS(RADIANS($F11))+$AK11,"")</f>
        <v/>
      </c>
      <c r="AR11" s="99" t="str">
        <f aca="false">IFERROR($AM11^2-4*$AL11*$AN11,"")</f>
        <v/>
      </c>
      <c r="AS11" s="99" t="str">
        <f aca="false">IFERROR($AP11^2-4*$AO11*$AQ11,"")</f>
        <v/>
      </c>
      <c r="AT11" s="99" t="str">
        <f aca="false">IFERROR($B11*$H11*SIN(RADIANS($F11))+$B11*$G11^2*COS(RADIANS($F11))+$C11*$N11^2*COS(RADIANS($K11))-$D11*$O11^2*COS(RADIANS($L11)),"")</f>
        <v/>
      </c>
      <c r="AU11" s="99" t="str">
        <f aca="false">IFERROR($B11*$H11*COS(RADIANS($F11))-$B11*$G11^2*SIN(RADIANS($F11))-$C11*$N11^2*SIN(RADIANS($K11))+$D11*$O11^2*SIN(RADIANS($L11)),"")</f>
        <v/>
      </c>
      <c r="AV11" s="99" t="str">
        <f aca="false">IFERROR($B11*$H11*SIN(RADIANS($F11))+$B11*$G11^2*COS(RADIANS($F11))+$C11*$X11^2*COS(RADIANS($U11))-$D11*$Y11^2*COS(RADIANS($V11)),"")</f>
        <v/>
      </c>
      <c r="AW11" s="99" t="str">
        <f aca="false">IFERROR($B11*$H11*COS(RADIANS($F11))-$B11*$G11^2*SIN(RADIANS($F11))-$C11*$X11^2*SIN(RADIANS($U11))+$D11*$Y11^2*SIN(RADIANS($V11)),"")</f>
        <v/>
      </c>
    </row>
    <row r="12" customFormat="false" ht="12" hidden="false" customHeight="true" outlineLevel="0" collapsed="false">
      <c r="A12" s="95" t="n">
        <v>8</v>
      </c>
      <c r="B12" s="96"/>
      <c r="C12" s="96"/>
      <c r="D12" s="96"/>
      <c r="E12" s="96"/>
      <c r="F12" s="96"/>
      <c r="G12" s="96"/>
      <c r="H12" s="96"/>
      <c r="I12" s="96"/>
      <c r="J12" s="96"/>
      <c r="K12" s="97" t="str">
        <f aca="false">IFERROR(MOD(DEGREES(2*ATAN((-$AP12-SQRT($AS12))/(2*$AO12))),360),"")</f>
        <v/>
      </c>
      <c r="L12" s="97" t="str">
        <f aca="false">IFERROR(MOD(DEGREES(2*ATAN((-$AM12-SQRT($AR12))/(2*$AL12))),360),"")</f>
        <v/>
      </c>
      <c r="M12" s="97" t="str">
        <f aca="false">IFERROR(IF(MOD($L12-$K12,180)&gt;90,180-MOD($L12-$K12,180),MOD($L12-$K12,180)),"")</f>
        <v/>
      </c>
      <c r="N12" s="97" t="str">
        <f aca="false">IFERROR($B12*$G12*SIN(RADIANS($L12-$F12))/($C12*SIN(RADIANS($K12-$L12))),"")</f>
        <v/>
      </c>
      <c r="O12" s="97" t="str">
        <f aca="false">IFERROR($B12*$G12*SIN(RADIANS($F12-$K12))/($D12*SIN(RADIANS($L12-$K12))),"")</f>
        <v/>
      </c>
      <c r="P12" s="97" t="str">
        <f aca="false">IFERROR(IF($B12="","",ABS($B12*$G12)),"")</f>
        <v/>
      </c>
      <c r="Q12" s="97" t="str">
        <f aca="false">IFERROR(ABS($D12*$O12),"")</f>
        <v/>
      </c>
      <c r="R12" s="97" t="str">
        <f aca="false">IFERROR(SQRT((-$B12*$G12*SIN(RADIANS($F12))-$I12*$N12*SIN(RADIANS($K12+$J12)))^2+($B12*$G12*COS(RADIANS($F12))+$I12*$N12*COS(RADIANS($K12+$J12)))^2),"")</f>
        <v/>
      </c>
      <c r="S12" s="97" t="str">
        <f aca="false">IFERROR(($AT12*COS(RADIANS($L12))-$AU12*SIN(RADIANS($L12)))/($C12*SIN(RADIANS($L12-$K12))),"")</f>
        <v/>
      </c>
      <c r="T12" s="97" t="str">
        <f aca="false">IFERROR(($AT12*COS(RADIANS($K12))-$AU12*SIN(RADIANS($K12)))/($D12*SIN(RADIANS($L12-$K12))),"")</f>
        <v/>
      </c>
      <c r="U12" s="97" t="str">
        <f aca="false">IFERROR(MOD(DEGREES(2*ATAN((-$AP12+SQRT($AS12))/(2*$AO12))),360),"")</f>
        <v/>
      </c>
      <c r="V12" s="97" t="str">
        <f aca="false">IFERROR(MOD(DEGREES(2*ATAN((-$AM12+SQRT($AR12))/(2*$AL12))),360),"")</f>
        <v/>
      </c>
      <c r="W12" s="97" t="str">
        <f aca="false">IFERROR(IF(MOD($V12-$U12,180)&gt;90,180-MOD($V12-$U12,180),MOD($V12-$U12,180)),"")</f>
        <v/>
      </c>
      <c r="X12" s="97" t="str">
        <f aca="false">IFERROR($B12*$G12*SIN(RADIANS($V12-$F12))/($C12*SIN(RADIANS($U12-$V12))),"")</f>
        <v/>
      </c>
      <c r="Y12" s="97" t="str">
        <f aca="false">IFERROR($B12*$G12*SIN(RADIANS($F12-$U12))/($D12*SIN(RADIANS($V12-$U12))),"")</f>
        <v/>
      </c>
      <c r="Z12" s="97" t="str">
        <f aca="false">IFERROR(ABS($D12*$Y12),"")</f>
        <v/>
      </c>
      <c r="AA12" s="97" t="str">
        <f aca="false">IFERROR(SQRT((-$B12*$G12*SIN(RADIANS($F12))-$I12*$X12*SIN(RADIANS($U12+$J12)))^2+($B12*$G12*COS(RADIANS($F12))+$I12*$X12*COS(RADIANS($U12+$J12)))^2),"")</f>
        <v/>
      </c>
      <c r="AB12" s="97" t="str">
        <f aca="false">IFERROR(($AV12*COS(RADIANS($V12))-$AW12*SIN(RADIANS($V12)))/($C12*SIN(RADIANS($V12-$U12))),"")</f>
        <v/>
      </c>
      <c r="AC12" s="97" t="str">
        <f aca="false">IFERROR(($AV12*COS(RADIANS($U12))-$AW12*SIN(RADIANS($U12)))/($D12*SIN(RADIANS($V12-$U12))),"")</f>
        <v/>
      </c>
      <c r="AD12" s="98" t="str">
        <f aca="false">IF(COUNT($B12:$E12)&lt;4,"",IF(MIN($B12:$E12)+MAX($B12:$E12)&lt;SUM($B12:$E12)-MIN($B12:$E12)-MAX($B12:$E12),"Grashof",IF(MIN($B12:$E12)+MAX($B12:$E12)=SUM($B12:$E12)-MIN($B12:$E12)-MAX($B12:$E12),"Punto de cambio","No Grashof")))</f>
        <v/>
      </c>
      <c r="AE12" s="98" t="str">
        <f aca="false">IF(COUNT($B12:$E12)&lt;4,"",IF(MIN($B12:$E12)+MAX($B12:$E12)&gt;SUM($B12:$E12)-MIN($B12:$E12)-MAX($B12:$E12),"Triple balancin",IF(MIN($B12:$E12)+MAX($B12:$E12)=SUM($B12:$E12)-MIN($B12:$E12)-MAX($B12:$E12),"Punto de cambio",IF($E12=MIN($B12:$E12),"Doble manivela",IF($C12=MIN($B12:$E12),"Doble balancin","Manivela-balancin")))))</f>
        <v/>
      </c>
      <c r="AG12" s="99" t="str">
        <f aca="false">IFERROR($E12/$B12,"")</f>
        <v/>
      </c>
      <c r="AH12" s="99" t="str">
        <f aca="false">IFERROR($E12/$D12,"")</f>
        <v/>
      </c>
      <c r="AI12" s="99" t="str">
        <f aca="false">IFERROR(($B12^2-$C12^2+$D12^2+$E12^2)/(2*$B12*$D12),"")</f>
        <v/>
      </c>
      <c r="AJ12" s="99" t="str">
        <f aca="false">IFERROR($E12/$C12,"")</f>
        <v/>
      </c>
      <c r="AK12" s="99" t="str">
        <f aca="false">IFERROR(($D12^2-$E12^2-$B12^2-$C12^2)/(2*$B12*$C12),"")</f>
        <v/>
      </c>
      <c r="AL12" s="99" t="str">
        <f aca="false">IFERROR(COS(RADIANS($F12))-$AG12-$AH12*COS(RADIANS($F12))+$AI12,"")</f>
        <v/>
      </c>
      <c r="AM12" s="99" t="str">
        <f aca="false">IFERROR(IF($B12="","",-2*SIN(RADIANS($F12))),"")</f>
        <v/>
      </c>
      <c r="AN12" s="99" t="str">
        <f aca="false">IFERROR($AG12-($AH12+1)*COS(RADIANS($F12))+$AI12,"")</f>
        <v/>
      </c>
      <c r="AO12" s="99" t="str">
        <f aca="false">IFERROR(COS(RADIANS($F12))-$AG12+$AJ12*COS(RADIANS($F12))+$AK12,"")</f>
        <v/>
      </c>
      <c r="AP12" s="99" t="str">
        <f aca="false">IFERROR(IF($B12="","",-2*SIN(RADIANS($F12))),"")</f>
        <v/>
      </c>
      <c r="AQ12" s="99" t="str">
        <f aca="false">IFERROR($AG12+($AJ12-1)*COS(RADIANS($F12))+$AK12,"")</f>
        <v/>
      </c>
      <c r="AR12" s="99" t="str">
        <f aca="false">IFERROR($AM12^2-4*$AL12*$AN12,"")</f>
        <v/>
      </c>
      <c r="AS12" s="99" t="str">
        <f aca="false">IFERROR($AP12^2-4*$AO12*$AQ12,"")</f>
        <v/>
      </c>
      <c r="AT12" s="99" t="str">
        <f aca="false">IFERROR($B12*$H12*SIN(RADIANS($F12))+$B12*$G12^2*COS(RADIANS($F12))+$C12*$N12^2*COS(RADIANS($K12))-$D12*$O12^2*COS(RADIANS($L12)),"")</f>
        <v/>
      </c>
      <c r="AU12" s="99" t="str">
        <f aca="false">IFERROR($B12*$H12*COS(RADIANS($F12))-$B12*$G12^2*SIN(RADIANS($F12))-$C12*$N12^2*SIN(RADIANS($K12))+$D12*$O12^2*SIN(RADIANS($L12)),"")</f>
        <v/>
      </c>
      <c r="AV12" s="99" t="str">
        <f aca="false">IFERROR($B12*$H12*SIN(RADIANS($F12))+$B12*$G12^2*COS(RADIANS($F12))+$C12*$X12^2*COS(RADIANS($U12))-$D12*$Y12^2*COS(RADIANS($V12)),"")</f>
        <v/>
      </c>
      <c r="AW12" s="99" t="str">
        <f aca="false">IFERROR($B12*$H12*COS(RADIANS($F12))-$B12*$G12^2*SIN(RADIANS($F12))-$C12*$X12^2*SIN(RADIANS($U12))+$D12*$Y12^2*SIN(RADIANS($V12)),"")</f>
        <v/>
      </c>
    </row>
    <row r="13" customFormat="false" ht="12" hidden="false" customHeight="true" outlineLevel="0" collapsed="false">
      <c r="A13" s="95" t="n">
        <v>9</v>
      </c>
      <c r="B13" s="96"/>
      <c r="C13" s="96"/>
      <c r="D13" s="96"/>
      <c r="E13" s="96"/>
      <c r="F13" s="96"/>
      <c r="G13" s="96"/>
      <c r="H13" s="96"/>
      <c r="I13" s="96"/>
      <c r="J13" s="96"/>
      <c r="K13" s="97" t="str">
        <f aca="false">IFERROR(MOD(DEGREES(2*ATAN((-$AP13-SQRT($AS13))/(2*$AO13))),360),"")</f>
        <v/>
      </c>
      <c r="L13" s="97" t="str">
        <f aca="false">IFERROR(MOD(DEGREES(2*ATAN((-$AM13-SQRT($AR13))/(2*$AL13))),360),"")</f>
        <v/>
      </c>
      <c r="M13" s="97" t="str">
        <f aca="false">IFERROR(IF(MOD($L13-$K13,180)&gt;90,180-MOD($L13-$K13,180),MOD($L13-$K13,180)),"")</f>
        <v/>
      </c>
      <c r="N13" s="97" t="str">
        <f aca="false">IFERROR($B13*$G13*SIN(RADIANS($L13-$F13))/($C13*SIN(RADIANS($K13-$L13))),"")</f>
        <v/>
      </c>
      <c r="O13" s="97" t="str">
        <f aca="false">IFERROR($B13*$G13*SIN(RADIANS($F13-$K13))/($D13*SIN(RADIANS($L13-$K13))),"")</f>
        <v/>
      </c>
      <c r="P13" s="97" t="str">
        <f aca="false">IFERROR(IF($B13="","",ABS($B13*$G13)),"")</f>
        <v/>
      </c>
      <c r="Q13" s="97" t="str">
        <f aca="false">IFERROR(ABS($D13*$O13),"")</f>
        <v/>
      </c>
      <c r="R13" s="97" t="str">
        <f aca="false">IFERROR(SQRT((-$B13*$G13*SIN(RADIANS($F13))-$I13*$N13*SIN(RADIANS($K13+$J13)))^2+($B13*$G13*COS(RADIANS($F13))+$I13*$N13*COS(RADIANS($K13+$J13)))^2),"")</f>
        <v/>
      </c>
      <c r="S13" s="97" t="str">
        <f aca="false">IFERROR(($AT13*COS(RADIANS($L13))-$AU13*SIN(RADIANS($L13)))/($C13*SIN(RADIANS($L13-$K13))),"")</f>
        <v/>
      </c>
      <c r="T13" s="97" t="str">
        <f aca="false">IFERROR(($AT13*COS(RADIANS($K13))-$AU13*SIN(RADIANS($K13)))/($D13*SIN(RADIANS($L13-$K13))),"")</f>
        <v/>
      </c>
      <c r="U13" s="97" t="str">
        <f aca="false">IFERROR(MOD(DEGREES(2*ATAN((-$AP13+SQRT($AS13))/(2*$AO13))),360),"")</f>
        <v/>
      </c>
      <c r="V13" s="97" t="str">
        <f aca="false">IFERROR(MOD(DEGREES(2*ATAN((-$AM13+SQRT($AR13))/(2*$AL13))),360),"")</f>
        <v/>
      </c>
      <c r="W13" s="97" t="str">
        <f aca="false">IFERROR(IF(MOD($V13-$U13,180)&gt;90,180-MOD($V13-$U13,180),MOD($V13-$U13,180)),"")</f>
        <v/>
      </c>
      <c r="X13" s="97" t="str">
        <f aca="false">IFERROR($B13*$G13*SIN(RADIANS($V13-$F13))/($C13*SIN(RADIANS($U13-$V13))),"")</f>
        <v/>
      </c>
      <c r="Y13" s="97" t="str">
        <f aca="false">IFERROR($B13*$G13*SIN(RADIANS($F13-$U13))/($D13*SIN(RADIANS($V13-$U13))),"")</f>
        <v/>
      </c>
      <c r="Z13" s="97" t="str">
        <f aca="false">IFERROR(ABS($D13*$Y13),"")</f>
        <v/>
      </c>
      <c r="AA13" s="97" t="str">
        <f aca="false">IFERROR(SQRT((-$B13*$G13*SIN(RADIANS($F13))-$I13*$X13*SIN(RADIANS($U13+$J13)))^2+($B13*$G13*COS(RADIANS($F13))+$I13*$X13*COS(RADIANS($U13+$J13)))^2),"")</f>
        <v/>
      </c>
      <c r="AB13" s="97" t="str">
        <f aca="false">IFERROR(($AV13*COS(RADIANS($V13))-$AW13*SIN(RADIANS($V13)))/($C13*SIN(RADIANS($V13-$U13))),"")</f>
        <v/>
      </c>
      <c r="AC13" s="97" t="str">
        <f aca="false">IFERROR(($AV13*COS(RADIANS($U13))-$AW13*SIN(RADIANS($U13)))/($D13*SIN(RADIANS($V13-$U13))),"")</f>
        <v/>
      </c>
      <c r="AD13" s="98" t="str">
        <f aca="false">IF(COUNT($B13:$E13)&lt;4,"",IF(MIN($B13:$E13)+MAX($B13:$E13)&lt;SUM($B13:$E13)-MIN($B13:$E13)-MAX($B13:$E13),"Grashof",IF(MIN($B13:$E13)+MAX($B13:$E13)=SUM($B13:$E13)-MIN($B13:$E13)-MAX($B13:$E13),"Punto de cambio","No Grashof")))</f>
        <v/>
      </c>
      <c r="AE13" s="98" t="str">
        <f aca="false">IF(COUNT($B13:$E13)&lt;4,"",IF(MIN($B13:$E13)+MAX($B13:$E13)&gt;SUM($B13:$E13)-MIN($B13:$E13)-MAX($B13:$E13),"Triple balancin",IF(MIN($B13:$E13)+MAX($B13:$E13)=SUM($B13:$E13)-MIN($B13:$E13)-MAX($B13:$E13),"Punto de cambio",IF($E13=MIN($B13:$E13),"Doble manivela",IF($C13=MIN($B13:$E13),"Doble balancin","Manivela-balancin")))))</f>
        <v/>
      </c>
      <c r="AG13" s="99" t="str">
        <f aca="false">IFERROR($E13/$B13,"")</f>
        <v/>
      </c>
      <c r="AH13" s="99" t="str">
        <f aca="false">IFERROR($E13/$D13,"")</f>
        <v/>
      </c>
      <c r="AI13" s="99" t="str">
        <f aca="false">IFERROR(($B13^2-$C13^2+$D13^2+$E13^2)/(2*$B13*$D13),"")</f>
        <v/>
      </c>
      <c r="AJ13" s="99" t="str">
        <f aca="false">IFERROR($E13/$C13,"")</f>
        <v/>
      </c>
      <c r="AK13" s="99" t="str">
        <f aca="false">IFERROR(($D13^2-$E13^2-$B13^2-$C13^2)/(2*$B13*$C13),"")</f>
        <v/>
      </c>
      <c r="AL13" s="99" t="str">
        <f aca="false">IFERROR(COS(RADIANS($F13))-$AG13-$AH13*COS(RADIANS($F13))+$AI13,"")</f>
        <v/>
      </c>
      <c r="AM13" s="99" t="str">
        <f aca="false">IFERROR(IF($B13="","",-2*SIN(RADIANS($F13))),"")</f>
        <v/>
      </c>
      <c r="AN13" s="99" t="str">
        <f aca="false">IFERROR($AG13-($AH13+1)*COS(RADIANS($F13))+$AI13,"")</f>
        <v/>
      </c>
      <c r="AO13" s="99" t="str">
        <f aca="false">IFERROR(COS(RADIANS($F13))-$AG13+$AJ13*COS(RADIANS($F13))+$AK13,"")</f>
        <v/>
      </c>
      <c r="AP13" s="99" t="str">
        <f aca="false">IFERROR(IF($B13="","",-2*SIN(RADIANS($F13))),"")</f>
        <v/>
      </c>
      <c r="AQ13" s="99" t="str">
        <f aca="false">IFERROR($AG13+($AJ13-1)*COS(RADIANS($F13))+$AK13,"")</f>
        <v/>
      </c>
      <c r="AR13" s="99" t="str">
        <f aca="false">IFERROR($AM13^2-4*$AL13*$AN13,"")</f>
        <v/>
      </c>
      <c r="AS13" s="99" t="str">
        <f aca="false">IFERROR($AP13^2-4*$AO13*$AQ13,"")</f>
        <v/>
      </c>
      <c r="AT13" s="99" t="str">
        <f aca="false">IFERROR($B13*$H13*SIN(RADIANS($F13))+$B13*$G13^2*COS(RADIANS($F13))+$C13*$N13^2*COS(RADIANS($K13))-$D13*$O13^2*COS(RADIANS($L13)),"")</f>
        <v/>
      </c>
      <c r="AU13" s="99" t="str">
        <f aca="false">IFERROR($B13*$H13*COS(RADIANS($F13))-$B13*$G13^2*SIN(RADIANS($F13))-$C13*$N13^2*SIN(RADIANS($K13))+$D13*$O13^2*SIN(RADIANS($L13)),"")</f>
        <v/>
      </c>
      <c r="AV13" s="99" t="str">
        <f aca="false">IFERROR($B13*$H13*SIN(RADIANS($F13))+$B13*$G13^2*COS(RADIANS($F13))+$C13*$X13^2*COS(RADIANS($U13))-$D13*$Y13^2*COS(RADIANS($V13)),"")</f>
        <v/>
      </c>
      <c r="AW13" s="99" t="str">
        <f aca="false">IFERROR($B13*$H13*COS(RADIANS($F13))-$B13*$G13^2*SIN(RADIANS($F13))-$C13*$X13^2*SIN(RADIANS($U13))+$D13*$Y13^2*SIN(RADIANS($V13)),"")</f>
        <v/>
      </c>
    </row>
    <row r="14" customFormat="false" ht="12" hidden="false" customHeight="true" outlineLevel="0" collapsed="false">
      <c r="A14" s="95" t="n">
        <v>10</v>
      </c>
      <c r="B14" s="96"/>
      <c r="C14" s="96"/>
      <c r="D14" s="96"/>
      <c r="E14" s="96"/>
      <c r="F14" s="96"/>
      <c r="G14" s="96"/>
      <c r="H14" s="96"/>
      <c r="I14" s="96"/>
      <c r="J14" s="96"/>
      <c r="K14" s="97" t="str">
        <f aca="false">IFERROR(MOD(DEGREES(2*ATAN((-$AP14-SQRT($AS14))/(2*$AO14))),360),"")</f>
        <v/>
      </c>
      <c r="L14" s="97" t="str">
        <f aca="false">IFERROR(MOD(DEGREES(2*ATAN((-$AM14-SQRT($AR14))/(2*$AL14))),360),"")</f>
        <v/>
      </c>
      <c r="M14" s="97" t="str">
        <f aca="false">IFERROR(IF(MOD($L14-$K14,180)&gt;90,180-MOD($L14-$K14,180),MOD($L14-$K14,180)),"")</f>
        <v/>
      </c>
      <c r="N14" s="97" t="str">
        <f aca="false">IFERROR($B14*$G14*SIN(RADIANS($L14-$F14))/($C14*SIN(RADIANS($K14-$L14))),"")</f>
        <v/>
      </c>
      <c r="O14" s="97" t="str">
        <f aca="false">IFERROR($B14*$G14*SIN(RADIANS($F14-$K14))/($D14*SIN(RADIANS($L14-$K14))),"")</f>
        <v/>
      </c>
      <c r="P14" s="97" t="str">
        <f aca="false">IFERROR(IF($B14="","",ABS($B14*$G14)),"")</f>
        <v/>
      </c>
      <c r="Q14" s="97" t="str">
        <f aca="false">IFERROR(ABS($D14*$O14),"")</f>
        <v/>
      </c>
      <c r="R14" s="97" t="str">
        <f aca="false">IFERROR(SQRT((-$B14*$G14*SIN(RADIANS($F14))-$I14*$N14*SIN(RADIANS($K14+$J14)))^2+($B14*$G14*COS(RADIANS($F14))+$I14*$N14*COS(RADIANS($K14+$J14)))^2),"")</f>
        <v/>
      </c>
      <c r="S14" s="97" t="str">
        <f aca="false">IFERROR(($AT14*COS(RADIANS($L14))-$AU14*SIN(RADIANS($L14)))/($C14*SIN(RADIANS($L14-$K14))),"")</f>
        <v/>
      </c>
      <c r="T14" s="97" t="str">
        <f aca="false">IFERROR(($AT14*COS(RADIANS($K14))-$AU14*SIN(RADIANS($K14)))/($D14*SIN(RADIANS($L14-$K14))),"")</f>
        <v/>
      </c>
      <c r="U14" s="97" t="str">
        <f aca="false">IFERROR(MOD(DEGREES(2*ATAN((-$AP14+SQRT($AS14))/(2*$AO14))),360),"")</f>
        <v/>
      </c>
      <c r="V14" s="97" t="str">
        <f aca="false">IFERROR(MOD(DEGREES(2*ATAN((-$AM14+SQRT($AR14))/(2*$AL14))),360),"")</f>
        <v/>
      </c>
      <c r="W14" s="97" t="str">
        <f aca="false">IFERROR(IF(MOD($V14-$U14,180)&gt;90,180-MOD($V14-$U14,180),MOD($V14-$U14,180)),"")</f>
        <v/>
      </c>
      <c r="X14" s="97" t="str">
        <f aca="false">IFERROR($B14*$G14*SIN(RADIANS($V14-$F14))/($C14*SIN(RADIANS($U14-$V14))),"")</f>
        <v/>
      </c>
      <c r="Y14" s="97" t="str">
        <f aca="false">IFERROR($B14*$G14*SIN(RADIANS($F14-$U14))/($D14*SIN(RADIANS($V14-$U14))),"")</f>
        <v/>
      </c>
      <c r="Z14" s="97" t="str">
        <f aca="false">IFERROR(ABS($D14*$Y14),"")</f>
        <v/>
      </c>
      <c r="AA14" s="97" t="str">
        <f aca="false">IFERROR(SQRT((-$B14*$G14*SIN(RADIANS($F14))-$I14*$X14*SIN(RADIANS($U14+$J14)))^2+($B14*$G14*COS(RADIANS($F14))+$I14*$X14*COS(RADIANS($U14+$J14)))^2),"")</f>
        <v/>
      </c>
      <c r="AB14" s="97" t="str">
        <f aca="false">IFERROR(($AV14*COS(RADIANS($V14))-$AW14*SIN(RADIANS($V14)))/($C14*SIN(RADIANS($V14-$U14))),"")</f>
        <v/>
      </c>
      <c r="AC14" s="97" t="str">
        <f aca="false">IFERROR(($AV14*COS(RADIANS($U14))-$AW14*SIN(RADIANS($U14)))/($D14*SIN(RADIANS($V14-$U14))),"")</f>
        <v/>
      </c>
      <c r="AD14" s="98" t="str">
        <f aca="false">IF(COUNT($B14:$E14)&lt;4,"",IF(MIN($B14:$E14)+MAX($B14:$E14)&lt;SUM($B14:$E14)-MIN($B14:$E14)-MAX($B14:$E14),"Grashof",IF(MIN($B14:$E14)+MAX($B14:$E14)=SUM($B14:$E14)-MIN($B14:$E14)-MAX($B14:$E14),"Punto de cambio","No Grashof")))</f>
        <v/>
      </c>
      <c r="AE14" s="98" t="str">
        <f aca="false">IF(COUNT($B14:$E14)&lt;4,"",IF(MIN($B14:$E14)+MAX($B14:$E14)&gt;SUM($B14:$E14)-MIN($B14:$E14)-MAX($B14:$E14),"Triple balancin",IF(MIN($B14:$E14)+MAX($B14:$E14)=SUM($B14:$E14)-MIN($B14:$E14)-MAX($B14:$E14),"Punto de cambio",IF($E14=MIN($B14:$E14),"Doble manivela",IF($C14=MIN($B14:$E14),"Doble balancin","Manivela-balancin")))))</f>
        <v/>
      </c>
      <c r="AG14" s="99" t="str">
        <f aca="false">IFERROR($E14/$B14,"")</f>
        <v/>
      </c>
      <c r="AH14" s="99" t="str">
        <f aca="false">IFERROR($E14/$D14,"")</f>
        <v/>
      </c>
      <c r="AI14" s="99" t="str">
        <f aca="false">IFERROR(($B14^2-$C14^2+$D14^2+$E14^2)/(2*$B14*$D14),"")</f>
        <v/>
      </c>
      <c r="AJ14" s="99" t="str">
        <f aca="false">IFERROR($E14/$C14,"")</f>
        <v/>
      </c>
      <c r="AK14" s="99" t="str">
        <f aca="false">IFERROR(($D14^2-$E14^2-$B14^2-$C14^2)/(2*$B14*$C14),"")</f>
        <v/>
      </c>
      <c r="AL14" s="99" t="str">
        <f aca="false">IFERROR(COS(RADIANS($F14))-$AG14-$AH14*COS(RADIANS($F14))+$AI14,"")</f>
        <v/>
      </c>
      <c r="AM14" s="99" t="str">
        <f aca="false">IFERROR(IF($B14="","",-2*SIN(RADIANS($F14))),"")</f>
        <v/>
      </c>
      <c r="AN14" s="99" t="str">
        <f aca="false">IFERROR($AG14-($AH14+1)*COS(RADIANS($F14))+$AI14,"")</f>
        <v/>
      </c>
      <c r="AO14" s="99" t="str">
        <f aca="false">IFERROR(COS(RADIANS($F14))-$AG14+$AJ14*COS(RADIANS($F14))+$AK14,"")</f>
        <v/>
      </c>
      <c r="AP14" s="99" t="str">
        <f aca="false">IFERROR(IF($B14="","",-2*SIN(RADIANS($F14))),"")</f>
        <v/>
      </c>
      <c r="AQ14" s="99" t="str">
        <f aca="false">IFERROR($AG14+($AJ14-1)*COS(RADIANS($F14))+$AK14,"")</f>
        <v/>
      </c>
      <c r="AR14" s="99" t="str">
        <f aca="false">IFERROR($AM14^2-4*$AL14*$AN14,"")</f>
        <v/>
      </c>
      <c r="AS14" s="99" t="str">
        <f aca="false">IFERROR($AP14^2-4*$AO14*$AQ14,"")</f>
        <v/>
      </c>
      <c r="AT14" s="99" t="str">
        <f aca="false">IFERROR($B14*$H14*SIN(RADIANS($F14))+$B14*$G14^2*COS(RADIANS($F14))+$C14*$N14^2*COS(RADIANS($K14))-$D14*$O14^2*COS(RADIANS($L14)),"")</f>
        <v/>
      </c>
      <c r="AU14" s="99" t="str">
        <f aca="false">IFERROR($B14*$H14*COS(RADIANS($F14))-$B14*$G14^2*SIN(RADIANS($F14))-$C14*$N14^2*SIN(RADIANS($K14))+$D14*$O14^2*SIN(RADIANS($L14)),"")</f>
        <v/>
      </c>
      <c r="AV14" s="99" t="str">
        <f aca="false">IFERROR($B14*$H14*SIN(RADIANS($F14))+$B14*$G14^2*COS(RADIANS($F14))+$C14*$X14^2*COS(RADIANS($U14))-$D14*$Y14^2*COS(RADIANS($V14)),"")</f>
        <v/>
      </c>
      <c r="AW14" s="99" t="str">
        <f aca="false">IFERROR($B14*$H14*COS(RADIANS($F14))-$B14*$G14^2*SIN(RADIANS($F14))-$C14*$X14^2*SIN(RADIANS($U14))+$D14*$Y14^2*SIN(RADIANS($V14)),"")</f>
        <v/>
      </c>
    </row>
    <row r="15" customFormat="false" ht="12" hidden="false" customHeight="true" outlineLevel="0" collapsed="false">
      <c r="A15" s="95" t="n">
        <v>11</v>
      </c>
      <c r="B15" s="96"/>
      <c r="C15" s="96"/>
      <c r="D15" s="96"/>
      <c r="E15" s="96"/>
      <c r="F15" s="96"/>
      <c r="G15" s="96"/>
      <c r="H15" s="96"/>
      <c r="I15" s="96"/>
      <c r="J15" s="96"/>
      <c r="K15" s="97" t="str">
        <f aca="false">IFERROR(MOD(DEGREES(2*ATAN((-$AP15-SQRT($AS15))/(2*$AO15))),360),"")</f>
        <v/>
      </c>
      <c r="L15" s="97" t="str">
        <f aca="false">IFERROR(MOD(DEGREES(2*ATAN((-$AM15-SQRT($AR15))/(2*$AL15))),360),"")</f>
        <v/>
      </c>
      <c r="M15" s="97" t="str">
        <f aca="false">IFERROR(IF(MOD($L15-$K15,180)&gt;90,180-MOD($L15-$K15,180),MOD($L15-$K15,180)),"")</f>
        <v/>
      </c>
      <c r="N15" s="97" t="str">
        <f aca="false">IFERROR($B15*$G15*SIN(RADIANS($L15-$F15))/($C15*SIN(RADIANS($K15-$L15))),"")</f>
        <v/>
      </c>
      <c r="O15" s="97" t="str">
        <f aca="false">IFERROR($B15*$G15*SIN(RADIANS($F15-$K15))/($D15*SIN(RADIANS($L15-$K15))),"")</f>
        <v/>
      </c>
      <c r="P15" s="97" t="str">
        <f aca="false">IFERROR(IF($B15="","",ABS($B15*$G15)),"")</f>
        <v/>
      </c>
      <c r="Q15" s="97" t="str">
        <f aca="false">IFERROR(ABS($D15*$O15),"")</f>
        <v/>
      </c>
      <c r="R15" s="97" t="str">
        <f aca="false">IFERROR(SQRT((-$B15*$G15*SIN(RADIANS($F15))-$I15*$N15*SIN(RADIANS($K15+$J15)))^2+($B15*$G15*COS(RADIANS($F15))+$I15*$N15*COS(RADIANS($K15+$J15)))^2),"")</f>
        <v/>
      </c>
      <c r="S15" s="97" t="str">
        <f aca="false">IFERROR(($AT15*COS(RADIANS($L15))-$AU15*SIN(RADIANS($L15)))/($C15*SIN(RADIANS($L15-$K15))),"")</f>
        <v/>
      </c>
      <c r="T15" s="97" t="str">
        <f aca="false">IFERROR(($AT15*COS(RADIANS($K15))-$AU15*SIN(RADIANS($K15)))/($D15*SIN(RADIANS($L15-$K15))),"")</f>
        <v/>
      </c>
      <c r="U15" s="97" t="str">
        <f aca="false">IFERROR(MOD(DEGREES(2*ATAN((-$AP15+SQRT($AS15))/(2*$AO15))),360),"")</f>
        <v/>
      </c>
      <c r="V15" s="97" t="str">
        <f aca="false">IFERROR(MOD(DEGREES(2*ATAN((-$AM15+SQRT($AR15))/(2*$AL15))),360),"")</f>
        <v/>
      </c>
      <c r="W15" s="97" t="str">
        <f aca="false">IFERROR(IF(MOD($V15-$U15,180)&gt;90,180-MOD($V15-$U15,180),MOD($V15-$U15,180)),"")</f>
        <v/>
      </c>
      <c r="X15" s="97" t="str">
        <f aca="false">IFERROR($B15*$G15*SIN(RADIANS($V15-$F15))/($C15*SIN(RADIANS($U15-$V15))),"")</f>
        <v/>
      </c>
      <c r="Y15" s="97" t="str">
        <f aca="false">IFERROR($B15*$G15*SIN(RADIANS($F15-$U15))/($D15*SIN(RADIANS($V15-$U15))),"")</f>
        <v/>
      </c>
      <c r="Z15" s="97" t="str">
        <f aca="false">IFERROR(ABS($D15*$Y15),"")</f>
        <v/>
      </c>
      <c r="AA15" s="97" t="str">
        <f aca="false">IFERROR(SQRT((-$B15*$G15*SIN(RADIANS($F15))-$I15*$X15*SIN(RADIANS($U15+$J15)))^2+($B15*$G15*COS(RADIANS($F15))+$I15*$X15*COS(RADIANS($U15+$J15)))^2),"")</f>
        <v/>
      </c>
      <c r="AB15" s="97" t="str">
        <f aca="false">IFERROR(($AV15*COS(RADIANS($V15))-$AW15*SIN(RADIANS($V15)))/($C15*SIN(RADIANS($V15-$U15))),"")</f>
        <v/>
      </c>
      <c r="AC15" s="97" t="str">
        <f aca="false">IFERROR(($AV15*COS(RADIANS($U15))-$AW15*SIN(RADIANS($U15)))/($D15*SIN(RADIANS($V15-$U15))),"")</f>
        <v/>
      </c>
      <c r="AD15" s="98" t="str">
        <f aca="false">IF(COUNT($B15:$E15)&lt;4,"",IF(MIN($B15:$E15)+MAX($B15:$E15)&lt;SUM($B15:$E15)-MIN($B15:$E15)-MAX($B15:$E15),"Grashof",IF(MIN($B15:$E15)+MAX($B15:$E15)=SUM($B15:$E15)-MIN($B15:$E15)-MAX($B15:$E15),"Punto de cambio","No Grashof")))</f>
        <v/>
      </c>
      <c r="AE15" s="98" t="str">
        <f aca="false">IF(COUNT($B15:$E15)&lt;4,"",IF(MIN($B15:$E15)+MAX($B15:$E15)&gt;SUM($B15:$E15)-MIN($B15:$E15)-MAX($B15:$E15),"Triple balancin",IF(MIN($B15:$E15)+MAX($B15:$E15)=SUM($B15:$E15)-MIN($B15:$E15)-MAX($B15:$E15),"Punto de cambio",IF($E15=MIN($B15:$E15),"Doble manivela",IF($C15=MIN($B15:$E15),"Doble balancin","Manivela-balancin")))))</f>
        <v/>
      </c>
      <c r="AG15" s="99" t="str">
        <f aca="false">IFERROR($E15/$B15,"")</f>
        <v/>
      </c>
      <c r="AH15" s="99" t="str">
        <f aca="false">IFERROR($E15/$D15,"")</f>
        <v/>
      </c>
      <c r="AI15" s="99" t="str">
        <f aca="false">IFERROR(($B15^2-$C15^2+$D15^2+$E15^2)/(2*$B15*$D15),"")</f>
        <v/>
      </c>
      <c r="AJ15" s="99" t="str">
        <f aca="false">IFERROR($E15/$C15,"")</f>
        <v/>
      </c>
      <c r="AK15" s="99" t="str">
        <f aca="false">IFERROR(($D15^2-$E15^2-$B15^2-$C15^2)/(2*$B15*$C15),"")</f>
        <v/>
      </c>
      <c r="AL15" s="99" t="str">
        <f aca="false">IFERROR(COS(RADIANS($F15))-$AG15-$AH15*COS(RADIANS($F15))+$AI15,"")</f>
        <v/>
      </c>
      <c r="AM15" s="99" t="str">
        <f aca="false">IFERROR(IF($B15="","",-2*SIN(RADIANS($F15))),"")</f>
        <v/>
      </c>
      <c r="AN15" s="99" t="str">
        <f aca="false">IFERROR($AG15-($AH15+1)*COS(RADIANS($F15))+$AI15,"")</f>
        <v/>
      </c>
      <c r="AO15" s="99" t="str">
        <f aca="false">IFERROR(COS(RADIANS($F15))-$AG15+$AJ15*COS(RADIANS($F15))+$AK15,"")</f>
        <v/>
      </c>
      <c r="AP15" s="99" t="str">
        <f aca="false">IFERROR(IF($B15="","",-2*SIN(RADIANS($F15))),"")</f>
        <v/>
      </c>
      <c r="AQ15" s="99" t="str">
        <f aca="false">IFERROR($AG15+($AJ15-1)*COS(RADIANS($F15))+$AK15,"")</f>
        <v/>
      </c>
      <c r="AR15" s="99" t="str">
        <f aca="false">IFERROR($AM15^2-4*$AL15*$AN15,"")</f>
        <v/>
      </c>
      <c r="AS15" s="99" t="str">
        <f aca="false">IFERROR($AP15^2-4*$AO15*$AQ15,"")</f>
        <v/>
      </c>
      <c r="AT15" s="99" t="str">
        <f aca="false">IFERROR($B15*$H15*SIN(RADIANS($F15))+$B15*$G15^2*COS(RADIANS($F15))+$C15*$N15^2*COS(RADIANS($K15))-$D15*$O15^2*COS(RADIANS($L15)),"")</f>
        <v/>
      </c>
      <c r="AU15" s="99" t="str">
        <f aca="false">IFERROR($B15*$H15*COS(RADIANS($F15))-$B15*$G15^2*SIN(RADIANS($F15))-$C15*$N15^2*SIN(RADIANS($K15))+$D15*$O15^2*SIN(RADIANS($L15)),"")</f>
        <v/>
      </c>
      <c r="AV15" s="99" t="str">
        <f aca="false">IFERROR($B15*$H15*SIN(RADIANS($F15))+$B15*$G15^2*COS(RADIANS($F15))+$C15*$X15^2*COS(RADIANS($U15))-$D15*$Y15^2*COS(RADIANS($V15)),"")</f>
        <v/>
      </c>
      <c r="AW15" s="99" t="str">
        <f aca="false">IFERROR($B15*$H15*COS(RADIANS($F15))-$B15*$G15^2*SIN(RADIANS($F15))-$C15*$X15^2*SIN(RADIANS($U15))+$D15*$Y15^2*SIN(RADIANS($V15)),"")</f>
        <v/>
      </c>
    </row>
    <row r="16" customFormat="false" ht="12" hidden="false" customHeight="true" outlineLevel="0" collapsed="false">
      <c r="A16" s="95" t="n">
        <v>12</v>
      </c>
      <c r="B16" s="96"/>
      <c r="C16" s="96"/>
      <c r="D16" s="96"/>
      <c r="E16" s="96"/>
      <c r="F16" s="96"/>
      <c r="G16" s="96"/>
      <c r="H16" s="96"/>
      <c r="I16" s="96"/>
      <c r="J16" s="96"/>
      <c r="K16" s="97" t="str">
        <f aca="false">IFERROR(MOD(DEGREES(2*ATAN((-$AP16-SQRT($AS16))/(2*$AO16))),360),"")</f>
        <v/>
      </c>
      <c r="L16" s="97" t="str">
        <f aca="false">IFERROR(MOD(DEGREES(2*ATAN((-$AM16-SQRT($AR16))/(2*$AL16))),360),"")</f>
        <v/>
      </c>
      <c r="M16" s="97" t="str">
        <f aca="false">IFERROR(IF(MOD($L16-$K16,180)&gt;90,180-MOD($L16-$K16,180),MOD($L16-$K16,180)),"")</f>
        <v/>
      </c>
      <c r="N16" s="97" t="str">
        <f aca="false">IFERROR($B16*$G16*SIN(RADIANS($L16-$F16))/($C16*SIN(RADIANS($K16-$L16))),"")</f>
        <v/>
      </c>
      <c r="O16" s="97" t="str">
        <f aca="false">IFERROR($B16*$G16*SIN(RADIANS($F16-$K16))/($D16*SIN(RADIANS($L16-$K16))),"")</f>
        <v/>
      </c>
      <c r="P16" s="97" t="str">
        <f aca="false">IFERROR(IF($B16="","",ABS($B16*$G16)),"")</f>
        <v/>
      </c>
      <c r="Q16" s="97" t="str">
        <f aca="false">IFERROR(ABS($D16*$O16),"")</f>
        <v/>
      </c>
      <c r="R16" s="97" t="str">
        <f aca="false">IFERROR(SQRT((-$B16*$G16*SIN(RADIANS($F16))-$I16*$N16*SIN(RADIANS($K16+$J16)))^2+($B16*$G16*COS(RADIANS($F16))+$I16*$N16*COS(RADIANS($K16+$J16)))^2),"")</f>
        <v/>
      </c>
      <c r="S16" s="97" t="str">
        <f aca="false">IFERROR(($AT16*COS(RADIANS($L16))-$AU16*SIN(RADIANS($L16)))/($C16*SIN(RADIANS($L16-$K16))),"")</f>
        <v/>
      </c>
      <c r="T16" s="97" t="str">
        <f aca="false">IFERROR(($AT16*COS(RADIANS($K16))-$AU16*SIN(RADIANS($K16)))/($D16*SIN(RADIANS($L16-$K16))),"")</f>
        <v/>
      </c>
      <c r="U16" s="97" t="str">
        <f aca="false">IFERROR(MOD(DEGREES(2*ATAN((-$AP16+SQRT($AS16))/(2*$AO16))),360),"")</f>
        <v/>
      </c>
      <c r="V16" s="97" t="str">
        <f aca="false">IFERROR(MOD(DEGREES(2*ATAN((-$AM16+SQRT($AR16))/(2*$AL16))),360),"")</f>
        <v/>
      </c>
      <c r="W16" s="97" t="str">
        <f aca="false">IFERROR(IF(MOD($V16-$U16,180)&gt;90,180-MOD($V16-$U16,180),MOD($V16-$U16,180)),"")</f>
        <v/>
      </c>
      <c r="X16" s="97" t="str">
        <f aca="false">IFERROR($B16*$G16*SIN(RADIANS($V16-$F16))/($C16*SIN(RADIANS($U16-$V16))),"")</f>
        <v/>
      </c>
      <c r="Y16" s="97" t="str">
        <f aca="false">IFERROR($B16*$G16*SIN(RADIANS($F16-$U16))/($D16*SIN(RADIANS($V16-$U16))),"")</f>
        <v/>
      </c>
      <c r="Z16" s="97" t="str">
        <f aca="false">IFERROR(ABS($D16*$Y16),"")</f>
        <v/>
      </c>
      <c r="AA16" s="97" t="str">
        <f aca="false">IFERROR(SQRT((-$B16*$G16*SIN(RADIANS($F16))-$I16*$X16*SIN(RADIANS($U16+$J16)))^2+($B16*$G16*COS(RADIANS($F16))+$I16*$X16*COS(RADIANS($U16+$J16)))^2),"")</f>
        <v/>
      </c>
      <c r="AB16" s="97" t="str">
        <f aca="false">IFERROR(($AV16*COS(RADIANS($V16))-$AW16*SIN(RADIANS($V16)))/($C16*SIN(RADIANS($V16-$U16))),"")</f>
        <v/>
      </c>
      <c r="AC16" s="97" t="str">
        <f aca="false">IFERROR(($AV16*COS(RADIANS($U16))-$AW16*SIN(RADIANS($U16)))/($D16*SIN(RADIANS($V16-$U16))),"")</f>
        <v/>
      </c>
      <c r="AD16" s="98" t="str">
        <f aca="false">IF(COUNT($B16:$E16)&lt;4,"",IF(MIN($B16:$E16)+MAX($B16:$E16)&lt;SUM($B16:$E16)-MIN($B16:$E16)-MAX($B16:$E16),"Grashof",IF(MIN($B16:$E16)+MAX($B16:$E16)=SUM($B16:$E16)-MIN($B16:$E16)-MAX($B16:$E16),"Punto de cambio","No Grashof")))</f>
        <v/>
      </c>
      <c r="AE16" s="98" t="str">
        <f aca="false">IF(COUNT($B16:$E16)&lt;4,"",IF(MIN($B16:$E16)+MAX($B16:$E16)&gt;SUM($B16:$E16)-MIN($B16:$E16)-MAX($B16:$E16),"Triple balancin",IF(MIN($B16:$E16)+MAX($B16:$E16)=SUM($B16:$E16)-MIN($B16:$E16)-MAX($B16:$E16),"Punto de cambio",IF($E16=MIN($B16:$E16),"Doble manivela",IF($C16=MIN($B16:$E16),"Doble balancin","Manivela-balancin")))))</f>
        <v/>
      </c>
      <c r="AG16" s="99" t="str">
        <f aca="false">IFERROR($E16/$B16,"")</f>
        <v/>
      </c>
      <c r="AH16" s="99" t="str">
        <f aca="false">IFERROR($E16/$D16,"")</f>
        <v/>
      </c>
      <c r="AI16" s="99" t="str">
        <f aca="false">IFERROR(($B16^2-$C16^2+$D16^2+$E16^2)/(2*$B16*$D16),"")</f>
        <v/>
      </c>
      <c r="AJ16" s="99" t="str">
        <f aca="false">IFERROR($E16/$C16,"")</f>
        <v/>
      </c>
      <c r="AK16" s="99" t="str">
        <f aca="false">IFERROR(($D16^2-$E16^2-$B16^2-$C16^2)/(2*$B16*$C16),"")</f>
        <v/>
      </c>
      <c r="AL16" s="99" t="str">
        <f aca="false">IFERROR(COS(RADIANS($F16))-$AG16-$AH16*COS(RADIANS($F16))+$AI16,"")</f>
        <v/>
      </c>
      <c r="AM16" s="99" t="str">
        <f aca="false">IFERROR(IF($B16="","",-2*SIN(RADIANS($F16))),"")</f>
        <v/>
      </c>
      <c r="AN16" s="99" t="str">
        <f aca="false">IFERROR($AG16-($AH16+1)*COS(RADIANS($F16))+$AI16,"")</f>
        <v/>
      </c>
      <c r="AO16" s="99" t="str">
        <f aca="false">IFERROR(COS(RADIANS($F16))-$AG16+$AJ16*COS(RADIANS($F16))+$AK16,"")</f>
        <v/>
      </c>
      <c r="AP16" s="99" t="str">
        <f aca="false">IFERROR(IF($B16="","",-2*SIN(RADIANS($F16))),"")</f>
        <v/>
      </c>
      <c r="AQ16" s="99" t="str">
        <f aca="false">IFERROR($AG16+($AJ16-1)*COS(RADIANS($F16))+$AK16,"")</f>
        <v/>
      </c>
      <c r="AR16" s="99" t="str">
        <f aca="false">IFERROR($AM16^2-4*$AL16*$AN16,"")</f>
        <v/>
      </c>
      <c r="AS16" s="99" t="str">
        <f aca="false">IFERROR($AP16^2-4*$AO16*$AQ16,"")</f>
        <v/>
      </c>
      <c r="AT16" s="99" t="str">
        <f aca="false">IFERROR($B16*$H16*SIN(RADIANS($F16))+$B16*$G16^2*COS(RADIANS($F16))+$C16*$N16^2*COS(RADIANS($K16))-$D16*$O16^2*COS(RADIANS($L16)),"")</f>
        <v/>
      </c>
      <c r="AU16" s="99" t="str">
        <f aca="false">IFERROR($B16*$H16*COS(RADIANS($F16))-$B16*$G16^2*SIN(RADIANS($F16))-$C16*$N16^2*SIN(RADIANS($K16))+$D16*$O16^2*SIN(RADIANS($L16)),"")</f>
        <v/>
      </c>
      <c r="AV16" s="99" t="str">
        <f aca="false">IFERROR($B16*$H16*SIN(RADIANS($F16))+$B16*$G16^2*COS(RADIANS($F16))+$C16*$X16^2*COS(RADIANS($U16))-$D16*$Y16^2*COS(RADIANS($V16)),"")</f>
        <v/>
      </c>
      <c r="AW16" s="99" t="str">
        <f aca="false">IFERROR($B16*$H16*COS(RADIANS($F16))-$B16*$G16^2*SIN(RADIANS($F16))-$C16*$X16^2*SIN(RADIANS($U16))+$D16*$Y16^2*SIN(RADIANS($V16)),"")</f>
        <v/>
      </c>
    </row>
    <row r="17" customFormat="false" ht="12" hidden="false" customHeight="true" outlineLevel="0" collapsed="false">
      <c r="A17" s="95" t="n">
        <v>13</v>
      </c>
      <c r="B17" s="96"/>
      <c r="C17" s="96"/>
      <c r="D17" s="96"/>
      <c r="E17" s="96"/>
      <c r="F17" s="96"/>
      <c r="G17" s="96"/>
      <c r="H17" s="96"/>
      <c r="I17" s="96"/>
      <c r="J17" s="96"/>
      <c r="K17" s="97" t="str">
        <f aca="false">IFERROR(MOD(DEGREES(2*ATAN((-$AP17-SQRT($AS17))/(2*$AO17))),360),"")</f>
        <v/>
      </c>
      <c r="L17" s="97" t="str">
        <f aca="false">IFERROR(MOD(DEGREES(2*ATAN((-$AM17-SQRT($AR17))/(2*$AL17))),360),"")</f>
        <v/>
      </c>
      <c r="M17" s="97" t="str">
        <f aca="false">IFERROR(IF(MOD($L17-$K17,180)&gt;90,180-MOD($L17-$K17,180),MOD($L17-$K17,180)),"")</f>
        <v/>
      </c>
      <c r="N17" s="97" t="str">
        <f aca="false">IFERROR($B17*$G17*SIN(RADIANS($L17-$F17))/($C17*SIN(RADIANS($K17-$L17))),"")</f>
        <v/>
      </c>
      <c r="O17" s="97" t="str">
        <f aca="false">IFERROR($B17*$G17*SIN(RADIANS($F17-$K17))/($D17*SIN(RADIANS($L17-$K17))),"")</f>
        <v/>
      </c>
      <c r="P17" s="97" t="str">
        <f aca="false">IFERROR(IF($B17="","",ABS($B17*$G17)),"")</f>
        <v/>
      </c>
      <c r="Q17" s="97" t="str">
        <f aca="false">IFERROR(ABS($D17*$O17),"")</f>
        <v/>
      </c>
      <c r="R17" s="97" t="str">
        <f aca="false">IFERROR(SQRT((-$B17*$G17*SIN(RADIANS($F17))-$I17*$N17*SIN(RADIANS($K17+$J17)))^2+($B17*$G17*COS(RADIANS($F17))+$I17*$N17*COS(RADIANS($K17+$J17)))^2),"")</f>
        <v/>
      </c>
      <c r="S17" s="97" t="str">
        <f aca="false">IFERROR(($AT17*COS(RADIANS($L17))-$AU17*SIN(RADIANS($L17)))/($C17*SIN(RADIANS($L17-$K17))),"")</f>
        <v/>
      </c>
      <c r="T17" s="97" t="str">
        <f aca="false">IFERROR(($AT17*COS(RADIANS($K17))-$AU17*SIN(RADIANS($K17)))/($D17*SIN(RADIANS($L17-$K17))),"")</f>
        <v/>
      </c>
      <c r="U17" s="97" t="str">
        <f aca="false">IFERROR(MOD(DEGREES(2*ATAN((-$AP17+SQRT($AS17))/(2*$AO17))),360),"")</f>
        <v/>
      </c>
      <c r="V17" s="97" t="str">
        <f aca="false">IFERROR(MOD(DEGREES(2*ATAN((-$AM17+SQRT($AR17))/(2*$AL17))),360),"")</f>
        <v/>
      </c>
      <c r="W17" s="97" t="str">
        <f aca="false">IFERROR(IF(MOD($V17-$U17,180)&gt;90,180-MOD($V17-$U17,180),MOD($V17-$U17,180)),"")</f>
        <v/>
      </c>
      <c r="X17" s="97" t="str">
        <f aca="false">IFERROR($B17*$G17*SIN(RADIANS($V17-$F17))/($C17*SIN(RADIANS($U17-$V17))),"")</f>
        <v/>
      </c>
      <c r="Y17" s="97" t="str">
        <f aca="false">IFERROR($B17*$G17*SIN(RADIANS($F17-$U17))/($D17*SIN(RADIANS($V17-$U17))),"")</f>
        <v/>
      </c>
      <c r="Z17" s="97" t="str">
        <f aca="false">IFERROR(ABS($D17*$Y17),"")</f>
        <v/>
      </c>
      <c r="AA17" s="97" t="str">
        <f aca="false">IFERROR(SQRT((-$B17*$G17*SIN(RADIANS($F17))-$I17*$X17*SIN(RADIANS($U17+$J17)))^2+($B17*$G17*COS(RADIANS($F17))+$I17*$X17*COS(RADIANS($U17+$J17)))^2),"")</f>
        <v/>
      </c>
      <c r="AB17" s="97" t="str">
        <f aca="false">IFERROR(($AV17*COS(RADIANS($V17))-$AW17*SIN(RADIANS($V17)))/($C17*SIN(RADIANS($V17-$U17))),"")</f>
        <v/>
      </c>
      <c r="AC17" s="97" t="str">
        <f aca="false">IFERROR(($AV17*COS(RADIANS($U17))-$AW17*SIN(RADIANS($U17)))/($D17*SIN(RADIANS($V17-$U17))),"")</f>
        <v/>
      </c>
      <c r="AD17" s="98" t="str">
        <f aca="false">IF(COUNT($B17:$E17)&lt;4,"",IF(MIN($B17:$E17)+MAX($B17:$E17)&lt;SUM($B17:$E17)-MIN($B17:$E17)-MAX($B17:$E17),"Grashof",IF(MIN($B17:$E17)+MAX($B17:$E17)=SUM($B17:$E17)-MIN($B17:$E17)-MAX($B17:$E17),"Punto de cambio","No Grashof")))</f>
        <v/>
      </c>
      <c r="AE17" s="98" t="str">
        <f aca="false">IF(COUNT($B17:$E17)&lt;4,"",IF(MIN($B17:$E17)+MAX($B17:$E17)&gt;SUM($B17:$E17)-MIN($B17:$E17)-MAX($B17:$E17),"Triple balancin",IF(MIN($B17:$E17)+MAX($B17:$E17)=SUM($B17:$E17)-MIN($B17:$E17)-MAX($B17:$E17),"Punto de cambio",IF($E17=MIN($B17:$E17),"Doble manivela",IF($C17=MIN($B17:$E17),"Doble balancin","Manivela-balancin")))))</f>
        <v/>
      </c>
      <c r="AG17" s="99" t="str">
        <f aca="false">IFERROR($E17/$B17,"")</f>
        <v/>
      </c>
      <c r="AH17" s="99" t="str">
        <f aca="false">IFERROR($E17/$D17,"")</f>
        <v/>
      </c>
      <c r="AI17" s="99" t="str">
        <f aca="false">IFERROR(($B17^2-$C17^2+$D17^2+$E17^2)/(2*$B17*$D17),"")</f>
        <v/>
      </c>
      <c r="AJ17" s="99" t="str">
        <f aca="false">IFERROR($E17/$C17,"")</f>
        <v/>
      </c>
      <c r="AK17" s="99" t="str">
        <f aca="false">IFERROR(($D17^2-$E17^2-$B17^2-$C17^2)/(2*$B17*$C17),"")</f>
        <v/>
      </c>
      <c r="AL17" s="99" t="str">
        <f aca="false">IFERROR(COS(RADIANS($F17))-$AG17-$AH17*COS(RADIANS($F17))+$AI17,"")</f>
        <v/>
      </c>
      <c r="AM17" s="99" t="str">
        <f aca="false">IFERROR(IF($B17="","",-2*SIN(RADIANS($F17))),"")</f>
        <v/>
      </c>
      <c r="AN17" s="99" t="str">
        <f aca="false">IFERROR($AG17-($AH17+1)*COS(RADIANS($F17))+$AI17,"")</f>
        <v/>
      </c>
      <c r="AO17" s="99" t="str">
        <f aca="false">IFERROR(COS(RADIANS($F17))-$AG17+$AJ17*COS(RADIANS($F17))+$AK17,"")</f>
        <v/>
      </c>
      <c r="AP17" s="99" t="str">
        <f aca="false">IFERROR(IF($B17="","",-2*SIN(RADIANS($F17))),"")</f>
        <v/>
      </c>
      <c r="AQ17" s="99" t="str">
        <f aca="false">IFERROR($AG17+($AJ17-1)*COS(RADIANS($F17))+$AK17,"")</f>
        <v/>
      </c>
      <c r="AR17" s="99" t="str">
        <f aca="false">IFERROR($AM17^2-4*$AL17*$AN17,"")</f>
        <v/>
      </c>
      <c r="AS17" s="99" t="str">
        <f aca="false">IFERROR($AP17^2-4*$AO17*$AQ17,"")</f>
        <v/>
      </c>
      <c r="AT17" s="99" t="str">
        <f aca="false">IFERROR($B17*$H17*SIN(RADIANS($F17))+$B17*$G17^2*COS(RADIANS($F17))+$C17*$N17^2*COS(RADIANS($K17))-$D17*$O17^2*COS(RADIANS($L17)),"")</f>
        <v/>
      </c>
      <c r="AU17" s="99" t="str">
        <f aca="false">IFERROR($B17*$H17*COS(RADIANS($F17))-$B17*$G17^2*SIN(RADIANS($F17))-$C17*$N17^2*SIN(RADIANS($K17))+$D17*$O17^2*SIN(RADIANS($L17)),"")</f>
        <v/>
      </c>
      <c r="AV17" s="99" t="str">
        <f aca="false">IFERROR($B17*$H17*SIN(RADIANS($F17))+$B17*$G17^2*COS(RADIANS($F17))+$C17*$X17^2*COS(RADIANS($U17))-$D17*$Y17^2*COS(RADIANS($V17)),"")</f>
        <v/>
      </c>
      <c r="AW17" s="99" t="str">
        <f aca="false">IFERROR($B17*$H17*COS(RADIANS($F17))-$B17*$G17^2*SIN(RADIANS($F17))-$C17*$X17^2*SIN(RADIANS($U17))+$D17*$Y17^2*SIN(RADIANS($V17)),"")</f>
        <v/>
      </c>
    </row>
    <row r="18" customFormat="false" ht="12" hidden="false" customHeight="true" outlineLevel="0" collapsed="false">
      <c r="A18" s="95" t="n">
        <v>14</v>
      </c>
      <c r="B18" s="96"/>
      <c r="C18" s="96"/>
      <c r="D18" s="96"/>
      <c r="E18" s="96"/>
      <c r="F18" s="96"/>
      <c r="G18" s="96"/>
      <c r="H18" s="96"/>
      <c r="I18" s="96"/>
      <c r="J18" s="96"/>
      <c r="K18" s="97" t="str">
        <f aca="false">IFERROR(MOD(DEGREES(2*ATAN((-$AP18-SQRT($AS18))/(2*$AO18))),360),"")</f>
        <v/>
      </c>
      <c r="L18" s="97" t="str">
        <f aca="false">IFERROR(MOD(DEGREES(2*ATAN((-$AM18-SQRT($AR18))/(2*$AL18))),360),"")</f>
        <v/>
      </c>
      <c r="M18" s="97" t="str">
        <f aca="false">IFERROR(IF(MOD($L18-$K18,180)&gt;90,180-MOD($L18-$K18,180),MOD($L18-$K18,180)),"")</f>
        <v/>
      </c>
      <c r="N18" s="97" t="str">
        <f aca="false">IFERROR($B18*$G18*SIN(RADIANS($L18-$F18))/($C18*SIN(RADIANS($K18-$L18))),"")</f>
        <v/>
      </c>
      <c r="O18" s="97" t="str">
        <f aca="false">IFERROR($B18*$G18*SIN(RADIANS($F18-$K18))/($D18*SIN(RADIANS($L18-$K18))),"")</f>
        <v/>
      </c>
      <c r="P18" s="97" t="str">
        <f aca="false">IFERROR(IF($B18="","",ABS($B18*$G18)),"")</f>
        <v/>
      </c>
      <c r="Q18" s="97" t="str">
        <f aca="false">IFERROR(ABS($D18*$O18),"")</f>
        <v/>
      </c>
      <c r="R18" s="97" t="str">
        <f aca="false">IFERROR(SQRT((-$B18*$G18*SIN(RADIANS($F18))-$I18*$N18*SIN(RADIANS($K18+$J18)))^2+($B18*$G18*COS(RADIANS($F18))+$I18*$N18*COS(RADIANS($K18+$J18)))^2),"")</f>
        <v/>
      </c>
      <c r="S18" s="97" t="str">
        <f aca="false">IFERROR(($AT18*COS(RADIANS($L18))-$AU18*SIN(RADIANS($L18)))/($C18*SIN(RADIANS($L18-$K18))),"")</f>
        <v/>
      </c>
      <c r="T18" s="97" t="str">
        <f aca="false">IFERROR(($AT18*COS(RADIANS($K18))-$AU18*SIN(RADIANS($K18)))/($D18*SIN(RADIANS($L18-$K18))),"")</f>
        <v/>
      </c>
      <c r="U18" s="97" t="str">
        <f aca="false">IFERROR(MOD(DEGREES(2*ATAN((-$AP18+SQRT($AS18))/(2*$AO18))),360),"")</f>
        <v/>
      </c>
      <c r="V18" s="97" t="str">
        <f aca="false">IFERROR(MOD(DEGREES(2*ATAN((-$AM18+SQRT($AR18))/(2*$AL18))),360),"")</f>
        <v/>
      </c>
      <c r="W18" s="97" t="str">
        <f aca="false">IFERROR(IF(MOD($V18-$U18,180)&gt;90,180-MOD($V18-$U18,180),MOD($V18-$U18,180)),"")</f>
        <v/>
      </c>
      <c r="X18" s="97" t="str">
        <f aca="false">IFERROR($B18*$G18*SIN(RADIANS($V18-$F18))/($C18*SIN(RADIANS($U18-$V18))),"")</f>
        <v/>
      </c>
      <c r="Y18" s="97" t="str">
        <f aca="false">IFERROR($B18*$G18*SIN(RADIANS($F18-$U18))/($D18*SIN(RADIANS($V18-$U18))),"")</f>
        <v/>
      </c>
      <c r="Z18" s="97" t="str">
        <f aca="false">IFERROR(ABS($D18*$Y18),"")</f>
        <v/>
      </c>
      <c r="AA18" s="97" t="str">
        <f aca="false">IFERROR(SQRT((-$B18*$G18*SIN(RADIANS($F18))-$I18*$X18*SIN(RADIANS($U18+$J18)))^2+($B18*$G18*COS(RADIANS($F18))+$I18*$X18*COS(RADIANS($U18+$J18)))^2),"")</f>
        <v/>
      </c>
      <c r="AB18" s="97" t="str">
        <f aca="false">IFERROR(($AV18*COS(RADIANS($V18))-$AW18*SIN(RADIANS($V18)))/($C18*SIN(RADIANS($V18-$U18))),"")</f>
        <v/>
      </c>
      <c r="AC18" s="97" t="str">
        <f aca="false">IFERROR(($AV18*COS(RADIANS($U18))-$AW18*SIN(RADIANS($U18)))/($D18*SIN(RADIANS($V18-$U18))),"")</f>
        <v/>
      </c>
      <c r="AD18" s="98" t="str">
        <f aca="false">IF(COUNT($B18:$E18)&lt;4,"",IF(MIN($B18:$E18)+MAX($B18:$E18)&lt;SUM($B18:$E18)-MIN($B18:$E18)-MAX($B18:$E18),"Grashof",IF(MIN($B18:$E18)+MAX($B18:$E18)=SUM($B18:$E18)-MIN($B18:$E18)-MAX($B18:$E18),"Punto de cambio","No Grashof")))</f>
        <v/>
      </c>
      <c r="AE18" s="98" t="str">
        <f aca="false">IF(COUNT($B18:$E18)&lt;4,"",IF(MIN($B18:$E18)+MAX($B18:$E18)&gt;SUM($B18:$E18)-MIN($B18:$E18)-MAX($B18:$E18),"Triple balancin",IF(MIN($B18:$E18)+MAX($B18:$E18)=SUM($B18:$E18)-MIN($B18:$E18)-MAX($B18:$E18),"Punto de cambio",IF($E18=MIN($B18:$E18),"Doble manivela",IF($C18=MIN($B18:$E18),"Doble balancin","Manivela-balancin")))))</f>
        <v/>
      </c>
      <c r="AG18" s="99" t="str">
        <f aca="false">IFERROR($E18/$B18,"")</f>
        <v/>
      </c>
      <c r="AH18" s="99" t="str">
        <f aca="false">IFERROR($E18/$D18,"")</f>
        <v/>
      </c>
      <c r="AI18" s="99" t="str">
        <f aca="false">IFERROR(($B18^2-$C18^2+$D18^2+$E18^2)/(2*$B18*$D18),"")</f>
        <v/>
      </c>
      <c r="AJ18" s="99" t="str">
        <f aca="false">IFERROR($E18/$C18,"")</f>
        <v/>
      </c>
      <c r="AK18" s="99" t="str">
        <f aca="false">IFERROR(($D18^2-$E18^2-$B18^2-$C18^2)/(2*$B18*$C18),"")</f>
        <v/>
      </c>
      <c r="AL18" s="99" t="str">
        <f aca="false">IFERROR(COS(RADIANS($F18))-$AG18-$AH18*COS(RADIANS($F18))+$AI18,"")</f>
        <v/>
      </c>
      <c r="AM18" s="99" t="str">
        <f aca="false">IFERROR(IF($B18="","",-2*SIN(RADIANS($F18))),"")</f>
        <v/>
      </c>
      <c r="AN18" s="99" t="str">
        <f aca="false">IFERROR($AG18-($AH18+1)*COS(RADIANS($F18))+$AI18,"")</f>
        <v/>
      </c>
      <c r="AO18" s="99" t="str">
        <f aca="false">IFERROR(COS(RADIANS($F18))-$AG18+$AJ18*COS(RADIANS($F18))+$AK18,"")</f>
        <v/>
      </c>
      <c r="AP18" s="99" t="str">
        <f aca="false">IFERROR(IF($B18="","",-2*SIN(RADIANS($F18))),"")</f>
        <v/>
      </c>
      <c r="AQ18" s="99" t="str">
        <f aca="false">IFERROR($AG18+($AJ18-1)*COS(RADIANS($F18))+$AK18,"")</f>
        <v/>
      </c>
      <c r="AR18" s="99" t="str">
        <f aca="false">IFERROR($AM18^2-4*$AL18*$AN18,"")</f>
        <v/>
      </c>
      <c r="AS18" s="99" t="str">
        <f aca="false">IFERROR($AP18^2-4*$AO18*$AQ18,"")</f>
        <v/>
      </c>
      <c r="AT18" s="99" t="str">
        <f aca="false">IFERROR($B18*$H18*SIN(RADIANS($F18))+$B18*$G18^2*COS(RADIANS($F18))+$C18*$N18^2*COS(RADIANS($K18))-$D18*$O18^2*COS(RADIANS($L18)),"")</f>
        <v/>
      </c>
      <c r="AU18" s="99" t="str">
        <f aca="false">IFERROR($B18*$H18*COS(RADIANS($F18))-$B18*$G18^2*SIN(RADIANS($F18))-$C18*$N18^2*SIN(RADIANS($K18))+$D18*$O18^2*SIN(RADIANS($L18)),"")</f>
        <v/>
      </c>
      <c r="AV18" s="99" t="str">
        <f aca="false">IFERROR($B18*$H18*SIN(RADIANS($F18))+$B18*$G18^2*COS(RADIANS($F18))+$C18*$X18^2*COS(RADIANS($U18))-$D18*$Y18^2*COS(RADIANS($V18)),"")</f>
        <v/>
      </c>
      <c r="AW18" s="99" t="str">
        <f aca="false">IFERROR($B18*$H18*COS(RADIANS($F18))-$B18*$G18^2*SIN(RADIANS($F18))-$C18*$X18^2*SIN(RADIANS($U18))+$D18*$Y18^2*SIN(RADIANS($V18)),"")</f>
        <v/>
      </c>
    </row>
    <row r="19" customFormat="false" ht="12" hidden="false" customHeight="true" outlineLevel="0" collapsed="false">
      <c r="A19" s="95" t="n">
        <v>15</v>
      </c>
      <c r="B19" s="96"/>
      <c r="C19" s="96"/>
      <c r="D19" s="96"/>
      <c r="E19" s="96"/>
      <c r="F19" s="96"/>
      <c r="G19" s="96"/>
      <c r="H19" s="96"/>
      <c r="I19" s="96"/>
      <c r="J19" s="96"/>
      <c r="K19" s="97" t="str">
        <f aca="false">IFERROR(MOD(DEGREES(2*ATAN((-$AP19-SQRT($AS19))/(2*$AO19))),360),"")</f>
        <v/>
      </c>
      <c r="L19" s="97" t="str">
        <f aca="false">IFERROR(MOD(DEGREES(2*ATAN((-$AM19-SQRT($AR19))/(2*$AL19))),360),"")</f>
        <v/>
      </c>
      <c r="M19" s="97" t="str">
        <f aca="false">IFERROR(IF(MOD($L19-$K19,180)&gt;90,180-MOD($L19-$K19,180),MOD($L19-$K19,180)),"")</f>
        <v/>
      </c>
      <c r="N19" s="97" t="str">
        <f aca="false">IFERROR($B19*$G19*SIN(RADIANS($L19-$F19))/($C19*SIN(RADIANS($K19-$L19))),"")</f>
        <v/>
      </c>
      <c r="O19" s="97" t="str">
        <f aca="false">IFERROR($B19*$G19*SIN(RADIANS($F19-$K19))/($D19*SIN(RADIANS($L19-$K19))),"")</f>
        <v/>
      </c>
      <c r="P19" s="97" t="str">
        <f aca="false">IFERROR(IF($B19="","",ABS($B19*$G19)),"")</f>
        <v/>
      </c>
      <c r="Q19" s="97" t="str">
        <f aca="false">IFERROR(ABS($D19*$O19),"")</f>
        <v/>
      </c>
      <c r="R19" s="97" t="str">
        <f aca="false">IFERROR(SQRT((-$B19*$G19*SIN(RADIANS($F19))-$I19*$N19*SIN(RADIANS($K19+$J19)))^2+($B19*$G19*COS(RADIANS($F19))+$I19*$N19*COS(RADIANS($K19+$J19)))^2),"")</f>
        <v/>
      </c>
      <c r="S19" s="97" t="str">
        <f aca="false">IFERROR(($AT19*COS(RADIANS($L19))-$AU19*SIN(RADIANS($L19)))/($C19*SIN(RADIANS($L19-$K19))),"")</f>
        <v/>
      </c>
      <c r="T19" s="97" t="str">
        <f aca="false">IFERROR(($AT19*COS(RADIANS($K19))-$AU19*SIN(RADIANS($K19)))/($D19*SIN(RADIANS($L19-$K19))),"")</f>
        <v/>
      </c>
      <c r="U19" s="97" t="str">
        <f aca="false">IFERROR(MOD(DEGREES(2*ATAN((-$AP19+SQRT($AS19))/(2*$AO19))),360),"")</f>
        <v/>
      </c>
      <c r="V19" s="97" t="str">
        <f aca="false">IFERROR(MOD(DEGREES(2*ATAN((-$AM19+SQRT($AR19))/(2*$AL19))),360),"")</f>
        <v/>
      </c>
      <c r="W19" s="97" t="str">
        <f aca="false">IFERROR(IF(MOD($V19-$U19,180)&gt;90,180-MOD($V19-$U19,180),MOD($V19-$U19,180)),"")</f>
        <v/>
      </c>
      <c r="X19" s="97" t="str">
        <f aca="false">IFERROR($B19*$G19*SIN(RADIANS($V19-$F19))/($C19*SIN(RADIANS($U19-$V19))),"")</f>
        <v/>
      </c>
      <c r="Y19" s="97" t="str">
        <f aca="false">IFERROR($B19*$G19*SIN(RADIANS($F19-$U19))/($D19*SIN(RADIANS($V19-$U19))),"")</f>
        <v/>
      </c>
      <c r="Z19" s="97" t="str">
        <f aca="false">IFERROR(ABS($D19*$Y19),"")</f>
        <v/>
      </c>
      <c r="AA19" s="97" t="str">
        <f aca="false">IFERROR(SQRT((-$B19*$G19*SIN(RADIANS($F19))-$I19*$X19*SIN(RADIANS($U19+$J19)))^2+($B19*$G19*COS(RADIANS($F19))+$I19*$X19*COS(RADIANS($U19+$J19)))^2),"")</f>
        <v/>
      </c>
      <c r="AB19" s="97" t="str">
        <f aca="false">IFERROR(($AV19*COS(RADIANS($V19))-$AW19*SIN(RADIANS($V19)))/($C19*SIN(RADIANS($V19-$U19))),"")</f>
        <v/>
      </c>
      <c r="AC19" s="97" t="str">
        <f aca="false">IFERROR(($AV19*COS(RADIANS($U19))-$AW19*SIN(RADIANS($U19)))/($D19*SIN(RADIANS($V19-$U19))),"")</f>
        <v/>
      </c>
      <c r="AD19" s="98" t="str">
        <f aca="false">IF(COUNT($B19:$E19)&lt;4,"",IF(MIN($B19:$E19)+MAX($B19:$E19)&lt;SUM($B19:$E19)-MIN($B19:$E19)-MAX($B19:$E19),"Grashof",IF(MIN($B19:$E19)+MAX($B19:$E19)=SUM($B19:$E19)-MIN($B19:$E19)-MAX($B19:$E19),"Punto de cambio","No Grashof")))</f>
        <v/>
      </c>
      <c r="AE19" s="98" t="str">
        <f aca="false">IF(COUNT($B19:$E19)&lt;4,"",IF(MIN($B19:$E19)+MAX($B19:$E19)&gt;SUM($B19:$E19)-MIN($B19:$E19)-MAX($B19:$E19),"Triple balancin",IF(MIN($B19:$E19)+MAX($B19:$E19)=SUM($B19:$E19)-MIN($B19:$E19)-MAX($B19:$E19),"Punto de cambio",IF($E19=MIN($B19:$E19),"Doble manivela",IF($C19=MIN($B19:$E19),"Doble balancin","Manivela-balancin")))))</f>
        <v/>
      </c>
      <c r="AG19" s="99" t="str">
        <f aca="false">IFERROR($E19/$B19,"")</f>
        <v/>
      </c>
      <c r="AH19" s="99" t="str">
        <f aca="false">IFERROR($E19/$D19,"")</f>
        <v/>
      </c>
      <c r="AI19" s="99" t="str">
        <f aca="false">IFERROR(($B19^2-$C19^2+$D19^2+$E19^2)/(2*$B19*$D19),"")</f>
        <v/>
      </c>
      <c r="AJ19" s="99" t="str">
        <f aca="false">IFERROR($E19/$C19,"")</f>
        <v/>
      </c>
      <c r="AK19" s="99" t="str">
        <f aca="false">IFERROR(($D19^2-$E19^2-$B19^2-$C19^2)/(2*$B19*$C19),"")</f>
        <v/>
      </c>
      <c r="AL19" s="99" t="str">
        <f aca="false">IFERROR(COS(RADIANS($F19))-$AG19-$AH19*COS(RADIANS($F19))+$AI19,"")</f>
        <v/>
      </c>
      <c r="AM19" s="99" t="str">
        <f aca="false">IFERROR(IF($B19="","",-2*SIN(RADIANS($F19))),"")</f>
        <v/>
      </c>
      <c r="AN19" s="99" t="str">
        <f aca="false">IFERROR($AG19-($AH19+1)*COS(RADIANS($F19))+$AI19,"")</f>
        <v/>
      </c>
      <c r="AO19" s="99" t="str">
        <f aca="false">IFERROR(COS(RADIANS($F19))-$AG19+$AJ19*COS(RADIANS($F19))+$AK19,"")</f>
        <v/>
      </c>
      <c r="AP19" s="99" t="str">
        <f aca="false">IFERROR(IF($B19="","",-2*SIN(RADIANS($F19))),"")</f>
        <v/>
      </c>
      <c r="AQ19" s="99" t="str">
        <f aca="false">IFERROR($AG19+($AJ19-1)*COS(RADIANS($F19))+$AK19,"")</f>
        <v/>
      </c>
      <c r="AR19" s="99" t="str">
        <f aca="false">IFERROR($AM19^2-4*$AL19*$AN19,"")</f>
        <v/>
      </c>
      <c r="AS19" s="99" t="str">
        <f aca="false">IFERROR($AP19^2-4*$AO19*$AQ19,"")</f>
        <v/>
      </c>
      <c r="AT19" s="99" t="str">
        <f aca="false">IFERROR($B19*$H19*SIN(RADIANS($F19))+$B19*$G19^2*COS(RADIANS($F19))+$C19*$N19^2*COS(RADIANS($K19))-$D19*$O19^2*COS(RADIANS($L19)),"")</f>
        <v/>
      </c>
      <c r="AU19" s="99" t="str">
        <f aca="false">IFERROR($B19*$H19*COS(RADIANS($F19))-$B19*$G19^2*SIN(RADIANS($F19))-$C19*$N19^2*SIN(RADIANS($K19))+$D19*$O19^2*SIN(RADIANS($L19)),"")</f>
        <v/>
      </c>
      <c r="AV19" s="99" t="str">
        <f aca="false">IFERROR($B19*$H19*SIN(RADIANS($F19))+$B19*$G19^2*COS(RADIANS($F19))+$C19*$X19^2*COS(RADIANS($U19))-$D19*$Y19^2*COS(RADIANS($V19)),"")</f>
        <v/>
      </c>
      <c r="AW19" s="99" t="str">
        <f aca="false">IFERROR($B19*$H19*COS(RADIANS($F19))-$B19*$G19^2*SIN(RADIANS($F19))-$C19*$X19^2*SIN(RADIANS($U19))+$D19*$Y19^2*SIN(RADIANS($V19)),"")</f>
        <v/>
      </c>
    </row>
    <row r="20" customFormat="false" ht="12" hidden="false" customHeight="true" outlineLevel="0" collapsed="false">
      <c r="A20" s="95" t="n">
        <v>16</v>
      </c>
      <c r="B20" s="96"/>
      <c r="C20" s="96"/>
      <c r="D20" s="96"/>
      <c r="E20" s="96"/>
      <c r="F20" s="96"/>
      <c r="G20" s="96"/>
      <c r="H20" s="96"/>
      <c r="I20" s="96"/>
      <c r="J20" s="96"/>
      <c r="K20" s="97" t="str">
        <f aca="false">IFERROR(MOD(DEGREES(2*ATAN((-$AP20-SQRT($AS20))/(2*$AO20))),360),"")</f>
        <v/>
      </c>
      <c r="L20" s="97" t="str">
        <f aca="false">IFERROR(MOD(DEGREES(2*ATAN((-$AM20-SQRT($AR20))/(2*$AL20))),360),"")</f>
        <v/>
      </c>
      <c r="M20" s="97" t="str">
        <f aca="false">IFERROR(IF(MOD($L20-$K20,180)&gt;90,180-MOD($L20-$K20,180),MOD($L20-$K20,180)),"")</f>
        <v/>
      </c>
      <c r="N20" s="97" t="str">
        <f aca="false">IFERROR($B20*$G20*SIN(RADIANS($L20-$F20))/($C20*SIN(RADIANS($K20-$L20))),"")</f>
        <v/>
      </c>
      <c r="O20" s="97" t="str">
        <f aca="false">IFERROR($B20*$G20*SIN(RADIANS($F20-$K20))/($D20*SIN(RADIANS($L20-$K20))),"")</f>
        <v/>
      </c>
      <c r="P20" s="97" t="str">
        <f aca="false">IFERROR(IF($B20="","",ABS($B20*$G20)),"")</f>
        <v/>
      </c>
      <c r="Q20" s="97" t="str">
        <f aca="false">IFERROR(ABS($D20*$O20),"")</f>
        <v/>
      </c>
      <c r="R20" s="97" t="str">
        <f aca="false">IFERROR(SQRT((-$B20*$G20*SIN(RADIANS($F20))-$I20*$N20*SIN(RADIANS($K20+$J20)))^2+($B20*$G20*COS(RADIANS($F20))+$I20*$N20*COS(RADIANS($K20+$J20)))^2),"")</f>
        <v/>
      </c>
      <c r="S20" s="97" t="str">
        <f aca="false">IFERROR(($AT20*COS(RADIANS($L20))-$AU20*SIN(RADIANS($L20)))/($C20*SIN(RADIANS($L20-$K20))),"")</f>
        <v/>
      </c>
      <c r="T20" s="97" t="str">
        <f aca="false">IFERROR(($AT20*COS(RADIANS($K20))-$AU20*SIN(RADIANS($K20)))/($D20*SIN(RADIANS($L20-$K20))),"")</f>
        <v/>
      </c>
      <c r="U20" s="97" t="str">
        <f aca="false">IFERROR(MOD(DEGREES(2*ATAN((-$AP20+SQRT($AS20))/(2*$AO20))),360),"")</f>
        <v/>
      </c>
      <c r="V20" s="97" t="str">
        <f aca="false">IFERROR(MOD(DEGREES(2*ATAN((-$AM20+SQRT($AR20))/(2*$AL20))),360),"")</f>
        <v/>
      </c>
      <c r="W20" s="97" t="str">
        <f aca="false">IFERROR(IF(MOD($V20-$U20,180)&gt;90,180-MOD($V20-$U20,180),MOD($V20-$U20,180)),"")</f>
        <v/>
      </c>
      <c r="X20" s="97" t="str">
        <f aca="false">IFERROR($B20*$G20*SIN(RADIANS($V20-$F20))/($C20*SIN(RADIANS($U20-$V20))),"")</f>
        <v/>
      </c>
      <c r="Y20" s="97" t="str">
        <f aca="false">IFERROR($B20*$G20*SIN(RADIANS($F20-$U20))/($D20*SIN(RADIANS($V20-$U20))),"")</f>
        <v/>
      </c>
      <c r="Z20" s="97" t="str">
        <f aca="false">IFERROR(ABS($D20*$Y20),"")</f>
        <v/>
      </c>
      <c r="AA20" s="97" t="str">
        <f aca="false">IFERROR(SQRT((-$B20*$G20*SIN(RADIANS($F20))-$I20*$X20*SIN(RADIANS($U20+$J20)))^2+($B20*$G20*COS(RADIANS($F20))+$I20*$X20*COS(RADIANS($U20+$J20)))^2),"")</f>
        <v/>
      </c>
      <c r="AB20" s="97" t="str">
        <f aca="false">IFERROR(($AV20*COS(RADIANS($V20))-$AW20*SIN(RADIANS($V20)))/($C20*SIN(RADIANS($V20-$U20))),"")</f>
        <v/>
      </c>
      <c r="AC20" s="97" t="str">
        <f aca="false">IFERROR(($AV20*COS(RADIANS($U20))-$AW20*SIN(RADIANS($U20)))/($D20*SIN(RADIANS($V20-$U20))),"")</f>
        <v/>
      </c>
      <c r="AD20" s="98" t="str">
        <f aca="false">IF(COUNT($B20:$E20)&lt;4,"",IF(MIN($B20:$E20)+MAX($B20:$E20)&lt;SUM($B20:$E20)-MIN($B20:$E20)-MAX($B20:$E20),"Grashof",IF(MIN($B20:$E20)+MAX($B20:$E20)=SUM($B20:$E20)-MIN($B20:$E20)-MAX($B20:$E20),"Punto de cambio","No Grashof")))</f>
        <v/>
      </c>
      <c r="AE20" s="98" t="str">
        <f aca="false">IF(COUNT($B20:$E20)&lt;4,"",IF(MIN($B20:$E20)+MAX($B20:$E20)&gt;SUM($B20:$E20)-MIN($B20:$E20)-MAX($B20:$E20),"Triple balancin",IF(MIN($B20:$E20)+MAX($B20:$E20)=SUM($B20:$E20)-MIN($B20:$E20)-MAX($B20:$E20),"Punto de cambio",IF($E20=MIN($B20:$E20),"Doble manivela",IF($C20=MIN($B20:$E20),"Doble balancin","Manivela-balancin")))))</f>
        <v/>
      </c>
      <c r="AG20" s="99" t="str">
        <f aca="false">IFERROR($E20/$B20,"")</f>
        <v/>
      </c>
      <c r="AH20" s="99" t="str">
        <f aca="false">IFERROR($E20/$D20,"")</f>
        <v/>
      </c>
      <c r="AI20" s="99" t="str">
        <f aca="false">IFERROR(($B20^2-$C20^2+$D20^2+$E20^2)/(2*$B20*$D20),"")</f>
        <v/>
      </c>
      <c r="AJ20" s="99" t="str">
        <f aca="false">IFERROR($E20/$C20,"")</f>
        <v/>
      </c>
      <c r="AK20" s="99" t="str">
        <f aca="false">IFERROR(($D20^2-$E20^2-$B20^2-$C20^2)/(2*$B20*$C20),"")</f>
        <v/>
      </c>
      <c r="AL20" s="99" t="str">
        <f aca="false">IFERROR(COS(RADIANS($F20))-$AG20-$AH20*COS(RADIANS($F20))+$AI20,"")</f>
        <v/>
      </c>
      <c r="AM20" s="99" t="str">
        <f aca="false">IFERROR(IF($B20="","",-2*SIN(RADIANS($F20))),"")</f>
        <v/>
      </c>
      <c r="AN20" s="99" t="str">
        <f aca="false">IFERROR($AG20-($AH20+1)*COS(RADIANS($F20))+$AI20,"")</f>
        <v/>
      </c>
      <c r="AO20" s="99" t="str">
        <f aca="false">IFERROR(COS(RADIANS($F20))-$AG20+$AJ20*COS(RADIANS($F20))+$AK20,"")</f>
        <v/>
      </c>
      <c r="AP20" s="99" t="str">
        <f aca="false">IFERROR(IF($B20="","",-2*SIN(RADIANS($F20))),"")</f>
        <v/>
      </c>
      <c r="AQ20" s="99" t="str">
        <f aca="false">IFERROR($AG20+($AJ20-1)*COS(RADIANS($F20))+$AK20,"")</f>
        <v/>
      </c>
      <c r="AR20" s="99" t="str">
        <f aca="false">IFERROR($AM20^2-4*$AL20*$AN20,"")</f>
        <v/>
      </c>
      <c r="AS20" s="99" t="str">
        <f aca="false">IFERROR($AP20^2-4*$AO20*$AQ20,"")</f>
        <v/>
      </c>
      <c r="AT20" s="99" t="str">
        <f aca="false">IFERROR($B20*$H20*SIN(RADIANS($F20))+$B20*$G20^2*COS(RADIANS($F20))+$C20*$N20^2*COS(RADIANS($K20))-$D20*$O20^2*COS(RADIANS($L20)),"")</f>
        <v/>
      </c>
      <c r="AU20" s="99" t="str">
        <f aca="false">IFERROR($B20*$H20*COS(RADIANS($F20))-$B20*$G20^2*SIN(RADIANS($F20))-$C20*$N20^2*SIN(RADIANS($K20))+$D20*$O20^2*SIN(RADIANS($L20)),"")</f>
        <v/>
      </c>
      <c r="AV20" s="99" t="str">
        <f aca="false">IFERROR($B20*$H20*SIN(RADIANS($F20))+$B20*$G20^2*COS(RADIANS($F20))+$C20*$X20^2*COS(RADIANS($U20))-$D20*$Y20^2*COS(RADIANS($V20)),"")</f>
        <v/>
      </c>
      <c r="AW20" s="99" t="str">
        <f aca="false">IFERROR($B20*$H20*COS(RADIANS($F20))-$B20*$G20^2*SIN(RADIANS($F20))-$C20*$X20^2*SIN(RADIANS($U20))+$D20*$Y20^2*SIN(RADIANS($V20)),"")</f>
        <v/>
      </c>
    </row>
    <row r="21" customFormat="false" ht="12" hidden="false" customHeight="true" outlineLevel="0" collapsed="false">
      <c r="A21" s="95" t="n">
        <v>17</v>
      </c>
      <c r="B21" s="96"/>
      <c r="C21" s="96"/>
      <c r="D21" s="96"/>
      <c r="E21" s="96"/>
      <c r="F21" s="96"/>
      <c r="G21" s="96"/>
      <c r="H21" s="96"/>
      <c r="I21" s="96"/>
      <c r="J21" s="96"/>
      <c r="K21" s="97" t="str">
        <f aca="false">IFERROR(MOD(DEGREES(2*ATAN((-$AP21-SQRT($AS21))/(2*$AO21))),360),"")</f>
        <v/>
      </c>
      <c r="L21" s="97" t="str">
        <f aca="false">IFERROR(MOD(DEGREES(2*ATAN((-$AM21-SQRT($AR21))/(2*$AL21))),360),"")</f>
        <v/>
      </c>
      <c r="M21" s="97" t="str">
        <f aca="false">IFERROR(IF(MOD($L21-$K21,180)&gt;90,180-MOD($L21-$K21,180),MOD($L21-$K21,180)),"")</f>
        <v/>
      </c>
      <c r="N21" s="97" t="str">
        <f aca="false">IFERROR($B21*$G21*SIN(RADIANS($L21-$F21))/($C21*SIN(RADIANS($K21-$L21))),"")</f>
        <v/>
      </c>
      <c r="O21" s="97" t="str">
        <f aca="false">IFERROR($B21*$G21*SIN(RADIANS($F21-$K21))/($D21*SIN(RADIANS($L21-$K21))),"")</f>
        <v/>
      </c>
      <c r="P21" s="97" t="str">
        <f aca="false">IFERROR(IF($B21="","",ABS($B21*$G21)),"")</f>
        <v/>
      </c>
      <c r="Q21" s="97" t="str">
        <f aca="false">IFERROR(ABS($D21*$O21),"")</f>
        <v/>
      </c>
      <c r="R21" s="97" t="str">
        <f aca="false">IFERROR(SQRT((-$B21*$G21*SIN(RADIANS($F21))-$I21*$N21*SIN(RADIANS($K21+$J21)))^2+($B21*$G21*COS(RADIANS($F21))+$I21*$N21*COS(RADIANS($K21+$J21)))^2),"")</f>
        <v/>
      </c>
      <c r="S21" s="97" t="str">
        <f aca="false">IFERROR(($AT21*COS(RADIANS($L21))-$AU21*SIN(RADIANS($L21)))/($C21*SIN(RADIANS($L21-$K21))),"")</f>
        <v/>
      </c>
      <c r="T21" s="97" t="str">
        <f aca="false">IFERROR(($AT21*COS(RADIANS($K21))-$AU21*SIN(RADIANS($K21)))/($D21*SIN(RADIANS($L21-$K21))),"")</f>
        <v/>
      </c>
      <c r="U21" s="97" t="str">
        <f aca="false">IFERROR(MOD(DEGREES(2*ATAN((-$AP21+SQRT($AS21))/(2*$AO21))),360),"")</f>
        <v/>
      </c>
      <c r="V21" s="97" t="str">
        <f aca="false">IFERROR(MOD(DEGREES(2*ATAN((-$AM21+SQRT($AR21))/(2*$AL21))),360),"")</f>
        <v/>
      </c>
      <c r="W21" s="97" t="str">
        <f aca="false">IFERROR(IF(MOD($V21-$U21,180)&gt;90,180-MOD($V21-$U21,180),MOD($V21-$U21,180)),"")</f>
        <v/>
      </c>
      <c r="X21" s="97" t="str">
        <f aca="false">IFERROR($B21*$G21*SIN(RADIANS($V21-$F21))/($C21*SIN(RADIANS($U21-$V21))),"")</f>
        <v/>
      </c>
      <c r="Y21" s="97" t="str">
        <f aca="false">IFERROR($B21*$G21*SIN(RADIANS($F21-$U21))/($D21*SIN(RADIANS($V21-$U21))),"")</f>
        <v/>
      </c>
      <c r="Z21" s="97" t="str">
        <f aca="false">IFERROR(ABS($D21*$Y21),"")</f>
        <v/>
      </c>
      <c r="AA21" s="97" t="str">
        <f aca="false">IFERROR(SQRT((-$B21*$G21*SIN(RADIANS($F21))-$I21*$X21*SIN(RADIANS($U21+$J21)))^2+($B21*$G21*COS(RADIANS($F21))+$I21*$X21*COS(RADIANS($U21+$J21)))^2),"")</f>
        <v/>
      </c>
      <c r="AB21" s="97" t="str">
        <f aca="false">IFERROR(($AV21*COS(RADIANS($V21))-$AW21*SIN(RADIANS($V21)))/($C21*SIN(RADIANS($V21-$U21))),"")</f>
        <v/>
      </c>
      <c r="AC21" s="97" t="str">
        <f aca="false">IFERROR(($AV21*COS(RADIANS($U21))-$AW21*SIN(RADIANS($U21)))/($D21*SIN(RADIANS($V21-$U21))),"")</f>
        <v/>
      </c>
      <c r="AD21" s="98" t="str">
        <f aca="false">IF(COUNT($B21:$E21)&lt;4,"",IF(MIN($B21:$E21)+MAX($B21:$E21)&lt;SUM($B21:$E21)-MIN($B21:$E21)-MAX($B21:$E21),"Grashof",IF(MIN($B21:$E21)+MAX($B21:$E21)=SUM($B21:$E21)-MIN($B21:$E21)-MAX($B21:$E21),"Punto de cambio","No Grashof")))</f>
        <v/>
      </c>
      <c r="AE21" s="98" t="str">
        <f aca="false">IF(COUNT($B21:$E21)&lt;4,"",IF(MIN($B21:$E21)+MAX($B21:$E21)&gt;SUM($B21:$E21)-MIN($B21:$E21)-MAX($B21:$E21),"Triple balancin",IF(MIN($B21:$E21)+MAX($B21:$E21)=SUM($B21:$E21)-MIN($B21:$E21)-MAX($B21:$E21),"Punto de cambio",IF($E21=MIN($B21:$E21),"Doble manivela",IF($C21=MIN($B21:$E21),"Doble balancin","Manivela-balancin")))))</f>
        <v/>
      </c>
      <c r="AG21" s="99" t="str">
        <f aca="false">IFERROR($E21/$B21,"")</f>
        <v/>
      </c>
      <c r="AH21" s="99" t="str">
        <f aca="false">IFERROR($E21/$D21,"")</f>
        <v/>
      </c>
      <c r="AI21" s="99" t="str">
        <f aca="false">IFERROR(($B21^2-$C21^2+$D21^2+$E21^2)/(2*$B21*$D21),"")</f>
        <v/>
      </c>
      <c r="AJ21" s="99" t="str">
        <f aca="false">IFERROR($E21/$C21,"")</f>
        <v/>
      </c>
      <c r="AK21" s="99" t="str">
        <f aca="false">IFERROR(($D21^2-$E21^2-$B21^2-$C21^2)/(2*$B21*$C21),"")</f>
        <v/>
      </c>
      <c r="AL21" s="99" t="str">
        <f aca="false">IFERROR(COS(RADIANS($F21))-$AG21-$AH21*COS(RADIANS($F21))+$AI21,"")</f>
        <v/>
      </c>
      <c r="AM21" s="99" t="str">
        <f aca="false">IFERROR(IF($B21="","",-2*SIN(RADIANS($F21))),"")</f>
        <v/>
      </c>
      <c r="AN21" s="99" t="str">
        <f aca="false">IFERROR($AG21-($AH21+1)*COS(RADIANS($F21))+$AI21,"")</f>
        <v/>
      </c>
      <c r="AO21" s="99" t="str">
        <f aca="false">IFERROR(COS(RADIANS($F21))-$AG21+$AJ21*COS(RADIANS($F21))+$AK21,"")</f>
        <v/>
      </c>
      <c r="AP21" s="99" t="str">
        <f aca="false">IFERROR(IF($B21="","",-2*SIN(RADIANS($F21))),"")</f>
        <v/>
      </c>
      <c r="AQ21" s="99" t="str">
        <f aca="false">IFERROR($AG21+($AJ21-1)*COS(RADIANS($F21))+$AK21,"")</f>
        <v/>
      </c>
      <c r="AR21" s="99" t="str">
        <f aca="false">IFERROR($AM21^2-4*$AL21*$AN21,"")</f>
        <v/>
      </c>
      <c r="AS21" s="99" t="str">
        <f aca="false">IFERROR($AP21^2-4*$AO21*$AQ21,"")</f>
        <v/>
      </c>
      <c r="AT21" s="99" t="str">
        <f aca="false">IFERROR($B21*$H21*SIN(RADIANS($F21))+$B21*$G21^2*COS(RADIANS($F21))+$C21*$N21^2*COS(RADIANS($K21))-$D21*$O21^2*COS(RADIANS($L21)),"")</f>
        <v/>
      </c>
      <c r="AU21" s="99" t="str">
        <f aca="false">IFERROR($B21*$H21*COS(RADIANS($F21))-$B21*$G21^2*SIN(RADIANS($F21))-$C21*$N21^2*SIN(RADIANS($K21))+$D21*$O21^2*SIN(RADIANS($L21)),"")</f>
        <v/>
      </c>
      <c r="AV21" s="99" t="str">
        <f aca="false">IFERROR($B21*$H21*SIN(RADIANS($F21))+$B21*$G21^2*COS(RADIANS($F21))+$C21*$X21^2*COS(RADIANS($U21))-$D21*$Y21^2*COS(RADIANS($V21)),"")</f>
        <v/>
      </c>
      <c r="AW21" s="99" t="str">
        <f aca="false">IFERROR($B21*$H21*COS(RADIANS($F21))-$B21*$G21^2*SIN(RADIANS($F21))-$C21*$X21^2*SIN(RADIANS($U21))+$D21*$Y21^2*SIN(RADIANS($V21)),"")</f>
        <v/>
      </c>
    </row>
    <row r="22" customFormat="false" ht="12" hidden="false" customHeight="true" outlineLevel="0" collapsed="false">
      <c r="A22" s="95" t="n">
        <v>18</v>
      </c>
      <c r="B22" s="96"/>
      <c r="C22" s="96"/>
      <c r="D22" s="96"/>
      <c r="E22" s="96"/>
      <c r="F22" s="96"/>
      <c r="G22" s="96"/>
      <c r="H22" s="96"/>
      <c r="I22" s="96"/>
      <c r="J22" s="96"/>
      <c r="K22" s="97" t="str">
        <f aca="false">IFERROR(MOD(DEGREES(2*ATAN((-$AP22-SQRT($AS22))/(2*$AO22))),360),"")</f>
        <v/>
      </c>
      <c r="L22" s="97" t="str">
        <f aca="false">IFERROR(MOD(DEGREES(2*ATAN((-$AM22-SQRT($AR22))/(2*$AL22))),360),"")</f>
        <v/>
      </c>
      <c r="M22" s="97" t="str">
        <f aca="false">IFERROR(IF(MOD($L22-$K22,180)&gt;90,180-MOD($L22-$K22,180),MOD($L22-$K22,180)),"")</f>
        <v/>
      </c>
      <c r="N22" s="97" t="str">
        <f aca="false">IFERROR($B22*$G22*SIN(RADIANS($L22-$F22))/($C22*SIN(RADIANS($K22-$L22))),"")</f>
        <v/>
      </c>
      <c r="O22" s="97" t="str">
        <f aca="false">IFERROR($B22*$G22*SIN(RADIANS($F22-$K22))/($D22*SIN(RADIANS($L22-$K22))),"")</f>
        <v/>
      </c>
      <c r="P22" s="97" t="str">
        <f aca="false">IFERROR(IF($B22="","",ABS($B22*$G22)),"")</f>
        <v/>
      </c>
      <c r="Q22" s="97" t="str">
        <f aca="false">IFERROR(ABS($D22*$O22),"")</f>
        <v/>
      </c>
      <c r="R22" s="97" t="str">
        <f aca="false">IFERROR(SQRT((-$B22*$G22*SIN(RADIANS($F22))-$I22*$N22*SIN(RADIANS($K22+$J22)))^2+($B22*$G22*COS(RADIANS($F22))+$I22*$N22*COS(RADIANS($K22+$J22)))^2),"")</f>
        <v/>
      </c>
      <c r="S22" s="97" t="str">
        <f aca="false">IFERROR(($AT22*COS(RADIANS($L22))-$AU22*SIN(RADIANS($L22)))/($C22*SIN(RADIANS($L22-$K22))),"")</f>
        <v/>
      </c>
      <c r="T22" s="97" t="str">
        <f aca="false">IFERROR(($AT22*COS(RADIANS($K22))-$AU22*SIN(RADIANS($K22)))/($D22*SIN(RADIANS($L22-$K22))),"")</f>
        <v/>
      </c>
      <c r="U22" s="97" t="str">
        <f aca="false">IFERROR(MOD(DEGREES(2*ATAN((-$AP22+SQRT($AS22))/(2*$AO22))),360),"")</f>
        <v/>
      </c>
      <c r="V22" s="97" t="str">
        <f aca="false">IFERROR(MOD(DEGREES(2*ATAN((-$AM22+SQRT($AR22))/(2*$AL22))),360),"")</f>
        <v/>
      </c>
      <c r="W22" s="97" t="str">
        <f aca="false">IFERROR(IF(MOD($V22-$U22,180)&gt;90,180-MOD($V22-$U22,180),MOD($V22-$U22,180)),"")</f>
        <v/>
      </c>
      <c r="X22" s="97" t="str">
        <f aca="false">IFERROR($B22*$G22*SIN(RADIANS($V22-$F22))/($C22*SIN(RADIANS($U22-$V22))),"")</f>
        <v/>
      </c>
      <c r="Y22" s="97" t="str">
        <f aca="false">IFERROR($B22*$G22*SIN(RADIANS($F22-$U22))/($D22*SIN(RADIANS($V22-$U22))),"")</f>
        <v/>
      </c>
      <c r="Z22" s="97" t="str">
        <f aca="false">IFERROR(ABS($D22*$Y22),"")</f>
        <v/>
      </c>
      <c r="AA22" s="97" t="str">
        <f aca="false">IFERROR(SQRT((-$B22*$G22*SIN(RADIANS($F22))-$I22*$X22*SIN(RADIANS($U22+$J22)))^2+($B22*$G22*COS(RADIANS($F22))+$I22*$X22*COS(RADIANS($U22+$J22)))^2),"")</f>
        <v/>
      </c>
      <c r="AB22" s="97" t="str">
        <f aca="false">IFERROR(($AV22*COS(RADIANS($V22))-$AW22*SIN(RADIANS($V22)))/($C22*SIN(RADIANS($V22-$U22))),"")</f>
        <v/>
      </c>
      <c r="AC22" s="97" t="str">
        <f aca="false">IFERROR(($AV22*COS(RADIANS($U22))-$AW22*SIN(RADIANS($U22)))/($D22*SIN(RADIANS($V22-$U22))),"")</f>
        <v/>
      </c>
      <c r="AD22" s="98" t="str">
        <f aca="false">IF(COUNT($B22:$E22)&lt;4,"",IF(MIN($B22:$E22)+MAX($B22:$E22)&lt;SUM($B22:$E22)-MIN($B22:$E22)-MAX($B22:$E22),"Grashof",IF(MIN($B22:$E22)+MAX($B22:$E22)=SUM($B22:$E22)-MIN($B22:$E22)-MAX($B22:$E22),"Punto de cambio","No Grashof")))</f>
        <v/>
      </c>
      <c r="AE22" s="98" t="str">
        <f aca="false">IF(COUNT($B22:$E22)&lt;4,"",IF(MIN($B22:$E22)+MAX($B22:$E22)&gt;SUM($B22:$E22)-MIN($B22:$E22)-MAX($B22:$E22),"Triple balancin",IF(MIN($B22:$E22)+MAX($B22:$E22)=SUM($B22:$E22)-MIN($B22:$E22)-MAX($B22:$E22),"Punto de cambio",IF($E22=MIN($B22:$E22),"Doble manivela",IF($C22=MIN($B22:$E22),"Doble balancin","Manivela-balancin")))))</f>
        <v/>
      </c>
      <c r="AG22" s="99" t="str">
        <f aca="false">IFERROR($E22/$B22,"")</f>
        <v/>
      </c>
      <c r="AH22" s="99" t="str">
        <f aca="false">IFERROR($E22/$D22,"")</f>
        <v/>
      </c>
      <c r="AI22" s="99" t="str">
        <f aca="false">IFERROR(($B22^2-$C22^2+$D22^2+$E22^2)/(2*$B22*$D22),"")</f>
        <v/>
      </c>
      <c r="AJ22" s="99" t="str">
        <f aca="false">IFERROR($E22/$C22,"")</f>
        <v/>
      </c>
      <c r="AK22" s="99" t="str">
        <f aca="false">IFERROR(($D22^2-$E22^2-$B22^2-$C22^2)/(2*$B22*$C22),"")</f>
        <v/>
      </c>
      <c r="AL22" s="99" t="str">
        <f aca="false">IFERROR(COS(RADIANS($F22))-$AG22-$AH22*COS(RADIANS($F22))+$AI22,"")</f>
        <v/>
      </c>
      <c r="AM22" s="99" t="str">
        <f aca="false">IFERROR(IF($B22="","",-2*SIN(RADIANS($F22))),"")</f>
        <v/>
      </c>
      <c r="AN22" s="99" t="str">
        <f aca="false">IFERROR($AG22-($AH22+1)*COS(RADIANS($F22))+$AI22,"")</f>
        <v/>
      </c>
      <c r="AO22" s="99" t="str">
        <f aca="false">IFERROR(COS(RADIANS($F22))-$AG22+$AJ22*COS(RADIANS($F22))+$AK22,"")</f>
        <v/>
      </c>
      <c r="AP22" s="99" t="str">
        <f aca="false">IFERROR(IF($B22="","",-2*SIN(RADIANS($F22))),"")</f>
        <v/>
      </c>
      <c r="AQ22" s="99" t="str">
        <f aca="false">IFERROR($AG22+($AJ22-1)*COS(RADIANS($F22))+$AK22,"")</f>
        <v/>
      </c>
      <c r="AR22" s="99" t="str">
        <f aca="false">IFERROR($AM22^2-4*$AL22*$AN22,"")</f>
        <v/>
      </c>
      <c r="AS22" s="99" t="str">
        <f aca="false">IFERROR($AP22^2-4*$AO22*$AQ22,"")</f>
        <v/>
      </c>
      <c r="AT22" s="99" t="str">
        <f aca="false">IFERROR($B22*$H22*SIN(RADIANS($F22))+$B22*$G22^2*COS(RADIANS($F22))+$C22*$N22^2*COS(RADIANS($K22))-$D22*$O22^2*COS(RADIANS($L22)),"")</f>
        <v/>
      </c>
      <c r="AU22" s="99" t="str">
        <f aca="false">IFERROR($B22*$H22*COS(RADIANS($F22))-$B22*$G22^2*SIN(RADIANS($F22))-$C22*$N22^2*SIN(RADIANS($K22))+$D22*$O22^2*SIN(RADIANS($L22)),"")</f>
        <v/>
      </c>
      <c r="AV22" s="99" t="str">
        <f aca="false">IFERROR($B22*$H22*SIN(RADIANS($F22))+$B22*$G22^2*COS(RADIANS($F22))+$C22*$X22^2*COS(RADIANS($U22))-$D22*$Y22^2*COS(RADIANS($V22)),"")</f>
        <v/>
      </c>
      <c r="AW22" s="99" t="str">
        <f aca="false">IFERROR($B22*$H22*COS(RADIANS($F22))-$B22*$G22^2*SIN(RADIANS($F22))-$C22*$X22^2*SIN(RADIANS($U22))+$D22*$Y22^2*SIN(RADIANS($V22)),"")</f>
        <v/>
      </c>
    </row>
    <row r="23" customFormat="false" ht="12" hidden="false" customHeight="true" outlineLevel="0" collapsed="false">
      <c r="A23" s="95" t="n">
        <v>19</v>
      </c>
      <c r="B23" s="96"/>
      <c r="C23" s="96"/>
      <c r="D23" s="96"/>
      <c r="E23" s="96"/>
      <c r="F23" s="96"/>
      <c r="G23" s="96"/>
      <c r="H23" s="96"/>
      <c r="I23" s="96"/>
      <c r="J23" s="96"/>
      <c r="K23" s="97" t="str">
        <f aca="false">IFERROR(MOD(DEGREES(2*ATAN((-$AP23-SQRT($AS23))/(2*$AO23))),360),"")</f>
        <v/>
      </c>
      <c r="L23" s="97" t="str">
        <f aca="false">IFERROR(MOD(DEGREES(2*ATAN((-$AM23-SQRT($AR23))/(2*$AL23))),360),"")</f>
        <v/>
      </c>
      <c r="M23" s="97" t="str">
        <f aca="false">IFERROR(IF(MOD($L23-$K23,180)&gt;90,180-MOD($L23-$K23,180),MOD($L23-$K23,180)),"")</f>
        <v/>
      </c>
      <c r="N23" s="97" t="str">
        <f aca="false">IFERROR($B23*$G23*SIN(RADIANS($L23-$F23))/($C23*SIN(RADIANS($K23-$L23))),"")</f>
        <v/>
      </c>
      <c r="O23" s="97" t="str">
        <f aca="false">IFERROR($B23*$G23*SIN(RADIANS($F23-$K23))/($D23*SIN(RADIANS($L23-$K23))),"")</f>
        <v/>
      </c>
      <c r="P23" s="97" t="str">
        <f aca="false">IFERROR(IF($B23="","",ABS($B23*$G23)),"")</f>
        <v/>
      </c>
      <c r="Q23" s="97" t="str">
        <f aca="false">IFERROR(ABS($D23*$O23),"")</f>
        <v/>
      </c>
      <c r="R23" s="97" t="str">
        <f aca="false">IFERROR(SQRT((-$B23*$G23*SIN(RADIANS($F23))-$I23*$N23*SIN(RADIANS($K23+$J23)))^2+($B23*$G23*COS(RADIANS($F23))+$I23*$N23*COS(RADIANS($K23+$J23)))^2),"")</f>
        <v/>
      </c>
      <c r="S23" s="97" t="str">
        <f aca="false">IFERROR(($AT23*COS(RADIANS($L23))-$AU23*SIN(RADIANS($L23)))/($C23*SIN(RADIANS($L23-$K23))),"")</f>
        <v/>
      </c>
      <c r="T23" s="97" t="str">
        <f aca="false">IFERROR(($AT23*COS(RADIANS($K23))-$AU23*SIN(RADIANS($K23)))/($D23*SIN(RADIANS($L23-$K23))),"")</f>
        <v/>
      </c>
      <c r="U23" s="97" t="str">
        <f aca="false">IFERROR(MOD(DEGREES(2*ATAN((-$AP23+SQRT($AS23))/(2*$AO23))),360),"")</f>
        <v/>
      </c>
      <c r="V23" s="97" t="str">
        <f aca="false">IFERROR(MOD(DEGREES(2*ATAN((-$AM23+SQRT($AR23))/(2*$AL23))),360),"")</f>
        <v/>
      </c>
      <c r="W23" s="97" t="str">
        <f aca="false">IFERROR(IF(MOD($V23-$U23,180)&gt;90,180-MOD($V23-$U23,180),MOD($V23-$U23,180)),"")</f>
        <v/>
      </c>
      <c r="X23" s="97" t="str">
        <f aca="false">IFERROR($B23*$G23*SIN(RADIANS($V23-$F23))/($C23*SIN(RADIANS($U23-$V23))),"")</f>
        <v/>
      </c>
      <c r="Y23" s="97" t="str">
        <f aca="false">IFERROR($B23*$G23*SIN(RADIANS($F23-$U23))/($D23*SIN(RADIANS($V23-$U23))),"")</f>
        <v/>
      </c>
      <c r="Z23" s="97" t="str">
        <f aca="false">IFERROR(ABS($D23*$Y23),"")</f>
        <v/>
      </c>
      <c r="AA23" s="97" t="str">
        <f aca="false">IFERROR(SQRT((-$B23*$G23*SIN(RADIANS($F23))-$I23*$X23*SIN(RADIANS($U23+$J23)))^2+($B23*$G23*COS(RADIANS($F23))+$I23*$X23*COS(RADIANS($U23+$J23)))^2),"")</f>
        <v/>
      </c>
      <c r="AB23" s="97" t="str">
        <f aca="false">IFERROR(($AV23*COS(RADIANS($V23))-$AW23*SIN(RADIANS($V23)))/($C23*SIN(RADIANS($V23-$U23))),"")</f>
        <v/>
      </c>
      <c r="AC23" s="97" t="str">
        <f aca="false">IFERROR(($AV23*COS(RADIANS($U23))-$AW23*SIN(RADIANS($U23)))/($D23*SIN(RADIANS($V23-$U23))),"")</f>
        <v/>
      </c>
      <c r="AD23" s="98" t="str">
        <f aca="false">IF(COUNT($B23:$E23)&lt;4,"",IF(MIN($B23:$E23)+MAX($B23:$E23)&lt;SUM($B23:$E23)-MIN($B23:$E23)-MAX($B23:$E23),"Grashof",IF(MIN($B23:$E23)+MAX($B23:$E23)=SUM($B23:$E23)-MIN($B23:$E23)-MAX($B23:$E23),"Punto de cambio","No Grashof")))</f>
        <v/>
      </c>
      <c r="AE23" s="98" t="str">
        <f aca="false">IF(COUNT($B23:$E23)&lt;4,"",IF(MIN($B23:$E23)+MAX($B23:$E23)&gt;SUM($B23:$E23)-MIN($B23:$E23)-MAX($B23:$E23),"Triple balancin",IF(MIN($B23:$E23)+MAX($B23:$E23)=SUM($B23:$E23)-MIN($B23:$E23)-MAX($B23:$E23),"Punto de cambio",IF($E23=MIN($B23:$E23),"Doble manivela",IF($C23=MIN($B23:$E23),"Doble balancin","Manivela-balancin")))))</f>
        <v/>
      </c>
      <c r="AG23" s="99" t="str">
        <f aca="false">IFERROR($E23/$B23,"")</f>
        <v/>
      </c>
      <c r="AH23" s="99" t="str">
        <f aca="false">IFERROR($E23/$D23,"")</f>
        <v/>
      </c>
      <c r="AI23" s="99" t="str">
        <f aca="false">IFERROR(($B23^2-$C23^2+$D23^2+$E23^2)/(2*$B23*$D23),"")</f>
        <v/>
      </c>
      <c r="AJ23" s="99" t="str">
        <f aca="false">IFERROR($E23/$C23,"")</f>
        <v/>
      </c>
      <c r="AK23" s="99" t="str">
        <f aca="false">IFERROR(($D23^2-$E23^2-$B23^2-$C23^2)/(2*$B23*$C23),"")</f>
        <v/>
      </c>
      <c r="AL23" s="99" t="str">
        <f aca="false">IFERROR(COS(RADIANS($F23))-$AG23-$AH23*COS(RADIANS($F23))+$AI23,"")</f>
        <v/>
      </c>
      <c r="AM23" s="99" t="str">
        <f aca="false">IFERROR(IF($B23="","",-2*SIN(RADIANS($F23))),"")</f>
        <v/>
      </c>
      <c r="AN23" s="99" t="str">
        <f aca="false">IFERROR($AG23-($AH23+1)*COS(RADIANS($F23))+$AI23,"")</f>
        <v/>
      </c>
      <c r="AO23" s="99" t="str">
        <f aca="false">IFERROR(COS(RADIANS($F23))-$AG23+$AJ23*COS(RADIANS($F23))+$AK23,"")</f>
        <v/>
      </c>
      <c r="AP23" s="99" t="str">
        <f aca="false">IFERROR(IF($B23="","",-2*SIN(RADIANS($F23))),"")</f>
        <v/>
      </c>
      <c r="AQ23" s="99" t="str">
        <f aca="false">IFERROR($AG23+($AJ23-1)*COS(RADIANS($F23))+$AK23,"")</f>
        <v/>
      </c>
      <c r="AR23" s="99" t="str">
        <f aca="false">IFERROR($AM23^2-4*$AL23*$AN23,"")</f>
        <v/>
      </c>
      <c r="AS23" s="99" t="str">
        <f aca="false">IFERROR($AP23^2-4*$AO23*$AQ23,"")</f>
        <v/>
      </c>
      <c r="AT23" s="99" t="str">
        <f aca="false">IFERROR($B23*$H23*SIN(RADIANS($F23))+$B23*$G23^2*COS(RADIANS($F23))+$C23*$N23^2*COS(RADIANS($K23))-$D23*$O23^2*COS(RADIANS($L23)),"")</f>
        <v/>
      </c>
      <c r="AU23" s="99" t="str">
        <f aca="false">IFERROR($B23*$H23*COS(RADIANS($F23))-$B23*$G23^2*SIN(RADIANS($F23))-$C23*$N23^2*SIN(RADIANS($K23))+$D23*$O23^2*SIN(RADIANS($L23)),"")</f>
        <v/>
      </c>
      <c r="AV23" s="99" t="str">
        <f aca="false">IFERROR($B23*$H23*SIN(RADIANS($F23))+$B23*$G23^2*COS(RADIANS($F23))+$C23*$X23^2*COS(RADIANS($U23))-$D23*$Y23^2*COS(RADIANS($V23)),"")</f>
        <v/>
      </c>
      <c r="AW23" s="99" t="str">
        <f aca="false">IFERROR($B23*$H23*COS(RADIANS($F23))-$B23*$G23^2*SIN(RADIANS($F23))-$C23*$X23^2*SIN(RADIANS($U23))+$D23*$Y23^2*SIN(RADIANS($V23)),"")</f>
        <v/>
      </c>
    </row>
    <row r="24" customFormat="false" ht="12" hidden="false" customHeight="true" outlineLevel="0" collapsed="false">
      <c r="A24" s="95" t="n">
        <v>20</v>
      </c>
      <c r="B24" s="96"/>
      <c r="C24" s="96"/>
      <c r="D24" s="96"/>
      <c r="E24" s="96"/>
      <c r="F24" s="96"/>
      <c r="G24" s="96"/>
      <c r="H24" s="96"/>
      <c r="I24" s="96"/>
      <c r="J24" s="96"/>
      <c r="K24" s="97" t="str">
        <f aca="false">IFERROR(MOD(DEGREES(2*ATAN((-$AP24-SQRT($AS24))/(2*$AO24))),360),"")</f>
        <v/>
      </c>
      <c r="L24" s="97" t="str">
        <f aca="false">IFERROR(MOD(DEGREES(2*ATAN((-$AM24-SQRT($AR24))/(2*$AL24))),360),"")</f>
        <v/>
      </c>
      <c r="M24" s="97" t="str">
        <f aca="false">IFERROR(IF(MOD($L24-$K24,180)&gt;90,180-MOD($L24-$K24,180),MOD($L24-$K24,180)),"")</f>
        <v/>
      </c>
      <c r="N24" s="97" t="str">
        <f aca="false">IFERROR($B24*$G24*SIN(RADIANS($L24-$F24))/($C24*SIN(RADIANS($K24-$L24))),"")</f>
        <v/>
      </c>
      <c r="O24" s="97" t="str">
        <f aca="false">IFERROR($B24*$G24*SIN(RADIANS($F24-$K24))/($D24*SIN(RADIANS($L24-$K24))),"")</f>
        <v/>
      </c>
      <c r="P24" s="97" t="str">
        <f aca="false">IFERROR(IF($B24="","",ABS($B24*$G24)),"")</f>
        <v/>
      </c>
      <c r="Q24" s="97" t="str">
        <f aca="false">IFERROR(ABS($D24*$O24),"")</f>
        <v/>
      </c>
      <c r="R24" s="97" t="str">
        <f aca="false">IFERROR(SQRT((-$B24*$G24*SIN(RADIANS($F24))-$I24*$N24*SIN(RADIANS($K24+$J24)))^2+($B24*$G24*COS(RADIANS($F24))+$I24*$N24*COS(RADIANS($K24+$J24)))^2),"")</f>
        <v/>
      </c>
      <c r="S24" s="97" t="str">
        <f aca="false">IFERROR(($AT24*COS(RADIANS($L24))-$AU24*SIN(RADIANS($L24)))/($C24*SIN(RADIANS($L24-$K24))),"")</f>
        <v/>
      </c>
      <c r="T24" s="97" t="str">
        <f aca="false">IFERROR(($AT24*COS(RADIANS($K24))-$AU24*SIN(RADIANS($K24)))/($D24*SIN(RADIANS($L24-$K24))),"")</f>
        <v/>
      </c>
      <c r="U24" s="97" t="str">
        <f aca="false">IFERROR(MOD(DEGREES(2*ATAN((-$AP24+SQRT($AS24))/(2*$AO24))),360),"")</f>
        <v/>
      </c>
      <c r="V24" s="97" t="str">
        <f aca="false">IFERROR(MOD(DEGREES(2*ATAN((-$AM24+SQRT($AR24))/(2*$AL24))),360),"")</f>
        <v/>
      </c>
      <c r="W24" s="97" t="str">
        <f aca="false">IFERROR(IF(MOD($V24-$U24,180)&gt;90,180-MOD($V24-$U24,180),MOD($V24-$U24,180)),"")</f>
        <v/>
      </c>
      <c r="X24" s="97" t="str">
        <f aca="false">IFERROR($B24*$G24*SIN(RADIANS($V24-$F24))/($C24*SIN(RADIANS($U24-$V24))),"")</f>
        <v/>
      </c>
      <c r="Y24" s="97" t="str">
        <f aca="false">IFERROR($B24*$G24*SIN(RADIANS($F24-$U24))/($D24*SIN(RADIANS($V24-$U24))),"")</f>
        <v/>
      </c>
      <c r="Z24" s="97" t="str">
        <f aca="false">IFERROR(ABS($D24*$Y24),"")</f>
        <v/>
      </c>
      <c r="AA24" s="97" t="str">
        <f aca="false">IFERROR(SQRT((-$B24*$G24*SIN(RADIANS($F24))-$I24*$X24*SIN(RADIANS($U24+$J24)))^2+($B24*$G24*COS(RADIANS($F24))+$I24*$X24*COS(RADIANS($U24+$J24)))^2),"")</f>
        <v/>
      </c>
      <c r="AB24" s="97" t="str">
        <f aca="false">IFERROR(($AV24*COS(RADIANS($V24))-$AW24*SIN(RADIANS($V24)))/($C24*SIN(RADIANS($V24-$U24))),"")</f>
        <v/>
      </c>
      <c r="AC24" s="97" t="str">
        <f aca="false">IFERROR(($AV24*COS(RADIANS($U24))-$AW24*SIN(RADIANS($U24)))/($D24*SIN(RADIANS($V24-$U24))),"")</f>
        <v/>
      </c>
      <c r="AD24" s="98" t="str">
        <f aca="false">IF(COUNT($B24:$E24)&lt;4,"",IF(MIN($B24:$E24)+MAX($B24:$E24)&lt;SUM($B24:$E24)-MIN($B24:$E24)-MAX($B24:$E24),"Grashof",IF(MIN($B24:$E24)+MAX($B24:$E24)=SUM($B24:$E24)-MIN($B24:$E24)-MAX($B24:$E24),"Punto de cambio","No Grashof")))</f>
        <v/>
      </c>
      <c r="AE24" s="98" t="str">
        <f aca="false">IF(COUNT($B24:$E24)&lt;4,"",IF(MIN($B24:$E24)+MAX($B24:$E24)&gt;SUM($B24:$E24)-MIN($B24:$E24)-MAX($B24:$E24),"Triple balancin",IF(MIN($B24:$E24)+MAX($B24:$E24)=SUM($B24:$E24)-MIN($B24:$E24)-MAX($B24:$E24),"Punto de cambio",IF($E24=MIN($B24:$E24),"Doble manivela",IF($C24=MIN($B24:$E24),"Doble balancin","Manivela-balancin")))))</f>
        <v/>
      </c>
      <c r="AG24" s="99" t="str">
        <f aca="false">IFERROR($E24/$B24,"")</f>
        <v/>
      </c>
      <c r="AH24" s="99" t="str">
        <f aca="false">IFERROR($E24/$D24,"")</f>
        <v/>
      </c>
      <c r="AI24" s="99" t="str">
        <f aca="false">IFERROR(($B24^2-$C24^2+$D24^2+$E24^2)/(2*$B24*$D24),"")</f>
        <v/>
      </c>
      <c r="AJ24" s="99" t="str">
        <f aca="false">IFERROR($E24/$C24,"")</f>
        <v/>
      </c>
      <c r="AK24" s="99" t="str">
        <f aca="false">IFERROR(($D24^2-$E24^2-$B24^2-$C24^2)/(2*$B24*$C24),"")</f>
        <v/>
      </c>
      <c r="AL24" s="99" t="str">
        <f aca="false">IFERROR(COS(RADIANS($F24))-$AG24-$AH24*COS(RADIANS($F24))+$AI24,"")</f>
        <v/>
      </c>
      <c r="AM24" s="99" t="str">
        <f aca="false">IFERROR(IF($B24="","",-2*SIN(RADIANS($F24))),"")</f>
        <v/>
      </c>
      <c r="AN24" s="99" t="str">
        <f aca="false">IFERROR($AG24-($AH24+1)*COS(RADIANS($F24))+$AI24,"")</f>
        <v/>
      </c>
      <c r="AO24" s="99" t="str">
        <f aca="false">IFERROR(COS(RADIANS($F24))-$AG24+$AJ24*COS(RADIANS($F24))+$AK24,"")</f>
        <v/>
      </c>
      <c r="AP24" s="99" t="str">
        <f aca="false">IFERROR(IF($B24="","",-2*SIN(RADIANS($F24))),"")</f>
        <v/>
      </c>
      <c r="AQ24" s="99" t="str">
        <f aca="false">IFERROR($AG24+($AJ24-1)*COS(RADIANS($F24))+$AK24,"")</f>
        <v/>
      </c>
      <c r="AR24" s="99" t="str">
        <f aca="false">IFERROR($AM24^2-4*$AL24*$AN24,"")</f>
        <v/>
      </c>
      <c r="AS24" s="99" t="str">
        <f aca="false">IFERROR($AP24^2-4*$AO24*$AQ24,"")</f>
        <v/>
      </c>
      <c r="AT24" s="99" t="str">
        <f aca="false">IFERROR($B24*$H24*SIN(RADIANS($F24))+$B24*$G24^2*COS(RADIANS($F24))+$C24*$N24^2*COS(RADIANS($K24))-$D24*$O24^2*COS(RADIANS($L24)),"")</f>
        <v/>
      </c>
      <c r="AU24" s="99" t="str">
        <f aca="false">IFERROR($B24*$H24*COS(RADIANS($F24))-$B24*$G24^2*SIN(RADIANS($F24))-$C24*$N24^2*SIN(RADIANS($K24))+$D24*$O24^2*SIN(RADIANS($L24)),"")</f>
        <v/>
      </c>
      <c r="AV24" s="99" t="str">
        <f aca="false">IFERROR($B24*$H24*SIN(RADIANS($F24))+$B24*$G24^2*COS(RADIANS($F24))+$C24*$X24^2*COS(RADIANS($U24))-$D24*$Y24^2*COS(RADIANS($V24)),"")</f>
        <v/>
      </c>
      <c r="AW24" s="99" t="str">
        <f aca="false">IFERROR($B24*$H24*COS(RADIANS($F24))-$B24*$G24^2*SIN(RADIANS($F24))-$C24*$X24^2*SIN(RADIANS($U24))+$D24*$Y24^2*SIN(RADIANS($V24)),"")</f>
        <v/>
      </c>
    </row>
    <row r="25" customFormat="false" ht="12" hidden="false" customHeight="true" outlineLevel="0" collapsed="false">
      <c r="A25" s="95" t="n">
        <v>21</v>
      </c>
      <c r="B25" s="96"/>
      <c r="C25" s="96"/>
      <c r="D25" s="96"/>
      <c r="E25" s="96"/>
      <c r="F25" s="96"/>
      <c r="G25" s="96"/>
      <c r="H25" s="96"/>
      <c r="I25" s="96"/>
      <c r="J25" s="96"/>
      <c r="K25" s="97" t="str">
        <f aca="false">IFERROR(MOD(DEGREES(2*ATAN((-$AP25-SQRT($AS25))/(2*$AO25))),360),"")</f>
        <v/>
      </c>
      <c r="L25" s="97" t="str">
        <f aca="false">IFERROR(MOD(DEGREES(2*ATAN((-$AM25-SQRT($AR25))/(2*$AL25))),360),"")</f>
        <v/>
      </c>
      <c r="M25" s="97" t="str">
        <f aca="false">IFERROR(IF(MOD($L25-$K25,180)&gt;90,180-MOD($L25-$K25,180),MOD($L25-$K25,180)),"")</f>
        <v/>
      </c>
      <c r="N25" s="97" t="str">
        <f aca="false">IFERROR($B25*$G25*SIN(RADIANS($L25-$F25))/($C25*SIN(RADIANS($K25-$L25))),"")</f>
        <v/>
      </c>
      <c r="O25" s="97" t="str">
        <f aca="false">IFERROR($B25*$G25*SIN(RADIANS($F25-$K25))/($D25*SIN(RADIANS($L25-$K25))),"")</f>
        <v/>
      </c>
      <c r="P25" s="97" t="str">
        <f aca="false">IFERROR(IF($B25="","",ABS($B25*$G25)),"")</f>
        <v/>
      </c>
      <c r="Q25" s="97" t="str">
        <f aca="false">IFERROR(ABS($D25*$O25),"")</f>
        <v/>
      </c>
      <c r="R25" s="97" t="str">
        <f aca="false">IFERROR(SQRT((-$B25*$G25*SIN(RADIANS($F25))-$I25*$N25*SIN(RADIANS($K25+$J25)))^2+($B25*$G25*COS(RADIANS($F25))+$I25*$N25*COS(RADIANS($K25+$J25)))^2),"")</f>
        <v/>
      </c>
      <c r="S25" s="97" t="str">
        <f aca="false">IFERROR(($AT25*COS(RADIANS($L25))-$AU25*SIN(RADIANS($L25)))/($C25*SIN(RADIANS($L25-$K25))),"")</f>
        <v/>
      </c>
      <c r="T25" s="97" t="str">
        <f aca="false">IFERROR(($AT25*COS(RADIANS($K25))-$AU25*SIN(RADIANS($K25)))/($D25*SIN(RADIANS($L25-$K25))),"")</f>
        <v/>
      </c>
      <c r="U25" s="97" t="str">
        <f aca="false">IFERROR(MOD(DEGREES(2*ATAN((-$AP25+SQRT($AS25))/(2*$AO25))),360),"")</f>
        <v/>
      </c>
      <c r="V25" s="97" t="str">
        <f aca="false">IFERROR(MOD(DEGREES(2*ATAN((-$AM25+SQRT($AR25))/(2*$AL25))),360),"")</f>
        <v/>
      </c>
      <c r="W25" s="97" t="str">
        <f aca="false">IFERROR(IF(MOD($V25-$U25,180)&gt;90,180-MOD($V25-$U25,180),MOD($V25-$U25,180)),"")</f>
        <v/>
      </c>
      <c r="X25" s="97" t="str">
        <f aca="false">IFERROR($B25*$G25*SIN(RADIANS($V25-$F25))/($C25*SIN(RADIANS($U25-$V25))),"")</f>
        <v/>
      </c>
      <c r="Y25" s="97" t="str">
        <f aca="false">IFERROR($B25*$G25*SIN(RADIANS($F25-$U25))/($D25*SIN(RADIANS($V25-$U25))),"")</f>
        <v/>
      </c>
      <c r="Z25" s="97" t="str">
        <f aca="false">IFERROR(ABS($D25*$Y25),"")</f>
        <v/>
      </c>
      <c r="AA25" s="97" t="str">
        <f aca="false">IFERROR(SQRT((-$B25*$G25*SIN(RADIANS($F25))-$I25*$X25*SIN(RADIANS($U25+$J25)))^2+($B25*$G25*COS(RADIANS($F25))+$I25*$X25*COS(RADIANS($U25+$J25)))^2),"")</f>
        <v/>
      </c>
      <c r="AB25" s="97" t="str">
        <f aca="false">IFERROR(($AV25*COS(RADIANS($V25))-$AW25*SIN(RADIANS($V25)))/($C25*SIN(RADIANS($V25-$U25))),"")</f>
        <v/>
      </c>
      <c r="AC25" s="97" t="str">
        <f aca="false">IFERROR(($AV25*COS(RADIANS($U25))-$AW25*SIN(RADIANS($U25)))/($D25*SIN(RADIANS($V25-$U25))),"")</f>
        <v/>
      </c>
      <c r="AD25" s="98" t="str">
        <f aca="false">IF(COUNT($B25:$E25)&lt;4,"",IF(MIN($B25:$E25)+MAX($B25:$E25)&lt;SUM($B25:$E25)-MIN($B25:$E25)-MAX($B25:$E25),"Grashof",IF(MIN($B25:$E25)+MAX($B25:$E25)=SUM($B25:$E25)-MIN($B25:$E25)-MAX($B25:$E25),"Punto de cambio","No Grashof")))</f>
        <v/>
      </c>
      <c r="AE25" s="98" t="str">
        <f aca="false">IF(COUNT($B25:$E25)&lt;4,"",IF(MIN($B25:$E25)+MAX($B25:$E25)&gt;SUM($B25:$E25)-MIN($B25:$E25)-MAX($B25:$E25),"Triple balancin",IF(MIN($B25:$E25)+MAX($B25:$E25)=SUM($B25:$E25)-MIN($B25:$E25)-MAX($B25:$E25),"Punto de cambio",IF($E25=MIN($B25:$E25),"Doble manivela",IF($C25=MIN($B25:$E25),"Doble balancin","Manivela-balancin")))))</f>
        <v/>
      </c>
      <c r="AG25" s="99" t="str">
        <f aca="false">IFERROR($E25/$B25,"")</f>
        <v/>
      </c>
      <c r="AH25" s="99" t="str">
        <f aca="false">IFERROR($E25/$D25,"")</f>
        <v/>
      </c>
      <c r="AI25" s="99" t="str">
        <f aca="false">IFERROR(($B25^2-$C25^2+$D25^2+$E25^2)/(2*$B25*$D25),"")</f>
        <v/>
      </c>
      <c r="AJ25" s="99" t="str">
        <f aca="false">IFERROR($E25/$C25,"")</f>
        <v/>
      </c>
      <c r="AK25" s="99" t="str">
        <f aca="false">IFERROR(($D25^2-$E25^2-$B25^2-$C25^2)/(2*$B25*$C25),"")</f>
        <v/>
      </c>
      <c r="AL25" s="99" t="str">
        <f aca="false">IFERROR(COS(RADIANS($F25))-$AG25-$AH25*COS(RADIANS($F25))+$AI25,"")</f>
        <v/>
      </c>
      <c r="AM25" s="99" t="str">
        <f aca="false">IFERROR(IF($B25="","",-2*SIN(RADIANS($F25))),"")</f>
        <v/>
      </c>
      <c r="AN25" s="99" t="str">
        <f aca="false">IFERROR($AG25-($AH25+1)*COS(RADIANS($F25))+$AI25,"")</f>
        <v/>
      </c>
      <c r="AO25" s="99" t="str">
        <f aca="false">IFERROR(COS(RADIANS($F25))-$AG25+$AJ25*COS(RADIANS($F25))+$AK25,"")</f>
        <v/>
      </c>
      <c r="AP25" s="99" t="str">
        <f aca="false">IFERROR(IF($B25="","",-2*SIN(RADIANS($F25))),"")</f>
        <v/>
      </c>
      <c r="AQ25" s="99" t="str">
        <f aca="false">IFERROR($AG25+($AJ25-1)*COS(RADIANS($F25))+$AK25,"")</f>
        <v/>
      </c>
      <c r="AR25" s="99" t="str">
        <f aca="false">IFERROR($AM25^2-4*$AL25*$AN25,"")</f>
        <v/>
      </c>
      <c r="AS25" s="99" t="str">
        <f aca="false">IFERROR($AP25^2-4*$AO25*$AQ25,"")</f>
        <v/>
      </c>
      <c r="AT25" s="99" t="str">
        <f aca="false">IFERROR($B25*$H25*SIN(RADIANS($F25))+$B25*$G25^2*COS(RADIANS($F25))+$C25*$N25^2*COS(RADIANS($K25))-$D25*$O25^2*COS(RADIANS($L25)),"")</f>
        <v/>
      </c>
      <c r="AU25" s="99" t="str">
        <f aca="false">IFERROR($B25*$H25*COS(RADIANS($F25))-$B25*$G25^2*SIN(RADIANS($F25))-$C25*$N25^2*SIN(RADIANS($K25))+$D25*$O25^2*SIN(RADIANS($L25)),"")</f>
        <v/>
      </c>
      <c r="AV25" s="99" t="str">
        <f aca="false">IFERROR($B25*$H25*SIN(RADIANS($F25))+$B25*$G25^2*COS(RADIANS($F25))+$C25*$X25^2*COS(RADIANS($U25))-$D25*$Y25^2*COS(RADIANS($V25)),"")</f>
        <v/>
      </c>
      <c r="AW25" s="99" t="str">
        <f aca="false">IFERROR($B25*$H25*COS(RADIANS($F25))-$B25*$G25^2*SIN(RADIANS($F25))-$C25*$X25^2*SIN(RADIANS($U25))+$D25*$Y25^2*SIN(RADIANS($V25)),"")</f>
        <v/>
      </c>
    </row>
    <row r="26" customFormat="false" ht="12" hidden="false" customHeight="true" outlineLevel="0" collapsed="false">
      <c r="A26" s="95" t="n">
        <v>22</v>
      </c>
      <c r="B26" s="96"/>
      <c r="C26" s="96"/>
      <c r="D26" s="96"/>
      <c r="E26" s="96"/>
      <c r="F26" s="96"/>
      <c r="G26" s="96"/>
      <c r="H26" s="96"/>
      <c r="I26" s="96"/>
      <c r="J26" s="96"/>
      <c r="K26" s="97" t="str">
        <f aca="false">IFERROR(MOD(DEGREES(2*ATAN((-$AP26-SQRT($AS26))/(2*$AO26))),360),"")</f>
        <v/>
      </c>
      <c r="L26" s="97" t="str">
        <f aca="false">IFERROR(MOD(DEGREES(2*ATAN((-$AM26-SQRT($AR26))/(2*$AL26))),360),"")</f>
        <v/>
      </c>
      <c r="M26" s="97" t="str">
        <f aca="false">IFERROR(IF(MOD($L26-$K26,180)&gt;90,180-MOD($L26-$K26,180),MOD($L26-$K26,180)),"")</f>
        <v/>
      </c>
      <c r="N26" s="97" t="str">
        <f aca="false">IFERROR($B26*$G26*SIN(RADIANS($L26-$F26))/($C26*SIN(RADIANS($K26-$L26))),"")</f>
        <v/>
      </c>
      <c r="O26" s="97" t="str">
        <f aca="false">IFERROR($B26*$G26*SIN(RADIANS($F26-$K26))/($D26*SIN(RADIANS($L26-$K26))),"")</f>
        <v/>
      </c>
      <c r="P26" s="97" t="str">
        <f aca="false">IFERROR(IF($B26="","",ABS($B26*$G26)),"")</f>
        <v/>
      </c>
      <c r="Q26" s="97" t="str">
        <f aca="false">IFERROR(ABS($D26*$O26),"")</f>
        <v/>
      </c>
      <c r="R26" s="97" t="str">
        <f aca="false">IFERROR(SQRT((-$B26*$G26*SIN(RADIANS($F26))-$I26*$N26*SIN(RADIANS($K26+$J26)))^2+($B26*$G26*COS(RADIANS($F26))+$I26*$N26*COS(RADIANS($K26+$J26)))^2),"")</f>
        <v/>
      </c>
      <c r="S26" s="97" t="str">
        <f aca="false">IFERROR(($AT26*COS(RADIANS($L26))-$AU26*SIN(RADIANS($L26)))/($C26*SIN(RADIANS($L26-$K26))),"")</f>
        <v/>
      </c>
      <c r="T26" s="97" t="str">
        <f aca="false">IFERROR(($AT26*COS(RADIANS($K26))-$AU26*SIN(RADIANS($K26)))/($D26*SIN(RADIANS($L26-$K26))),"")</f>
        <v/>
      </c>
      <c r="U26" s="97" t="str">
        <f aca="false">IFERROR(MOD(DEGREES(2*ATAN((-$AP26+SQRT($AS26))/(2*$AO26))),360),"")</f>
        <v/>
      </c>
      <c r="V26" s="97" t="str">
        <f aca="false">IFERROR(MOD(DEGREES(2*ATAN((-$AM26+SQRT($AR26))/(2*$AL26))),360),"")</f>
        <v/>
      </c>
      <c r="W26" s="97" t="str">
        <f aca="false">IFERROR(IF(MOD($V26-$U26,180)&gt;90,180-MOD($V26-$U26,180),MOD($V26-$U26,180)),"")</f>
        <v/>
      </c>
      <c r="X26" s="97" t="str">
        <f aca="false">IFERROR($B26*$G26*SIN(RADIANS($V26-$F26))/($C26*SIN(RADIANS($U26-$V26))),"")</f>
        <v/>
      </c>
      <c r="Y26" s="97" t="str">
        <f aca="false">IFERROR($B26*$G26*SIN(RADIANS($F26-$U26))/($D26*SIN(RADIANS($V26-$U26))),"")</f>
        <v/>
      </c>
      <c r="Z26" s="97" t="str">
        <f aca="false">IFERROR(ABS($D26*$Y26),"")</f>
        <v/>
      </c>
      <c r="AA26" s="97" t="str">
        <f aca="false">IFERROR(SQRT((-$B26*$G26*SIN(RADIANS($F26))-$I26*$X26*SIN(RADIANS($U26+$J26)))^2+($B26*$G26*COS(RADIANS($F26))+$I26*$X26*COS(RADIANS($U26+$J26)))^2),"")</f>
        <v/>
      </c>
      <c r="AB26" s="97" t="str">
        <f aca="false">IFERROR(($AV26*COS(RADIANS($V26))-$AW26*SIN(RADIANS($V26)))/($C26*SIN(RADIANS($V26-$U26))),"")</f>
        <v/>
      </c>
      <c r="AC26" s="97" t="str">
        <f aca="false">IFERROR(($AV26*COS(RADIANS($U26))-$AW26*SIN(RADIANS($U26)))/($D26*SIN(RADIANS($V26-$U26))),"")</f>
        <v/>
      </c>
      <c r="AD26" s="98" t="str">
        <f aca="false">IF(COUNT($B26:$E26)&lt;4,"",IF(MIN($B26:$E26)+MAX($B26:$E26)&lt;SUM($B26:$E26)-MIN($B26:$E26)-MAX($B26:$E26),"Grashof",IF(MIN($B26:$E26)+MAX($B26:$E26)=SUM($B26:$E26)-MIN($B26:$E26)-MAX($B26:$E26),"Punto de cambio","No Grashof")))</f>
        <v/>
      </c>
      <c r="AE26" s="98" t="str">
        <f aca="false">IF(COUNT($B26:$E26)&lt;4,"",IF(MIN($B26:$E26)+MAX($B26:$E26)&gt;SUM($B26:$E26)-MIN($B26:$E26)-MAX($B26:$E26),"Triple balancin",IF(MIN($B26:$E26)+MAX($B26:$E26)=SUM($B26:$E26)-MIN($B26:$E26)-MAX($B26:$E26),"Punto de cambio",IF($E26=MIN($B26:$E26),"Doble manivela",IF($C26=MIN($B26:$E26),"Doble balancin","Manivela-balancin")))))</f>
        <v/>
      </c>
      <c r="AG26" s="99" t="str">
        <f aca="false">IFERROR($E26/$B26,"")</f>
        <v/>
      </c>
      <c r="AH26" s="99" t="str">
        <f aca="false">IFERROR($E26/$D26,"")</f>
        <v/>
      </c>
      <c r="AI26" s="99" t="str">
        <f aca="false">IFERROR(($B26^2-$C26^2+$D26^2+$E26^2)/(2*$B26*$D26),"")</f>
        <v/>
      </c>
      <c r="AJ26" s="99" t="str">
        <f aca="false">IFERROR($E26/$C26,"")</f>
        <v/>
      </c>
      <c r="AK26" s="99" t="str">
        <f aca="false">IFERROR(($D26^2-$E26^2-$B26^2-$C26^2)/(2*$B26*$C26),"")</f>
        <v/>
      </c>
      <c r="AL26" s="99" t="str">
        <f aca="false">IFERROR(COS(RADIANS($F26))-$AG26-$AH26*COS(RADIANS($F26))+$AI26,"")</f>
        <v/>
      </c>
      <c r="AM26" s="99" t="str">
        <f aca="false">IFERROR(IF($B26="","",-2*SIN(RADIANS($F26))),"")</f>
        <v/>
      </c>
      <c r="AN26" s="99" t="str">
        <f aca="false">IFERROR($AG26-($AH26+1)*COS(RADIANS($F26))+$AI26,"")</f>
        <v/>
      </c>
      <c r="AO26" s="99" t="str">
        <f aca="false">IFERROR(COS(RADIANS($F26))-$AG26+$AJ26*COS(RADIANS($F26))+$AK26,"")</f>
        <v/>
      </c>
      <c r="AP26" s="99" t="str">
        <f aca="false">IFERROR(IF($B26="","",-2*SIN(RADIANS($F26))),"")</f>
        <v/>
      </c>
      <c r="AQ26" s="99" t="str">
        <f aca="false">IFERROR($AG26+($AJ26-1)*COS(RADIANS($F26))+$AK26,"")</f>
        <v/>
      </c>
      <c r="AR26" s="99" t="str">
        <f aca="false">IFERROR($AM26^2-4*$AL26*$AN26,"")</f>
        <v/>
      </c>
      <c r="AS26" s="99" t="str">
        <f aca="false">IFERROR($AP26^2-4*$AO26*$AQ26,"")</f>
        <v/>
      </c>
      <c r="AT26" s="99" t="str">
        <f aca="false">IFERROR($B26*$H26*SIN(RADIANS($F26))+$B26*$G26^2*COS(RADIANS($F26))+$C26*$N26^2*COS(RADIANS($K26))-$D26*$O26^2*COS(RADIANS($L26)),"")</f>
        <v/>
      </c>
      <c r="AU26" s="99" t="str">
        <f aca="false">IFERROR($B26*$H26*COS(RADIANS($F26))-$B26*$G26^2*SIN(RADIANS($F26))-$C26*$N26^2*SIN(RADIANS($K26))+$D26*$O26^2*SIN(RADIANS($L26)),"")</f>
        <v/>
      </c>
      <c r="AV26" s="99" t="str">
        <f aca="false">IFERROR($B26*$H26*SIN(RADIANS($F26))+$B26*$G26^2*COS(RADIANS($F26))+$C26*$X26^2*COS(RADIANS($U26))-$D26*$Y26^2*COS(RADIANS($V26)),"")</f>
        <v/>
      </c>
      <c r="AW26" s="99" t="str">
        <f aca="false">IFERROR($B26*$H26*COS(RADIANS($F26))-$B26*$G26^2*SIN(RADIANS($F26))-$C26*$X26^2*SIN(RADIANS($U26))+$D26*$Y26^2*SIN(RADIANS($V26)),"")</f>
        <v/>
      </c>
    </row>
    <row r="27" customFormat="false" ht="12" hidden="false" customHeight="true" outlineLevel="0" collapsed="false">
      <c r="A27" s="95" t="n">
        <v>23</v>
      </c>
      <c r="B27" s="96"/>
      <c r="C27" s="96"/>
      <c r="D27" s="96"/>
      <c r="E27" s="96"/>
      <c r="F27" s="96"/>
      <c r="G27" s="96"/>
      <c r="H27" s="96"/>
      <c r="I27" s="96"/>
      <c r="J27" s="96"/>
      <c r="K27" s="97" t="str">
        <f aca="false">IFERROR(MOD(DEGREES(2*ATAN((-$AP27-SQRT($AS27))/(2*$AO27))),360),"")</f>
        <v/>
      </c>
      <c r="L27" s="97" t="str">
        <f aca="false">IFERROR(MOD(DEGREES(2*ATAN((-$AM27-SQRT($AR27))/(2*$AL27))),360),"")</f>
        <v/>
      </c>
      <c r="M27" s="97" t="str">
        <f aca="false">IFERROR(IF(MOD($L27-$K27,180)&gt;90,180-MOD($L27-$K27,180),MOD($L27-$K27,180)),"")</f>
        <v/>
      </c>
      <c r="N27" s="97" t="str">
        <f aca="false">IFERROR($B27*$G27*SIN(RADIANS($L27-$F27))/($C27*SIN(RADIANS($K27-$L27))),"")</f>
        <v/>
      </c>
      <c r="O27" s="97" t="str">
        <f aca="false">IFERROR($B27*$G27*SIN(RADIANS($F27-$K27))/($D27*SIN(RADIANS($L27-$K27))),"")</f>
        <v/>
      </c>
      <c r="P27" s="97" t="str">
        <f aca="false">IFERROR(IF($B27="","",ABS($B27*$G27)),"")</f>
        <v/>
      </c>
      <c r="Q27" s="97" t="str">
        <f aca="false">IFERROR(ABS($D27*$O27),"")</f>
        <v/>
      </c>
      <c r="R27" s="97" t="str">
        <f aca="false">IFERROR(SQRT((-$B27*$G27*SIN(RADIANS($F27))-$I27*$N27*SIN(RADIANS($K27+$J27)))^2+($B27*$G27*COS(RADIANS($F27))+$I27*$N27*COS(RADIANS($K27+$J27)))^2),"")</f>
        <v/>
      </c>
      <c r="S27" s="97" t="str">
        <f aca="false">IFERROR(($AT27*COS(RADIANS($L27))-$AU27*SIN(RADIANS($L27)))/($C27*SIN(RADIANS($L27-$K27))),"")</f>
        <v/>
      </c>
      <c r="T27" s="97" t="str">
        <f aca="false">IFERROR(($AT27*COS(RADIANS($K27))-$AU27*SIN(RADIANS($K27)))/($D27*SIN(RADIANS($L27-$K27))),"")</f>
        <v/>
      </c>
      <c r="U27" s="97" t="str">
        <f aca="false">IFERROR(MOD(DEGREES(2*ATAN((-$AP27+SQRT($AS27))/(2*$AO27))),360),"")</f>
        <v/>
      </c>
      <c r="V27" s="97" t="str">
        <f aca="false">IFERROR(MOD(DEGREES(2*ATAN((-$AM27+SQRT($AR27))/(2*$AL27))),360),"")</f>
        <v/>
      </c>
      <c r="W27" s="97" t="str">
        <f aca="false">IFERROR(IF(MOD($V27-$U27,180)&gt;90,180-MOD($V27-$U27,180),MOD($V27-$U27,180)),"")</f>
        <v/>
      </c>
      <c r="X27" s="97" t="str">
        <f aca="false">IFERROR($B27*$G27*SIN(RADIANS($V27-$F27))/($C27*SIN(RADIANS($U27-$V27))),"")</f>
        <v/>
      </c>
      <c r="Y27" s="97" t="str">
        <f aca="false">IFERROR($B27*$G27*SIN(RADIANS($F27-$U27))/($D27*SIN(RADIANS($V27-$U27))),"")</f>
        <v/>
      </c>
      <c r="Z27" s="97" t="str">
        <f aca="false">IFERROR(ABS($D27*$Y27),"")</f>
        <v/>
      </c>
      <c r="AA27" s="97" t="str">
        <f aca="false">IFERROR(SQRT((-$B27*$G27*SIN(RADIANS($F27))-$I27*$X27*SIN(RADIANS($U27+$J27)))^2+($B27*$G27*COS(RADIANS($F27))+$I27*$X27*COS(RADIANS($U27+$J27)))^2),"")</f>
        <v/>
      </c>
      <c r="AB27" s="97" t="str">
        <f aca="false">IFERROR(($AV27*COS(RADIANS($V27))-$AW27*SIN(RADIANS($V27)))/($C27*SIN(RADIANS($V27-$U27))),"")</f>
        <v/>
      </c>
      <c r="AC27" s="97" t="str">
        <f aca="false">IFERROR(($AV27*COS(RADIANS($U27))-$AW27*SIN(RADIANS($U27)))/($D27*SIN(RADIANS($V27-$U27))),"")</f>
        <v/>
      </c>
      <c r="AD27" s="98" t="str">
        <f aca="false">IF(COUNT($B27:$E27)&lt;4,"",IF(MIN($B27:$E27)+MAX($B27:$E27)&lt;SUM($B27:$E27)-MIN($B27:$E27)-MAX($B27:$E27),"Grashof",IF(MIN($B27:$E27)+MAX($B27:$E27)=SUM($B27:$E27)-MIN($B27:$E27)-MAX($B27:$E27),"Punto de cambio","No Grashof")))</f>
        <v/>
      </c>
      <c r="AE27" s="98" t="str">
        <f aca="false">IF(COUNT($B27:$E27)&lt;4,"",IF(MIN($B27:$E27)+MAX($B27:$E27)&gt;SUM($B27:$E27)-MIN($B27:$E27)-MAX($B27:$E27),"Triple balancin",IF(MIN($B27:$E27)+MAX($B27:$E27)=SUM($B27:$E27)-MIN($B27:$E27)-MAX($B27:$E27),"Punto de cambio",IF($E27=MIN($B27:$E27),"Doble manivela",IF($C27=MIN($B27:$E27),"Doble balancin","Manivela-balancin")))))</f>
        <v/>
      </c>
      <c r="AG27" s="99" t="str">
        <f aca="false">IFERROR($E27/$B27,"")</f>
        <v/>
      </c>
      <c r="AH27" s="99" t="str">
        <f aca="false">IFERROR($E27/$D27,"")</f>
        <v/>
      </c>
      <c r="AI27" s="99" t="str">
        <f aca="false">IFERROR(($B27^2-$C27^2+$D27^2+$E27^2)/(2*$B27*$D27),"")</f>
        <v/>
      </c>
      <c r="AJ27" s="99" t="str">
        <f aca="false">IFERROR($E27/$C27,"")</f>
        <v/>
      </c>
      <c r="AK27" s="99" t="str">
        <f aca="false">IFERROR(($D27^2-$E27^2-$B27^2-$C27^2)/(2*$B27*$C27),"")</f>
        <v/>
      </c>
      <c r="AL27" s="99" t="str">
        <f aca="false">IFERROR(COS(RADIANS($F27))-$AG27-$AH27*COS(RADIANS($F27))+$AI27,"")</f>
        <v/>
      </c>
      <c r="AM27" s="99" t="str">
        <f aca="false">IFERROR(IF($B27="","",-2*SIN(RADIANS($F27))),"")</f>
        <v/>
      </c>
      <c r="AN27" s="99" t="str">
        <f aca="false">IFERROR($AG27-($AH27+1)*COS(RADIANS($F27))+$AI27,"")</f>
        <v/>
      </c>
      <c r="AO27" s="99" t="str">
        <f aca="false">IFERROR(COS(RADIANS($F27))-$AG27+$AJ27*COS(RADIANS($F27))+$AK27,"")</f>
        <v/>
      </c>
      <c r="AP27" s="99" t="str">
        <f aca="false">IFERROR(IF($B27="","",-2*SIN(RADIANS($F27))),"")</f>
        <v/>
      </c>
      <c r="AQ27" s="99" t="str">
        <f aca="false">IFERROR($AG27+($AJ27-1)*COS(RADIANS($F27))+$AK27,"")</f>
        <v/>
      </c>
      <c r="AR27" s="99" t="str">
        <f aca="false">IFERROR($AM27^2-4*$AL27*$AN27,"")</f>
        <v/>
      </c>
      <c r="AS27" s="99" t="str">
        <f aca="false">IFERROR($AP27^2-4*$AO27*$AQ27,"")</f>
        <v/>
      </c>
      <c r="AT27" s="99" t="str">
        <f aca="false">IFERROR($B27*$H27*SIN(RADIANS($F27))+$B27*$G27^2*COS(RADIANS($F27))+$C27*$N27^2*COS(RADIANS($K27))-$D27*$O27^2*COS(RADIANS($L27)),"")</f>
        <v/>
      </c>
      <c r="AU27" s="99" t="str">
        <f aca="false">IFERROR($B27*$H27*COS(RADIANS($F27))-$B27*$G27^2*SIN(RADIANS($F27))-$C27*$N27^2*SIN(RADIANS($K27))+$D27*$O27^2*SIN(RADIANS($L27)),"")</f>
        <v/>
      </c>
      <c r="AV27" s="99" t="str">
        <f aca="false">IFERROR($B27*$H27*SIN(RADIANS($F27))+$B27*$G27^2*COS(RADIANS($F27))+$C27*$X27^2*COS(RADIANS($U27))-$D27*$Y27^2*COS(RADIANS($V27)),"")</f>
        <v/>
      </c>
      <c r="AW27" s="99" t="str">
        <f aca="false">IFERROR($B27*$H27*COS(RADIANS($F27))-$B27*$G27^2*SIN(RADIANS($F27))-$C27*$X27^2*SIN(RADIANS($U27))+$D27*$Y27^2*SIN(RADIANS($V27)),"")</f>
        <v/>
      </c>
    </row>
    <row r="28" customFormat="false" ht="12" hidden="false" customHeight="true" outlineLevel="0" collapsed="false">
      <c r="A28" s="95" t="n">
        <v>24</v>
      </c>
      <c r="B28" s="96"/>
      <c r="C28" s="96"/>
      <c r="D28" s="96"/>
      <c r="E28" s="96"/>
      <c r="F28" s="96"/>
      <c r="G28" s="96"/>
      <c r="H28" s="96"/>
      <c r="I28" s="96"/>
      <c r="J28" s="96"/>
      <c r="K28" s="97" t="str">
        <f aca="false">IFERROR(MOD(DEGREES(2*ATAN((-$AP28-SQRT($AS28))/(2*$AO28))),360),"")</f>
        <v/>
      </c>
      <c r="L28" s="97" t="str">
        <f aca="false">IFERROR(MOD(DEGREES(2*ATAN((-$AM28-SQRT($AR28))/(2*$AL28))),360),"")</f>
        <v/>
      </c>
      <c r="M28" s="97" t="str">
        <f aca="false">IFERROR(IF(MOD($L28-$K28,180)&gt;90,180-MOD($L28-$K28,180),MOD($L28-$K28,180)),"")</f>
        <v/>
      </c>
      <c r="N28" s="97" t="str">
        <f aca="false">IFERROR($B28*$G28*SIN(RADIANS($L28-$F28))/($C28*SIN(RADIANS($K28-$L28))),"")</f>
        <v/>
      </c>
      <c r="O28" s="97" t="str">
        <f aca="false">IFERROR($B28*$G28*SIN(RADIANS($F28-$K28))/($D28*SIN(RADIANS($L28-$K28))),"")</f>
        <v/>
      </c>
      <c r="P28" s="97" t="str">
        <f aca="false">IFERROR(IF($B28="","",ABS($B28*$G28)),"")</f>
        <v/>
      </c>
      <c r="Q28" s="97" t="str">
        <f aca="false">IFERROR(ABS($D28*$O28),"")</f>
        <v/>
      </c>
      <c r="R28" s="97" t="str">
        <f aca="false">IFERROR(SQRT((-$B28*$G28*SIN(RADIANS($F28))-$I28*$N28*SIN(RADIANS($K28+$J28)))^2+($B28*$G28*COS(RADIANS($F28))+$I28*$N28*COS(RADIANS($K28+$J28)))^2),"")</f>
        <v/>
      </c>
      <c r="S28" s="97" t="str">
        <f aca="false">IFERROR(($AT28*COS(RADIANS($L28))-$AU28*SIN(RADIANS($L28)))/($C28*SIN(RADIANS($L28-$K28))),"")</f>
        <v/>
      </c>
      <c r="T28" s="97" t="str">
        <f aca="false">IFERROR(($AT28*COS(RADIANS($K28))-$AU28*SIN(RADIANS($K28)))/($D28*SIN(RADIANS($L28-$K28))),"")</f>
        <v/>
      </c>
      <c r="U28" s="97" t="str">
        <f aca="false">IFERROR(MOD(DEGREES(2*ATAN((-$AP28+SQRT($AS28))/(2*$AO28))),360),"")</f>
        <v/>
      </c>
      <c r="V28" s="97" t="str">
        <f aca="false">IFERROR(MOD(DEGREES(2*ATAN((-$AM28+SQRT($AR28))/(2*$AL28))),360),"")</f>
        <v/>
      </c>
      <c r="W28" s="97" t="str">
        <f aca="false">IFERROR(IF(MOD($V28-$U28,180)&gt;90,180-MOD($V28-$U28,180),MOD($V28-$U28,180)),"")</f>
        <v/>
      </c>
      <c r="X28" s="97" t="str">
        <f aca="false">IFERROR($B28*$G28*SIN(RADIANS($V28-$F28))/($C28*SIN(RADIANS($U28-$V28))),"")</f>
        <v/>
      </c>
      <c r="Y28" s="97" t="str">
        <f aca="false">IFERROR($B28*$G28*SIN(RADIANS($F28-$U28))/($D28*SIN(RADIANS($V28-$U28))),"")</f>
        <v/>
      </c>
      <c r="Z28" s="97" t="str">
        <f aca="false">IFERROR(ABS($D28*$Y28),"")</f>
        <v/>
      </c>
      <c r="AA28" s="97" t="str">
        <f aca="false">IFERROR(SQRT((-$B28*$G28*SIN(RADIANS($F28))-$I28*$X28*SIN(RADIANS($U28+$J28)))^2+($B28*$G28*COS(RADIANS($F28))+$I28*$X28*COS(RADIANS($U28+$J28)))^2),"")</f>
        <v/>
      </c>
      <c r="AB28" s="97" t="str">
        <f aca="false">IFERROR(($AV28*COS(RADIANS($V28))-$AW28*SIN(RADIANS($V28)))/($C28*SIN(RADIANS($V28-$U28))),"")</f>
        <v/>
      </c>
      <c r="AC28" s="97" t="str">
        <f aca="false">IFERROR(($AV28*COS(RADIANS($U28))-$AW28*SIN(RADIANS($U28)))/($D28*SIN(RADIANS($V28-$U28))),"")</f>
        <v/>
      </c>
      <c r="AD28" s="98" t="str">
        <f aca="false">IF(COUNT($B28:$E28)&lt;4,"",IF(MIN($B28:$E28)+MAX($B28:$E28)&lt;SUM($B28:$E28)-MIN($B28:$E28)-MAX($B28:$E28),"Grashof",IF(MIN($B28:$E28)+MAX($B28:$E28)=SUM($B28:$E28)-MIN($B28:$E28)-MAX($B28:$E28),"Punto de cambio","No Grashof")))</f>
        <v/>
      </c>
      <c r="AE28" s="98" t="str">
        <f aca="false">IF(COUNT($B28:$E28)&lt;4,"",IF(MIN($B28:$E28)+MAX($B28:$E28)&gt;SUM($B28:$E28)-MIN($B28:$E28)-MAX($B28:$E28),"Triple balancin",IF(MIN($B28:$E28)+MAX($B28:$E28)=SUM($B28:$E28)-MIN($B28:$E28)-MAX($B28:$E28),"Punto de cambio",IF($E28=MIN($B28:$E28),"Doble manivela",IF($C28=MIN($B28:$E28),"Doble balancin","Manivela-balancin")))))</f>
        <v/>
      </c>
      <c r="AG28" s="99" t="str">
        <f aca="false">IFERROR($E28/$B28,"")</f>
        <v/>
      </c>
      <c r="AH28" s="99" t="str">
        <f aca="false">IFERROR($E28/$D28,"")</f>
        <v/>
      </c>
      <c r="AI28" s="99" t="str">
        <f aca="false">IFERROR(($B28^2-$C28^2+$D28^2+$E28^2)/(2*$B28*$D28),"")</f>
        <v/>
      </c>
      <c r="AJ28" s="99" t="str">
        <f aca="false">IFERROR($E28/$C28,"")</f>
        <v/>
      </c>
      <c r="AK28" s="99" t="str">
        <f aca="false">IFERROR(($D28^2-$E28^2-$B28^2-$C28^2)/(2*$B28*$C28),"")</f>
        <v/>
      </c>
      <c r="AL28" s="99" t="str">
        <f aca="false">IFERROR(COS(RADIANS($F28))-$AG28-$AH28*COS(RADIANS($F28))+$AI28,"")</f>
        <v/>
      </c>
      <c r="AM28" s="99" t="str">
        <f aca="false">IFERROR(IF($B28="","",-2*SIN(RADIANS($F28))),"")</f>
        <v/>
      </c>
      <c r="AN28" s="99" t="str">
        <f aca="false">IFERROR($AG28-($AH28+1)*COS(RADIANS($F28))+$AI28,"")</f>
        <v/>
      </c>
      <c r="AO28" s="99" t="str">
        <f aca="false">IFERROR(COS(RADIANS($F28))-$AG28+$AJ28*COS(RADIANS($F28))+$AK28,"")</f>
        <v/>
      </c>
      <c r="AP28" s="99" t="str">
        <f aca="false">IFERROR(IF($B28="","",-2*SIN(RADIANS($F28))),"")</f>
        <v/>
      </c>
      <c r="AQ28" s="99" t="str">
        <f aca="false">IFERROR($AG28+($AJ28-1)*COS(RADIANS($F28))+$AK28,"")</f>
        <v/>
      </c>
      <c r="AR28" s="99" t="str">
        <f aca="false">IFERROR($AM28^2-4*$AL28*$AN28,"")</f>
        <v/>
      </c>
      <c r="AS28" s="99" t="str">
        <f aca="false">IFERROR($AP28^2-4*$AO28*$AQ28,"")</f>
        <v/>
      </c>
      <c r="AT28" s="99" t="str">
        <f aca="false">IFERROR($B28*$H28*SIN(RADIANS($F28))+$B28*$G28^2*COS(RADIANS($F28))+$C28*$N28^2*COS(RADIANS($K28))-$D28*$O28^2*COS(RADIANS($L28)),"")</f>
        <v/>
      </c>
      <c r="AU28" s="99" t="str">
        <f aca="false">IFERROR($B28*$H28*COS(RADIANS($F28))-$B28*$G28^2*SIN(RADIANS($F28))-$C28*$N28^2*SIN(RADIANS($K28))+$D28*$O28^2*SIN(RADIANS($L28)),"")</f>
        <v/>
      </c>
      <c r="AV28" s="99" t="str">
        <f aca="false">IFERROR($B28*$H28*SIN(RADIANS($F28))+$B28*$G28^2*COS(RADIANS($F28))+$C28*$X28^2*COS(RADIANS($U28))-$D28*$Y28^2*COS(RADIANS($V28)),"")</f>
        <v/>
      </c>
      <c r="AW28" s="99" t="str">
        <f aca="false">IFERROR($B28*$H28*COS(RADIANS($F28))-$B28*$G28^2*SIN(RADIANS($F28))-$C28*$X28^2*SIN(RADIANS($U28))+$D28*$Y28^2*SIN(RADIANS($V28)),"")</f>
        <v/>
      </c>
    </row>
    <row r="29" customFormat="false" ht="12" hidden="false" customHeight="true" outlineLevel="0" collapsed="false">
      <c r="A29" s="95" t="n">
        <v>25</v>
      </c>
      <c r="B29" s="96"/>
      <c r="C29" s="96"/>
      <c r="D29" s="96"/>
      <c r="E29" s="96"/>
      <c r="F29" s="96"/>
      <c r="G29" s="96"/>
      <c r="H29" s="96"/>
      <c r="I29" s="96"/>
      <c r="J29" s="96"/>
      <c r="K29" s="97" t="str">
        <f aca="false">IFERROR(MOD(DEGREES(2*ATAN((-$AP29-SQRT($AS29))/(2*$AO29))),360),"")</f>
        <v/>
      </c>
      <c r="L29" s="97" t="str">
        <f aca="false">IFERROR(MOD(DEGREES(2*ATAN((-$AM29-SQRT($AR29))/(2*$AL29))),360),"")</f>
        <v/>
      </c>
      <c r="M29" s="97" t="str">
        <f aca="false">IFERROR(IF(MOD($L29-$K29,180)&gt;90,180-MOD($L29-$K29,180),MOD($L29-$K29,180)),"")</f>
        <v/>
      </c>
      <c r="N29" s="97" t="str">
        <f aca="false">IFERROR($B29*$G29*SIN(RADIANS($L29-$F29))/($C29*SIN(RADIANS($K29-$L29))),"")</f>
        <v/>
      </c>
      <c r="O29" s="97" t="str">
        <f aca="false">IFERROR($B29*$G29*SIN(RADIANS($F29-$K29))/($D29*SIN(RADIANS($L29-$K29))),"")</f>
        <v/>
      </c>
      <c r="P29" s="97" t="str">
        <f aca="false">IFERROR(IF($B29="","",ABS($B29*$G29)),"")</f>
        <v/>
      </c>
      <c r="Q29" s="97" t="str">
        <f aca="false">IFERROR(ABS($D29*$O29),"")</f>
        <v/>
      </c>
      <c r="R29" s="97" t="str">
        <f aca="false">IFERROR(SQRT((-$B29*$G29*SIN(RADIANS($F29))-$I29*$N29*SIN(RADIANS($K29+$J29)))^2+($B29*$G29*COS(RADIANS($F29))+$I29*$N29*COS(RADIANS($K29+$J29)))^2),"")</f>
        <v/>
      </c>
      <c r="S29" s="97" t="str">
        <f aca="false">IFERROR(($AT29*COS(RADIANS($L29))-$AU29*SIN(RADIANS($L29)))/($C29*SIN(RADIANS($L29-$K29))),"")</f>
        <v/>
      </c>
      <c r="T29" s="97" t="str">
        <f aca="false">IFERROR(($AT29*COS(RADIANS($K29))-$AU29*SIN(RADIANS($K29)))/($D29*SIN(RADIANS($L29-$K29))),"")</f>
        <v/>
      </c>
      <c r="U29" s="97" t="str">
        <f aca="false">IFERROR(MOD(DEGREES(2*ATAN((-$AP29+SQRT($AS29))/(2*$AO29))),360),"")</f>
        <v/>
      </c>
      <c r="V29" s="97" t="str">
        <f aca="false">IFERROR(MOD(DEGREES(2*ATAN((-$AM29+SQRT($AR29))/(2*$AL29))),360),"")</f>
        <v/>
      </c>
      <c r="W29" s="97" t="str">
        <f aca="false">IFERROR(IF(MOD($V29-$U29,180)&gt;90,180-MOD($V29-$U29,180),MOD($V29-$U29,180)),"")</f>
        <v/>
      </c>
      <c r="X29" s="97" t="str">
        <f aca="false">IFERROR($B29*$G29*SIN(RADIANS($V29-$F29))/($C29*SIN(RADIANS($U29-$V29))),"")</f>
        <v/>
      </c>
      <c r="Y29" s="97" t="str">
        <f aca="false">IFERROR($B29*$G29*SIN(RADIANS($F29-$U29))/($D29*SIN(RADIANS($V29-$U29))),"")</f>
        <v/>
      </c>
      <c r="Z29" s="97" t="str">
        <f aca="false">IFERROR(ABS($D29*$Y29),"")</f>
        <v/>
      </c>
      <c r="AA29" s="97" t="str">
        <f aca="false">IFERROR(SQRT((-$B29*$G29*SIN(RADIANS($F29))-$I29*$X29*SIN(RADIANS($U29+$J29)))^2+($B29*$G29*COS(RADIANS($F29))+$I29*$X29*COS(RADIANS($U29+$J29)))^2),"")</f>
        <v/>
      </c>
      <c r="AB29" s="97" t="str">
        <f aca="false">IFERROR(($AV29*COS(RADIANS($V29))-$AW29*SIN(RADIANS($V29)))/($C29*SIN(RADIANS($V29-$U29))),"")</f>
        <v/>
      </c>
      <c r="AC29" s="97" t="str">
        <f aca="false">IFERROR(($AV29*COS(RADIANS($U29))-$AW29*SIN(RADIANS($U29)))/($D29*SIN(RADIANS($V29-$U29))),"")</f>
        <v/>
      </c>
      <c r="AD29" s="98" t="str">
        <f aca="false">IF(COUNT($B29:$E29)&lt;4,"",IF(MIN($B29:$E29)+MAX($B29:$E29)&lt;SUM($B29:$E29)-MIN($B29:$E29)-MAX($B29:$E29),"Grashof",IF(MIN($B29:$E29)+MAX($B29:$E29)=SUM($B29:$E29)-MIN($B29:$E29)-MAX($B29:$E29),"Punto de cambio","No Grashof")))</f>
        <v/>
      </c>
      <c r="AE29" s="98" t="str">
        <f aca="false">IF(COUNT($B29:$E29)&lt;4,"",IF(MIN($B29:$E29)+MAX($B29:$E29)&gt;SUM($B29:$E29)-MIN($B29:$E29)-MAX($B29:$E29),"Triple balancin",IF(MIN($B29:$E29)+MAX($B29:$E29)=SUM($B29:$E29)-MIN($B29:$E29)-MAX($B29:$E29),"Punto de cambio",IF($E29=MIN($B29:$E29),"Doble manivela",IF($C29=MIN($B29:$E29),"Doble balancin","Manivela-balancin")))))</f>
        <v/>
      </c>
      <c r="AG29" s="99" t="str">
        <f aca="false">IFERROR($E29/$B29,"")</f>
        <v/>
      </c>
      <c r="AH29" s="99" t="str">
        <f aca="false">IFERROR($E29/$D29,"")</f>
        <v/>
      </c>
      <c r="AI29" s="99" t="str">
        <f aca="false">IFERROR(($B29^2-$C29^2+$D29^2+$E29^2)/(2*$B29*$D29),"")</f>
        <v/>
      </c>
      <c r="AJ29" s="99" t="str">
        <f aca="false">IFERROR($E29/$C29,"")</f>
        <v/>
      </c>
      <c r="AK29" s="99" t="str">
        <f aca="false">IFERROR(($D29^2-$E29^2-$B29^2-$C29^2)/(2*$B29*$C29),"")</f>
        <v/>
      </c>
      <c r="AL29" s="99" t="str">
        <f aca="false">IFERROR(COS(RADIANS($F29))-$AG29-$AH29*COS(RADIANS($F29))+$AI29,"")</f>
        <v/>
      </c>
      <c r="AM29" s="99" t="str">
        <f aca="false">IFERROR(IF($B29="","",-2*SIN(RADIANS($F29))),"")</f>
        <v/>
      </c>
      <c r="AN29" s="99" t="str">
        <f aca="false">IFERROR($AG29-($AH29+1)*COS(RADIANS($F29))+$AI29,"")</f>
        <v/>
      </c>
      <c r="AO29" s="99" t="str">
        <f aca="false">IFERROR(COS(RADIANS($F29))-$AG29+$AJ29*COS(RADIANS($F29))+$AK29,"")</f>
        <v/>
      </c>
      <c r="AP29" s="99" t="str">
        <f aca="false">IFERROR(IF($B29="","",-2*SIN(RADIANS($F29))),"")</f>
        <v/>
      </c>
      <c r="AQ29" s="99" t="str">
        <f aca="false">IFERROR($AG29+($AJ29-1)*COS(RADIANS($F29))+$AK29,"")</f>
        <v/>
      </c>
      <c r="AR29" s="99" t="str">
        <f aca="false">IFERROR($AM29^2-4*$AL29*$AN29,"")</f>
        <v/>
      </c>
      <c r="AS29" s="99" t="str">
        <f aca="false">IFERROR($AP29^2-4*$AO29*$AQ29,"")</f>
        <v/>
      </c>
      <c r="AT29" s="99" t="str">
        <f aca="false">IFERROR($B29*$H29*SIN(RADIANS($F29))+$B29*$G29^2*COS(RADIANS($F29))+$C29*$N29^2*COS(RADIANS($K29))-$D29*$O29^2*COS(RADIANS($L29)),"")</f>
        <v/>
      </c>
      <c r="AU29" s="99" t="str">
        <f aca="false">IFERROR($B29*$H29*COS(RADIANS($F29))-$B29*$G29^2*SIN(RADIANS($F29))-$C29*$N29^2*SIN(RADIANS($K29))+$D29*$O29^2*SIN(RADIANS($L29)),"")</f>
        <v/>
      </c>
      <c r="AV29" s="99" t="str">
        <f aca="false">IFERROR($B29*$H29*SIN(RADIANS($F29))+$B29*$G29^2*COS(RADIANS($F29))+$C29*$X29^2*COS(RADIANS($U29))-$D29*$Y29^2*COS(RADIANS($V29)),"")</f>
        <v/>
      </c>
      <c r="AW29" s="99" t="str">
        <f aca="false">IFERROR($B29*$H29*COS(RADIANS($F29))-$B29*$G29^2*SIN(RADIANS($F29))-$C29*$X29^2*SIN(RADIANS($U29))+$D29*$Y29^2*SIN(RADIANS($V29)),"")</f>
        <v/>
      </c>
    </row>
    <row r="30" customFormat="false" ht="12" hidden="false" customHeight="true" outlineLevel="0" collapsed="false">
      <c r="A30" s="95" t="n">
        <v>26</v>
      </c>
      <c r="B30" s="96"/>
      <c r="C30" s="96"/>
      <c r="D30" s="96"/>
      <c r="E30" s="96"/>
      <c r="F30" s="96"/>
      <c r="G30" s="96"/>
      <c r="H30" s="96"/>
      <c r="I30" s="96"/>
      <c r="J30" s="96"/>
      <c r="K30" s="97" t="str">
        <f aca="false">IFERROR(MOD(DEGREES(2*ATAN((-$AP30-SQRT($AS30))/(2*$AO30))),360),"")</f>
        <v/>
      </c>
      <c r="L30" s="97" t="str">
        <f aca="false">IFERROR(MOD(DEGREES(2*ATAN((-$AM30-SQRT($AR30))/(2*$AL30))),360),"")</f>
        <v/>
      </c>
      <c r="M30" s="97" t="str">
        <f aca="false">IFERROR(IF(MOD($L30-$K30,180)&gt;90,180-MOD($L30-$K30,180),MOD($L30-$K30,180)),"")</f>
        <v/>
      </c>
      <c r="N30" s="97" t="str">
        <f aca="false">IFERROR($B30*$G30*SIN(RADIANS($L30-$F30))/($C30*SIN(RADIANS($K30-$L30))),"")</f>
        <v/>
      </c>
      <c r="O30" s="97" t="str">
        <f aca="false">IFERROR($B30*$G30*SIN(RADIANS($F30-$K30))/($D30*SIN(RADIANS($L30-$K30))),"")</f>
        <v/>
      </c>
      <c r="P30" s="97" t="str">
        <f aca="false">IFERROR(IF($B30="","",ABS($B30*$G30)),"")</f>
        <v/>
      </c>
      <c r="Q30" s="97" t="str">
        <f aca="false">IFERROR(ABS($D30*$O30),"")</f>
        <v/>
      </c>
      <c r="R30" s="97" t="str">
        <f aca="false">IFERROR(SQRT((-$B30*$G30*SIN(RADIANS($F30))-$I30*$N30*SIN(RADIANS($K30+$J30)))^2+($B30*$G30*COS(RADIANS($F30))+$I30*$N30*COS(RADIANS($K30+$J30)))^2),"")</f>
        <v/>
      </c>
      <c r="S30" s="97" t="str">
        <f aca="false">IFERROR(($AT30*COS(RADIANS($L30))-$AU30*SIN(RADIANS($L30)))/($C30*SIN(RADIANS($L30-$K30))),"")</f>
        <v/>
      </c>
      <c r="T30" s="97" t="str">
        <f aca="false">IFERROR(($AT30*COS(RADIANS($K30))-$AU30*SIN(RADIANS($K30)))/($D30*SIN(RADIANS($L30-$K30))),"")</f>
        <v/>
      </c>
      <c r="U30" s="97" t="str">
        <f aca="false">IFERROR(MOD(DEGREES(2*ATAN((-$AP30+SQRT($AS30))/(2*$AO30))),360),"")</f>
        <v/>
      </c>
      <c r="V30" s="97" t="str">
        <f aca="false">IFERROR(MOD(DEGREES(2*ATAN((-$AM30+SQRT($AR30))/(2*$AL30))),360),"")</f>
        <v/>
      </c>
      <c r="W30" s="97" t="str">
        <f aca="false">IFERROR(IF(MOD($V30-$U30,180)&gt;90,180-MOD($V30-$U30,180),MOD($V30-$U30,180)),"")</f>
        <v/>
      </c>
      <c r="X30" s="97" t="str">
        <f aca="false">IFERROR($B30*$G30*SIN(RADIANS($V30-$F30))/($C30*SIN(RADIANS($U30-$V30))),"")</f>
        <v/>
      </c>
      <c r="Y30" s="97" t="str">
        <f aca="false">IFERROR($B30*$G30*SIN(RADIANS($F30-$U30))/($D30*SIN(RADIANS($V30-$U30))),"")</f>
        <v/>
      </c>
      <c r="Z30" s="97" t="str">
        <f aca="false">IFERROR(ABS($D30*$Y30),"")</f>
        <v/>
      </c>
      <c r="AA30" s="97" t="str">
        <f aca="false">IFERROR(SQRT((-$B30*$G30*SIN(RADIANS($F30))-$I30*$X30*SIN(RADIANS($U30+$J30)))^2+($B30*$G30*COS(RADIANS($F30))+$I30*$X30*COS(RADIANS($U30+$J30)))^2),"")</f>
        <v/>
      </c>
      <c r="AB30" s="97" t="str">
        <f aca="false">IFERROR(($AV30*COS(RADIANS($V30))-$AW30*SIN(RADIANS($V30)))/($C30*SIN(RADIANS($V30-$U30))),"")</f>
        <v/>
      </c>
      <c r="AC30" s="97" t="str">
        <f aca="false">IFERROR(($AV30*COS(RADIANS($U30))-$AW30*SIN(RADIANS($U30)))/($D30*SIN(RADIANS($V30-$U30))),"")</f>
        <v/>
      </c>
      <c r="AD30" s="98" t="str">
        <f aca="false">IF(COUNT($B30:$E30)&lt;4,"",IF(MIN($B30:$E30)+MAX($B30:$E30)&lt;SUM($B30:$E30)-MIN($B30:$E30)-MAX($B30:$E30),"Grashof",IF(MIN($B30:$E30)+MAX($B30:$E30)=SUM($B30:$E30)-MIN($B30:$E30)-MAX($B30:$E30),"Punto de cambio","No Grashof")))</f>
        <v/>
      </c>
      <c r="AE30" s="98" t="str">
        <f aca="false">IF(COUNT($B30:$E30)&lt;4,"",IF(MIN($B30:$E30)+MAX($B30:$E30)&gt;SUM($B30:$E30)-MIN($B30:$E30)-MAX($B30:$E30),"Triple balancin",IF(MIN($B30:$E30)+MAX($B30:$E30)=SUM($B30:$E30)-MIN($B30:$E30)-MAX($B30:$E30),"Punto de cambio",IF($E30=MIN($B30:$E30),"Doble manivela",IF($C30=MIN($B30:$E30),"Doble balancin","Manivela-balancin")))))</f>
        <v/>
      </c>
      <c r="AG30" s="99" t="str">
        <f aca="false">IFERROR($E30/$B30,"")</f>
        <v/>
      </c>
      <c r="AH30" s="99" t="str">
        <f aca="false">IFERROR($E30/$D30,"")</f>
        <v/>
      </c>
      <c r="AI30" s="99" t="str">
        <f aca="false">IFERROR(($B30^2-$C30^2+$D30^2+$E30^2)/(2*$B30*$D30),"")</f>
        <v/>
      </c>
      <c r="AJ30" s="99" t="str">
        <f aca="false">IFERROR($E30/$C30,"")</f>
        <v/>
      </c>
      <c r="AK30" s="99" t="str">
        <f aca="false">IFERROR(($D30^2-$E30^2-$B30^2-$C30^2)/(2*$B30*$C30),"")</f>
        <v/>
      </c>
      <c r="AL30" s="99" t="str">
        <f aca="false">IFERROR(COS(RADIANS($F30))-$AG30-$AH30*COS(RADIANS($F30))+$AI30,"")</f>
        <v/>
      </c>
      <c r="AM30" s="99" t="str">
        <f aca="false">IFERROR(IF($B30="","",-2*SIN(RADIANS($F30))),"")</f>
        <v/>
      </c>
      <c r="AN30" s="99" t="str">
        <f aca="false">IFERROR($AG30-($AH30+1)*COS(RADIANS($F30))+$AI30,"")</f>
        <v/>
      </c>
      <c r="AO30" s="99" t="str">
        <f aca="false">IFERROR(COS(RADIANS($F30))-$AG30+$AJ30*COS(RADIANS($F30))+$AK30,"")</f>
        <v/>
      </c>
      <c r="AP30" s="99" t="str">
        <f aca="false">IFERROR(IF($B30="","",-2*SIN(RADIANS($F30))),"")</f>
        <v/>
      </c>
      <c r="AQ30" s="99" t="str">
        <f aca="false">IFERROR($AG30+($AJ30-1)*COS(RADIANS($F30))+$AK30,"")</f>
        <v/>
      </c>
      <c r="AR30" s="99" t="str">
        <f aca="false">IFERROR($AM30^2-4*$AL30*$AN30,"")</f>
        <v/>
      </c>
      <c r="AS30" s="99" t="str">
        <f aca="false">IFERROR($AP30^2-4*$AO30*$AQ30,"")</f>
        <v/>
      </c>
      <c r="AT30" s="99" t="str">
        <f aca="false">IFERROR($B30*$H30*SIN(RADIANS($F30))+$B30*$G30^2*COS(RADIANS($F30))+$C30*$N30^2*COS(RADIANS($K30))-$D30*$O30^2*COS(RADIANS($L30)),"")</f>
        <v/>
      </c>
      <c r="AU30" s="99" t="str">
        <f aca="false">IFERROR($B30*$H30*COS(RADIANS($F30))-$B30*$G30^2*SIN(RADIANS($F30))-$C30*$N30^2*SIN(RADIANS($K30))+$D30*$O30^2*SIN(RADIANS($L30)),"")</f>
        <v/>
      </c>
      <c r="AV30" s="99" t="str">
        <f aca="false">IFERROR($B30*$H30*SIN(RADIANS($F30))+$B30*$G30^2*COS(RADIANS($F30))+$C30*$X30^2*COS(RADIANS($U30))-$D30*$Y30^2*COS(RADIANS($V30)),"")</f>
        <v/>
      </c>
      <c r="AW30" s="99" t="str">
        <f aca="false">IFERROR($B30*$H30*COS(RADIANS($F30))-$B30*$G30^2*SIN(RADIANS($F30))-$C30*$X30^2*SIN(RADIANS($U30))+$D30*$Y30^2*SIN(RADIANS($V30)),"")</f>
        <v/>
      </c>
    </row>
    <row r="31" customFormat="false" ht="12" hidden="false" customHeight="true" outlineLevel="0" collapsed="false">
      <c r="A31" s="95" t="n">
        <v>27</v>
      </c>
      <c r="B31" s="96"/>
      <c r="C31" s="96"/>
      <c r="D31" s="96"/>
      <c r="E31" s="96"/>
      <c r="F31" s="96"/>
      <c r="G31" s="96"/>
      <c r="H31" s="96"/>
      <c r="I31" s="96"/>
      <c r="J31" s="96"/>
      <c r="K31" s="97" t="str">
        <f aca="false">IFERROR(MOD(DEGREES(2*ATAN((-$AP31-SQRT($AS31))/(2*$AO31))),360),"")</f>
        <v/>
      </c>
      <c r="L31" s="97" t="str">
        <f aca="false">IFERROR(MOD(DEGREES(2*ATAN((-$AM31-SQRT($AR31))/(2*$AL31))),360),"")</f>
        <v/>
      </c>
      <c r="M31" s="97" t="str">
        <f aca="false">IFERROR(IF(MOD($L31-$K31,180)&gt;90,180-MOD($L31-$K31,180),MOD($L31-$K31,180)),"")</f>
        <v/>
      </c>
      <c r="N31" s="97" t="str">
        <f aca="false">IFERROR($B31*$G31*SIN(RADIANS($L31-$F31))/($C31*SIN(RADIANS($K31-$L31))),"")</f>
        <v/>
      </c>
      <c r="O31" s="97" t="str">
        <f aca="false">IFERROR($B31*$G31*SIN(RADIANS($F31-$K31))/($D31*SIN(RADIANS($L31-$K31))),"")</f>
        <v/>
      </c>
      <c r="P31" s="97" t="str">
        <f aca="false">IFERROR(IF($B31="","",ABS($B31*$G31)),"")</f>
        <v/>
      </c>
      <c r="Q31" s="97" t="str">
        <f aca="false">IFERROR(ABS($D31*$O31),"")</f>
        <v/>
      </c>
      <c r="R31" s="97" t="str">
        <f aca="false">IFERROR(SQRT((-$B31*$G31*SIN(RADIANS($F31))-$I31*$N31*SIN(RADIANS($K31+$J31)))^2+($B31*$G31*COS(RADIANS($F31))+$I31*$N31*COS(RADIANS($K31+$J31)))^2),"")</f>
        <v/>
      </c>
      <c r="S31" s="97" t="str">
        <f aca="false">IFERROR(($AT31*COS(RADIANS($L31))-$AU31*SIN(RADIANS($L31)))/($C31*SIN(RADIANS($L31-$K31))),"")</f>
        <v/>
      </c>
      <c r="T31" s="97" t="str">
        <f aca="false">IFERROR(($AT31*COS(RADIANS($K31))-$AU31*SIN(RADIANS($K31)))/($D31*SIN(RADIANS($L31-$K31))),"")</f>
        <v/>
      </c>
      <c r="U31" s="97" t="str">
        <f aca="false">IFERROR(MOD(DEGREES(2*ATAN((-$AP31+SQRT($AS31))/(2*$AO31))),360),"")</f>
        <v/>
      </c>
      <c r="V31" s="97" t="str">
        <f aca="false">IFERROR(MOD(DEGREES(2*ATAN((-$AM31+SQRT($AR31))/(2*$AL31))),360),"")</f>
        <v/>
      </c>
      <c r="W31" s="97" t="str">
        <f aca="false">IFERROR(IF(MOD($V31-$U31,180)&gt;90,180-MOD($V31-$U31,180),MOD($V31-$U31,180)),"")</f>
        <v/>
      </c>
      <c r="X31" s="97" t="str">
        <f aca="false">IFERROR($B31*$G31*SIN(RADIANS($V31-$F31))/($C31*SIN(RADIANS($U31-$V31))),"")</f>
        <v/>
      </c>
      <c r="Y31" s="97" t="str">
        <f aca="false">IFERROR($B31*$G31*SIN(RADIANS($F31-$U31))/($D31*SIN(RADIANS($V31-$U31))),"")</f>
        <v/>
      </c>
      <c r="Z31" s="97" t="str">
        <f aca="false">IFERROR(ABS($D31*$Y31),"")</f>
        <v/>
      </c>
      <c r="AA31" s="97" t="str">
        <f aca="false">IFERROR(SQRT((-$B31*$G31*SIN(RADIANS($F31))-$I31*$X31*SIN(RADIANS($U31+$J31)))^2+($B31*$G31*COS(RADIANS($F31))+$I31*$X31*COS(RADIANS($U31+$J31)))^2),"")</f>
        <v/>
      </c>
      <c r="AB31" s="97" t="str">
        <f aca="false">IFERROR(($AV31*COS(RADIANS($V31))-$AW31*SIN(RADIANS($V31)))/($C31*SIN(RADIANS($V31-$U31))),"")</f>
        <v/>
      </c>
      <c r="AC31" s="97" t="str">
        <f aca="false">IFERROR(($AV31*COS(RADIANS($U31))-$AW31*SIN(RADIANS($U31)))/($D31*SIN(RADIANS($V31-$U31))),"")</f>
        <v/>
      </c>
      <c r="AD31" s="98" t="str">
        <f aca="false">IF(COUNT($B31:$E31)&lt;4,"",IF(MIN($B31:$E31)+MAX($B31:$E31)&lt;SUM($B31:$E31)-MIN($B31:$E31)-MAX($B31:$E31),"Grashof",IF(MIN($B31:$E31)+MAX($B31:$E31)=SUM($B31:$E31)-MIN($B31:$E31)-MAX($B31:$E31),"Punto de cambio","No Grashof")))</f>
        <v/>
      </c>
      <c r="AE31" s="98" t="str">
        <f aca="false">IF(COUNT($B31:$E31)&lt;4,"",IF(MIN($B31:$E31)+MAX($B31:$E31)&gt;SUM($B31:$E31)-MIN($B31:$E31)-MAX($B31:$E31),"Triple balancin",IF(MIN($B31:$E31)+MAX($B31:$E31)=SUM($B31:$E31)-MIN($B31:$E31)-MAX($B31:$E31),"Punto de cambio",IF($E31=MIN($B31:$E31),"Doble manivela",IF($C31=MIN($B31:$E31),"Doble balancin","Manivela-balancin")))))</f>
        <v/>
      </c>
      <c r="AG31" s="99" t="str">
        <f aca="false">IFERROR($E31/$B31,"")</f>
        <v/>
      </c>
      <c r="AH31" s="99" t="str">
        <f aca="false">IFERROR($E31/$D31,"")</f>
        <v/>
      </c>
      <c r="AI31" s="99" t="str">
        <f aca="false">IFERROR(($B31^2-$C31^2+$D31^2+$E31^2)/(2*$B31*$D31),"")</f>
        <v/>
      </c>
      <c r="AJ31" s="99" t="str">
        <f aca="false">IFERROR($E31/$C31,"")</f>
        <v/>
      </c>
      <c r="AK31" s="99" t="str">
        <f aca="false">IFERROR(($D31^2-$E31^2-$B31^2-$C31^2)/(2*$B31*$C31),"")</f>
        <v/>
      </c>
      <c r="AL31" s="99" t="str">
        <f aca="false">IFERROR(COS(RADIANS($F31))-$AG31-$AH31*COS(RADIANS($F31))+$AI31,"")</f>
        <v/>
      </c>
      <c r="AM31" s="99" t="str">
        <f aca="false">IFERROR(IF($B31="","",-2*SIN(RADIANS($F31))),"")</f>
        <v/>
      </c>
      <c r="AN31" s="99" t="str">
        <f aca="false">IFERROR($AG31-($AH31+1)*COS(RADIANS($F31))+$AI31,"")</f>
        <v/>
      </c>
      <c r="AO31" s="99" t="str">
        <f aca="false">IFERROR(COS(RADIANS($F31))-$AG31+$AJ31*COS(RADIANS($F31))+$AK31,"")</f>
        <v/>
      </c>
      <c r="AP31" s="99" t="str">
        <f aca="false">IFERROR(IF($B31="","",-2*SIN(RADIANS($F31))),"")</f>
        <v/>
      </c>
      <c r="AQ31" s="99" t="str">
        <f aca="false">IFERROR($AG31+($AJ31-1)*COS(RADIANS($F31))+$AK31,"")</f>
        <v/>
      </c>
      <c r="AR31" s="99" t="str">
        <f aca="false">IFERROR($AM31^2-4*$AL31*$AN31,"")</f>
        <v/>
      </c>
      <c r="AS31" s="99" t="str">
        <f aca="false">IFERROR($AP31^2-4*$AO31*$AQ31,"")</f>
        <v/>
      </c>
      <c r="AT31" s="99" t="str">
        <f aca="false">IFERROR($B31*$H31*SIN(RADIANS($F31))+$B31*$G31^2*COS(RADIANS($F31))+$C31*$N31^2*COS(RADIANS($K31))-$D31*$O31^2*COS(RADIANS($L31)),"")</f>
        <v/>
      </c>
      <c r="AU31" s="99" t="str">
        <f aca="false">IFERROR($B31*$H31*COS(RADIANS($F31))-$B31*$G31^2*SIN(RADIANS($F31))-$C31*$N31^2*SIN(RADIANS($K31))+$D31*$O31^2*SIN(RADIANS($L31)),"")</f>
        <v/>
      </c>
      <c r="AV31" s="99" t="str">
        <f aca="false">IFERROR($B31*$H31*SIN(RADIANS($F31))+$B31*$G31^2*COS(RADIANS($F31))+$C31*$X31^2*COS(RADIANS($U31))-$D31*$Y31^2*COS(RADIANS($V31)),"")</f>
        <v/>
      </c>
      <c r="AW31" s="99" t="str">
        <f aca="false">IFERROR($B31*$H31*COS(RADIANS($F31))-$B31*$G31^2*SIN(RADIANS($F31))-$C31*$X31^2*SIN(RADIANS($U31))+$D31*$Y31^2*SIN(RADIANS($V31)),"")</f>
        <v/>
      </c>
    </row>
    <row r="32" customFormat="false" ht="12" hidden="false" customHeight="true" outlineLevel="0" collapsed="false">
      <c r="A32" s="95" t="n">
        <v>28</v>
      </c>
      <c r="B32" s="96"/>
      <c r="C32" s="96"/>
      <c r="D32" s="96"/>
      <c r="E32" s="96"/>
      <c r="F32" s="96"/>
      <c r="G32" s="96"/>
      <c r="H32" s="96"/>
      <c r="I32" s="96"/>
      <c r="J32" s="96"/>
      <c r="K32" s="97" t="str">
        <f aca="false">IFERROR(MOD(DEGREES(2*ATAN((-$AP32-SQRT($AS32))/(2*$AO32))),360),"")</f>
        <v/>
      </c>
      <c r="L32" s="97" t="str">
        <f aca="false">IFERROR(MOD(DEGREES(2*ATAN((-$AM32-SQRT($AR32))/(2*$AL32))),360),"")</f>
        <v/>
      </c>
      <c r="M32" s="97" t="str">
        <f aca="false">IFERROR(IF(MOD($L32-$K32,180)&gt;90,180-MOD($L32-$K32,180),MOD($L32-$K32,180)),"")</f>
        <v/>
      </c>
      <c r="N32" s="97" t="str">
        <f aca="false">IFERROR($B32*$G32*SIN(RADIANS($L32-$F32))/($C32*SIN(RADIANS($K32-$L32))),"")</f>
        <v/>
      </c>
      <c r="O32" s="97" t="str">
        <f aca="false">IFERROR($B32*$G32*SIN(RADIANS($F32-$K32))/($D32*SIN(RADIANS($L32-$K32))),"")</f>
        <v/>
      </c>
      <c r="P32" s="97" t="str">
        <f aca="false">IFERROR(IF($B32="","",ABS($B32*$G32)),"")</f>
        <v/>
      </c>
      <c r="Q32" s="97" t="str">
        <f aca="false">IFERROR(ABS($D32*$O32),"")</f>
        <v/>
      </c>
      <c r="R32" s="97" t="str">
        <f aca="false">IFERROR(SQRT((-$B32*$G32*SIN(RADIANS($F32))-$I32*$N32*SIN(RADIANS($K32+$J32)))^2+($B32*$G32*COS(RADIANS($F32))+$I32*$N32*COS(RADIANS($K32+$J32)))^2),"")</f>
        <v/>
      </c>
      <c r="S32" s="97" t="str">
        <f aca="false">IFERROR(($AT32*COS(RADIANS($L32))-$AU32*SIN(RADIANS($L32)))/($C32*SIN(RADIANS($L32-$K32))),"")</f>
        <v/>
      </c>
      <c r="T32" s="97" t="str">
        <f aca="false">IFERROR(($AT32*COS(RADIANS($K32))-$AU32*SIN(RADIANS($K32)))/($D32*SIN(RADIANS($L32-$K32))),"")</f>
        <v/>
      </c>
      <c r="U32" s="97" t="str">
        <f aca="false">IFERROR(MOD(DEGREES(2*ATAN((-$AP32+SQRT($AS32))/(2*$AO32))),360),"")</f>
        <v/>
      </c>
      <c r="V32" s="97" t="str">
        <f aca="false">IFERROR(MOD(DEGREES(2*ATAN((-$AM32+SQRT($AR32))/(2*$AL32))),360),"")</f>
        <v/>
      </c>
      <c r="W32" s="97" t="str">
        <f aca="false">IFERROR(IF(MOD($V32-$U32,180)&gt;90,180-MOD($V32-$U32,180),MOD($V32-$U32,180)),"")</f>
        <v/>
      </c>
      <c r="X32" s="97" t="str">
        <f aca="false">IFERROR($B32*$G32*SIN(RADIANS($V32-$F32))/($C32*SIN(RADIANS($U32-$V32))),"")</f>
        <v/>
      </c>
      <c r="Y32" s="97" t="str">
        <f aca="false">IFERROR($B32*$G32*SIN(RADIANS($F32-$U32))/($D32*SIN(RADIANS($V32-$U32))),"")</f>
        <v/>
      </c>
      <c r="Z32" s="97" t="str">
        <f aca="false">IFERROR(ABS($D32*$Y32),"")</f>
        <v/>
      </c>
      <c r="AA32" s="97" t="str">
        <f aca="false">IFERROR(SQRT((-$B32*$G32*SIN(RADIANS($F32))-$I32*$X32*SIN(RADIANS($U32+$J32)))^2+($B32*$G32*COS(RADIANS($F32))+$I32*$X32*COS(RADIANS($U32+$J32)))^2),"")</f>
        <v/>
      </c>
      <c r="AB32" s="97" t="str">
        <f aca="false">IFERROR(($AV32*COS(RADIANS($V32))-$AW32*SIN(RADIANS($V32)))/($C32*SIN(RADIANS($V32-$U32))),"")</f>
        <v/>
      </c>
      <c r="AC32" s="97" t="str">
        <f aca="false">IFERROR(($AV32*COS(RADIANS($U32))-$AW32*SIN(RADIANS($U32)))/($D32*SIN(RADIANS($V32-$U32))),"")</f>
        <v/>
      </c>
      <c r="AD32" s="98" t="str">
        <f aca="false">IF(COUNT($B32:$E32)&lt;4,"",IF(MIN($B32:$E32)+MAX($B32:$E32)&lt;SUM($B32:$E32)-MIN($B32:$E32)-MAX($B32:$E32),"Grashof",IF(MIN($B32:$E32)+MAX($B32:$E32)=SUM($B32:$E32)-MIN($B32:$E32)-MAX($B32:$E32),"Punto de cambio","No Grashof")))</f>
        <v/>
      </c>
      <c r="AE32" s="98" t="str">
        <f aca="false">IF(COUNT($B32:$E32)&lt;4,"",IF(MIN($B32:$E32)+MAX($B32:$E32)&gt;SUM($B32:$E32)-MIN($B32:$E32)-MAX($B32:$E32),"Triple balancin",IF(MIN($B32:$E32)+MAX($B32:$E32)=SUM($B32:$E32)-MIN($B32:$E32)-MAX($B32:$E32),"Punto de cambio",IF($E32=MIN($B32:$E32),"Doble manivela",IF($C32=MIN($B32:$E32),"Doble balancin","Manivela-balancin")))))</f>
        <v/>
      </c>
      <c r="AG32" s="99" t="str">
        <f aca="false">IFERROR($E32/$B32,"")</f>
        <v/>
      </c>
      <c r="AH32" s="99" t="str">
        <f aca="false">IFERROR($E32/$D32,"")</f>
        <v/>
      </c>
      <c r="AI32" s="99" t="str">
        <f aca="false">IFERROR(($B32^2-$C32^2+$D32^2+$E32^2)/(2*$B32*$D32),"")</f>
        <v/>
      </c>
      <c r="AJ32" s="99" t="str">
        <f aca="false">IFERROR($E32/$C32,"")</f>
        <v/>
      </c>
      <c r="AK32" s="99" t="str">
        <f aca="false">IFERROR(($D32^2-$E32^2-$B32^2-$C32^2)/(2*$B32*$C32),"")</f>
        <v/>
      </c>
      <c r="AL32" s="99" t="str">
        <f aca="false">IFERROR(COS(RADIANS($F32))-$AG32-$AH32*COS(RADIANS($F32))+$AI32,"")</f>
        <v/>
      </c>
      <c r="AM32" s="99" t="str">
        <f aca="false">IFERROR(IF($B32="","",-2*SIN(RADIANS($F32))),"")</f>
        <v/>
      </c>
      <c r="AN32" s="99" t="str">
        <f aca="false">IFERROR($AG32-($AH32+1)*COS(RADIANS($F32))+$AI32,"")</f>
        <v/>
      </c>
      <c r="AO32" s="99" t="str">
        <f aca="false">IFERROR(COS(RADIANS($F32))-$AG32+$AJ32*COS(RADIANS($F32))+$AK32,"")</f>
        <v/>
      </c>
      <c r="AP32" s="99" t="str">
        <f aca="false">IFERROR(IF($B32="","",-2*SIN(RADIANS($F32))),"")</f>
        <v/>
      </c>
      <c r="AQ32" s="99" t="str">
        <f aca="false">IFERROR($AG32+($AJ32-1)*COS(RADIANS($F32))+$AK32,"")</f>
        <v/>
      </c>
      <c r="AR32" s="99" t="str">
        <f aca="false">IFERROR($AM32^2-4*$AL32*$AN32,"")</f>
        <v/>
      </c>
      <c r="AS32" s="99" t="str">
        <f aca="false">IFERROR($AP32^2-4*$AO32*$AQ32,"")</f>
        <v/>
      </c>
      <c r="AT32" s="99" t="str">
        <f aca="false">IFERROR($B32*$H32*SIN(RADIANS($F32))+$B32*$G32^2*COS(RADIANS($F32))+$C32*$N32^2*COS(RADIANS($K32))-$D32*$O32^2*COS(RADIANS($L32)),"")</f>
        <v/>
      </c>
      <c r="AU32" s="99" t="str">
        <f aca="false">IFERROR($B32*$H32*COS(RADIANS($F32))-$B32*$G32^2*SIN(RADIANS($F32))-$C32*$N32^2*SIN(RADIANS($K32))+$D32*$O32^2*SIN(RADIANS($L32)),"")</f>
        <v/>
      </c>
      <c r="AV32" s="99" t="str">
        <f aca="false">IFERROR($B32*$H32*SIN(RADIANS($F32))+$B32*$G32^2*COS(RADIANS($F32))+$C32*$X32^2*COS(RADIANS($U32))-$D32*$Y32^2*COS(RADIANS($V32)),"")</f>
        <v/>
      </c>
      <c r="AW32" s="99" t="str">
        <f aca="false">IFERROR($B32*$H32*COS(RADIANS($F32))-$B32*$G32^2*SIN(RADIANS($F32))-$C32*$X32^2*SIN(RADIANS($U32))+$D32*$Y32^2*SIN(RADIANS($V32)),"")</f>
        <v/>
      </c>
    </row>
    <row r="33" customFormat="false" ht="12" hidden="false" customHeight="true" outlineLevel="0" collapsed="false">
      <c r="A33" s="95" t="n">
        <v>29</v>
      </c>
      <c r="B33" s="96"/>
      <c r="C33" s="96"/>
      <c r="D33" s="96"/>
      <c r="E33" s="96"/>
      <c r="F33" s="96"/>
      <c r="G33" s="96"/>
      <c r="H33" s="96"/>
      <c r="I33" s="96"/>
      <c r="J33" s="96"/>
      <c r="K33" s="97" t="str">
        <f aca="false">IFERROR(MOD(DEGREES(2*ATAN((-$AP33-SQRT($AS33))/(2*$AO33))),360),"")</f>
        <v/>
      </c>
      <c r="L33" s="97" t="str">
        <f aca="false">IFERROR(MOD(DEGREES(2*ATAN((-$AM33-SQRT($AR33))/(2*$AL33))),360),"")</f>
        <v/>
      </c>
      <c r="M33" s="97" t="str">
        <f aca="false">IFERROR(IF(MOD($L33-$K33,180)&gt;90,180-MOD($L33-$K33,180),MOD($L33-$K33,180)),"")</f>
        <v/>
      </c>
      <c r="N33" s="97" t="str">
        <f aca="false">IFERROR($B33*$G33*SIN(RADIANS($L33-$F33))/($C33*SIN(RADIANS($K33-$L33))),"")</f>
        <v/>
      </c>
      <c r="O33" s="97" t="str">
        <f aca="false">IFERROR($B33*$G33*SIN(RADIANS($F33-$K33))/($D33*SIN(RADIANS($L33-$K33))),"")</f>
        <v/>
      </c>
      <c r="P33" s="97" t="str">
        <f aca="false">IFERROR(IF($B33="","",ABS($B33*$G33)),"")</f>
        <v/>
      </c>
      <c r="Q33" s="97" t="str">
        <f aca="false">IFERROR(ABS($D33*$O33),"")</f>
        <v/>
      </c>
      <c r="R33" s="97" t="str">
        <f aca="false">IFERROR(SQRT((-$B33*$G33*SIN(RADIANS($F33))-$I33*$N33*SIN(RADIANS($K33+$J33)))^2+($B33*$G33*COS(RADIANS($F33))+$I33*$N33*COS(RADIANS($K33+$J33)))^2),"")</f>
        <v/>
      </c>
      <c r="S33" s="97" t="str">
        <f aca="false">IFERROR(($AT33*COS(RADIANS($L33))-$AU33*SIN(RADIANS($L33)))/($C33*SIN(RADIANS($L33-$K33))),"")</f>
        <v/>
      </c>
      <c r="T33" s="97" t="str">
        <f aca="false">IFERROR(($AT33*COS(RADIANS($K33))-$AU33*SIN(RADIANS($K33)))/($D33*SIN(RADIANS($L33-$K33))),"")</f>
        <v/>
      </c>
      <c r="U33" s="97" t="str">
        <f aca="false">IFERROR(MOD(DEGREES(2*ATAN((-$AP33+SQRT($AS33))/(2*$AO33))),360),"")</f>
        <v/>
      </c>
      <c r="V33" s="97" t="str">
        <f aca="false">IFERROR(MOD(DEGREES(2*ATAN((-$AM33+SQRT($AR33))/(2*$AL33))),360),"")</f>
        <v/>
      </c>
      <c r="W33" s="97" t="str">
        <f aca="false">IFERROR(IF(MOD($V33-$U33,180)&gt;90,180-MOD($V33-$U33,180),MOD($V33-$U33,180)),"")</f>
        <v/>
      </c>
      <c r="X33" s="97" t="str">
        <f aca="false">IFERROR($B33*$G33*SIN(RADIANS($V33-$F33))/($C33*SIN(RADIANS($U33-$V33))),"")</f>
        <v/>
      </c>
      <c r="Y33" s="97" t="str">
        <f aca="false">IFERROR($B33*$G33*SIN(RADIANS($F33-$U33))/($D33*SIN(RADIANS($V33-$U33))),"")</f>
        <v/>
      </c>
      <c r="Z33" s="97" t="str">
        <f aca="false">IFERROR(ABS($D33*$Y33),"")</f>
        <v/>
      </c>
      <c r="AA33" s="97" t="str">
        <f aca="false">IFERROR(SQRT((-$B33*$G33*SIN(RADIANS($F33))-$I33*$X33*SIN(RADIANS($U33+$J33)))^2+($B33*$G33*COS(RADIANS($F33))+$I33*$X33*COS(RADIANS($U33+$J33)))^2),"")</f>
        <v/>
      </c>
      <c r="AB33" s="97" t="str">
        <f aca="false">IFERROR(($AV33*COS(RADIANS($V33))-$AW33*SIN(RADIANS($V33)))/($C33*SIN(RADIANS($V33-$U33))),"")</f>
        <v/>
      </c>
      <c r="AC33" s="97" t="str">
        <f aca="false">IFERROR(($AV33*COS(RADIANS($U33))-$AW33*SIN(RADIANS($U33)))/($D33*SIN(RADIANS($V33-$U33))),"")</f>
        <v/>
      </c>
      <c r="AD33" s="98" t="str">
        <f aca="false">IF(COUNT($B33:$E33)&lt;4,"",IF(MIN($B33:$E33)+MAX($B33:$E33)&lt;SUM($B33:$E33)-MIN($B33:$E33)-MAX($B33:$E33),"Grashof",IF(MIN($B33:$E33)+MAX($B33:$E33)=SUM($B33:$E33)-MIN($B33:$E33)-MAX($B33:$E33),"Punto de cambio","No Grashof")))</f>
        <v/>
      </c>
      <c r="AE33" s="98" t="str">
        <f aca="false">IF(COUNT($B33:$E33)&lt;4,"",IF(MIN($B33:$E33)+MAX($B33:$E33)&gt;SUM($B33:$E33)-MIN($B33:$E33)-MAX($B33:$E33),"Triple balancin",IF(MIN($B33:$E33)+MAX($B33:$E33)=SUM($B33:$E33)-MIN($B33:$E33)-MAX($B33:$E33),"Punto de cambio",IF($E33=MIN($B33:$E33),"Doble manivela",IF($C33=MIN($B33:$E33),"Doble balancin","Manivela-balancin")))))</f>
        <v/>
      </c>
      <c r="AG33" s="99" t="str">
        <f aca="false">IFERROR($E33/$B33,"")</f>
        <v/>
      </c>
      <c r="AH33" s="99" t="str">
        <f aca="false">IFERROR($E33/$D33,"")</f>
        <v/>
      </c>
      <c r="AI33" s="99" t="str">
        <f aca="false">IFERROR(($B33^2-$C33^2+$D33^2+$E33^2)/(2*$B33*$D33),"")</f>
        <v/>
      </c>
      <c r="AJ33" s="99" t="str">
        <f aca="false">IFERROR($E33/$C33,"")</f>
        <v/>
      </c>
      <c r="AK33" s="99" t="str">
        <f aca="false">IFERROR(($D33^2-$E33^2-$B33^2-$C33^2)/(2*$B33*$C33),"")</f>
        <v/>
      </c>
      <c r="AL33" s="99" t="str">
        <f aca="false">IFERROR(COS(RADIANS($F33))-$AG33-$AH33*COS(RADIANS($F33))+$AI33,"")</f>
        <v/>
      </c>
      <c r="AM33" s="99" t="str">
        <f aca="false">IFERROR(IF($B33="","",-2*SIN(RADIANS($F33))),"")</f>
        <v/>
      </c>
      <c r="AN33" s="99" t="str">
        <f aca="false">IFERROR($AG33-($AH33+1)*COS(RADIANS($F33))+$AI33,"")</f>
        <v/>
      </c>
      <c r="AO33" s="99" t="str">
        <f aca="false">IFERROR(COS(RADIANS($F33))-$AG33+$AJ33*COS(RADIANS($F33))+$AK33,"")</f>
        <v/>
      </c>
      <c r="AP33" s="99" t="str">
        <f aca="false">IFERROR(IF($B33="","",-2*SIN(RADIANS($F33))),"")</f>
        <v/>
      </c>
      <c r="AQ33" s="99" t="str">
        <f aca="false">IFERROR($AG33+($AJ33-1)*COS(RADIANS($F33))+$AK33,"")</f>
        <v/>
      </c>
      <c r="AR33" s="99" t="str">
        <f aca="false">IFERROR($AM33^2-4*$AL33*$AN33,"")</f>
        <v/>
      </c>
      <c r="AS33" s="99" t="str">
        <f aca="false">IFERROR($AP33^2-4*$AO33*$AQ33,"")</f>
        <v/>
      </c>
      <c r="AT33" s="99" t="str">
        <f aca="false">IFERROR($B33*$H33*SIN(RADIANS($F33))+$B33*$G33^2*COS(RADIANS($F33))+$C33*$N33^2*COS(RADIANS($K33))-$D33*$O33^2*COS(RADIANS($L33)),"")</f>
        <v/>
      </c>
      <c r="AU33" s="99" t="str">
        <f aca="false">IFERROR($B33*$H33*COS(RADIANS($F33))-$B33*$G33^2*SIN(RADIANS($F33))-$C33*$N33^2*SIN(RADIANS($K33))+$D33*$O33^2*SIN(RADIANS($L33)),"")</f>
        <v/>
      </c>
      <c r="AV33" s="99" t="str">
        <f aca="false">IFERROR($B33*$H33*SIN(RADIANS($F33))+$B33*$G33^2*COS(RADIANS($F33))+$C33*$X33^2*COS(RADIANS($U33))-$D33*$Y33^2*COS(RADIANS($V33)),"")</f>
        <v/>
      </c>
      <c r="AW33" s="99" t="str">
        <f aca="false">IFERROR($B33*$H33*COS(RADIANS($F33))-$B33*$G33^2*SIN(RADIANS($F33))-$C33*$X33^2*SIN(RADIANS($U33))+$D33*$Y33^2*SIN(RADIANS($V33)),"")</f>
        <v/>
      </c>
    </row>
    <row r="34" customFormat="false" ht="12" hidden="false" customHeight="true" outlineLevel="0" collapsed="false">
      <c r="A34" s="95" t="n">
        <v>30</v>
      </c>
      <c r="B34" s="96"/>
      <c r="C34" s="96"/>
      <c r="D34" s="96"/>
      <c r="E34" s="96"/>
      <c r="F34" s="96"/>
      <c r="G34" s="96"/>
      <c r="H34" s="96"/>
      <c r="I34" s="96"/>
      <c r="J34" s="96"/>
      <c r="K34" s="97" t="str">
        <f aca="false">IFERROR(MOD(DEGREES(2*ATAN((-$AP34-SQRT($AS34))/(2*$AO34))),360),"")</f>
        <v/>
      </c>
      <c r="L34" s="97" t="str">
        <f aca="false">IFERROR(MOD(DEGREES(2*ATAN((-$AM34-SQRT($AR34))/(2*$AL34))),360),"")</f>
        <v/>
      </c>
      <c r="M34" s="97" t="str">
        <f aca="false">IFERROR(IF(MOD($L34-$K34,180)&gt;90,180-MOD($L34-$K34,180),MOD($L34-$K34,180)),"")</f>
        <v/>
      </c>
      <c r="N34" s="97" t="str">
        <f aca="false">IFERROR($B34*$G34*SIN(RADIANS($L34-$F34))/($C34*SIN(RADIANS($K34-$L34))),"")</f>
        <v/>
      </c>
      <c r="O34" s="97" t="str">
        <f aca="false">IFERROR($B34*$G34*SIN(RADIANS($F34-$K34))/($D34*SIN(RADIANS($L34-$K34))),"")</f>
        <v/>
      </c>
      <c r="P34" s="97" t="str">
        <f aca="false">IFERROR(IF($B34="","",ABS($B34*$G34)),"")</f>
        <v/>
      </c>
      <c r="Q34" s="97" t="str">
        <f aca="false">IFERROR(ABS($D34*$O34),"")</f>
        <v/>
      </c>
      <c r="R34" s="97" t="str">
        <f aca="false">IFERROR(SQRT((-$B34*$G34*SIN(RADIANS($F34))-$I34*$N34*SIN(RADIANS($K34+$J34)))^2+($B34*$G34*COS(RADIANS($F34))+$I34*$N34*COS(RADIANS($K34+$J34)))^2),"")</f>
        <v/>
      </c>
      <c r="S34" s="97" t="str">
        <f aca="false">IFERROR(($AT34*COS(RADIANS($L34))-$AU34*SIN(RADIANS($L34)))/($C34*SIN(RADIANS($L34-$K34))),"")</f>
        <v/>
      </c>
      <c r="T34" s="97" t="str">
        <f aca="false">IFERROR(($AT34*COS(RADIANS($K34))-$AU34*SIN(RADIANS($K34)))/($D34*SIN(RADIANS($L34-$K34))),"")</f>
        <v/>
      </c>
      <c r="U34" s="97" t="str">
        <f aca="false">IFERROR(MOD(DEGREES(2*ATAN((-$AP34+SQRT($AS34))/(2*$AO34))),360),"")</f>
        <v/>
      </c>
      <c r="V34" s="97" t="str">
        <f aca="false">IFERROR(MOD(DEGREES(2*ATAN((-$AM34+SQRT($AR34))/(2*$AL34))),360),"")</f>
        <v/>
      </c>
      <c r="W34" s="97" t="str">
        <f aca="false">IFERROR(IF(MOD($V34-$U34,180)&gt;90,180-MOD($V34-$U34,180),MOD($V34-$U34,180)),"")</f>
        <v/>
      </c>
      <c r="X34" s="97" t="str">
        <f aca="false">IFERROR($B34*$G34*SIN(RADIANS($V34-$F34))/($C34*SIN(RADIANS($U34-$V34))),"")</f>
        <v/>
      </c>
      <c r="Y34" s="97" t="str">
        <f aca="false">IFERROR($B34*$G34*SIN(RADIANS($F34-$U34))/($D34*SIN(RADIANS($V34-$U34))),"")</f>
        <v/>
      </c>
      <c r="Z34" s="97" t="str">
        <f aca="false">IFERROR(ABS($D34*$Y34),"")</f>
        <v/>
      </c>
      <c r="AA34" s="97" t="str">
        <f aca="false">IFERROR(SQRT((-$B34*$G34*SIN(RADIANS($F34))-$I34*$X34*SIN(RADIANS($U34+$J34)))^2+($B34*$G34*COS(RADIANS($F34))+$I34*$X34*COS(RADIANS($U34+$J34)))^2),"")</f>
        <v/>
      </c>
      <c r="AB34" s="97" t="str">
        <f aca="false">IFERROR(($AV34*COS(RADIANS($V34))-$AW34*SIN(RADIANS($V34)))/($C34*SIN(RADIANS($V34-$U34))),"")</f>
        <v/>
      </c>
      <c r="AC34" s="97" t="str">
        <f aca="false">IFERROR(($AV34*COS(RADIANS($U34))-$AW34*SIN(RADIANS($U34)))/($D34*SIN(RADIANS($V34-$U34))),"")</f>
        <v/>
      </c>
      <c r="AD34" s="98" t="str">
        <f aca="false">IF(COUNT($B34:$E34)&lt;4,"",IF(MIN($B34:$E34)+MAX($B34:$E34)&lt;SUM($B34:$E34)-MIN($B34:$E34)-MAX($B34:$E34),"Grashof",IF(MIN($B34:$E34)+MAX($B34:$E34)=SUM($B34:$E34)-MIN($B34:$E34)-MAX($B34:$E34),"Punto de cambio","No Grashof")))</f>
        <v/>
      </c>
      <c r="AE34" s="98" t="str">
        <f aca="false">IF(COUNT($B34:$E34)&lt;4,"",IF(MIN($B34:$E34)+MAX($B34:$E34)&gt;SUM($B34:$E34)-MIN($B34:$E34)-MAX($B34:$E34),"Triple balancin",IF(MIN($B34:$E34)+MAX($B34:$E34)=SUM($B34:$E34)-MIN($B34:$E34)-MAX($B34:$E34),"Punto de cambio",IF($E34=MIN($B34:$E34),"Doble manivela",IF($C34=MIN($B34:$E34),"Doble balancin","Manivela-balancin")))))</f>
        <v/>
      </c>
      <c r="AG34" s="99" t="str">
        <f aca="false">IFERROR($E34/$B34,"")</f>
        <v/>
      </c>
      <c r="AH34" s="99" t="str">
        <f aca="false">IFERROR($E34/$D34,"")</f>
        <v/>
      </c>
      <c r="AI34" s="99" t="str">
        <f aca="false">IFERROR(($B34^2-$C34^2+$D34^2+$E34^2)/(2*$B34*$D34),"")</f>
        <v/>
      </c>
      <c r="AJ34" s="99" t="str">
        <f aca="false">IFERROR($E34/$C34,"")</f>
        <v/>
      </c>
      <c r="AK34" s="99" t="str">
        <f aca="false">IFERROR(($D34^2-$E34^2-$B34^2-$C34^2)/(2*$B34*$C34),"")</f>
        <v/>
      </c>
      <c r="AL34" s="99" t="str">
        <f aca="false">IFERROR(COS(RADIANS($F34))-$AG34-$AH34*COS(RADIANS($F34))+$AI34,"")</f>
        <v/>
      </c>
      <c r="AM34" s="99" t="str">
        <f aca="false">IFERROR(IF($B34="","",-2*SIN(RADIANS($F34))),"")</f>
        <v/>
      </c>
      <c r="AN34" s="99" t="str">
        <f aca="false">IFERROR($AG34-($AH34+1)*COS(RADIANS($F34))+$AI34,"")</f>
        <v/>
      </c>
      <c r="AO34" s="99" t="str">
        <f aca="false">IFERROR(COS(RADIANS($F34))-$AG34+$AJ34*COS(RADIANS($F34))+$AK34,"")</f>
        <v/>
      </c>
      <c r="AP34" s="99" t="str">
        <f aca="false">IFERROR(IF($B34="","",-2*SIN(RADIANS($F34))),"")</f>
        <v/>
      </c>
      <c r="AQ34" s="99" t="str">
        <f aca="false">IFERROR($AG34+($AJ34-1)*COS(RADIANS($F34))+$AK34,"")</f>
        <v/>
      </c>
      <c r="AR34" s="99" t="str">
        <f aca="false">IFERROR($AM34^2-4*$AL34*$AN34,"")</f>
        <v/>
      </c>
      <c r="AS34" s="99" t="str">
        <f aca="false">IFERROR($AP34^2-4*$AO34*$AQ34,"")</f>
        <v/>
      </c>
      <c r="AT34" s="99" t="str">
        <f aca="false">IFERROR($B34*$H34*SIN(RADIANS($F34))+$B34*$G34^2*COS(RADIANS($F34))+$C34*$N34^2*COS(RADIANS($K34))-$D34*$O34^2*COS(RADIANS($L34)),"")</f>
        <v/>
      </c>
      <c r="AU34" s="99" t="str">
        <f aca="false">IFERROR($B34*$H34*COS(RADIANS($F34))-$B34*$G34^2*SIN(RADIANS($F34))-$C34*$N34^2*SIN(RADIANS($K34))+$D34*$O34^2*SIN(RADIANS($L34)),"")</f>
        <v/>
      </c>
      <c r="AV34" s="99" t="str">
        <f aca="false">IFERROR($B34*$H34*SIN(RADIANS($F34))+$B34*$G34^2*COS(RADIANS($F34))+$C34*$X34^2*COS(RADIANS($U34))-$D34*$Y34^2*COS(RADIANS($V34)),"")</f>
        <v/>
      </c>
      <c r="AW34" s="99" t="str">
        <f aca="false">IFERROR($B34*$H34*COS(RADIANS($F34))-$B34*$G34^2*SIN(RADIANS($F34))-$C34*$X34^2*SIN(RADIANS($U34))+$D34*$Y34^2*SIN(RADIANS($V34)),"")</f>
        <v/>
      </c>
    </row>
    <row r="35" customFormat="false" ht="12" hidden="false" customHeight="true" outlineLevel="0" collapsed="false">
      <c r="A35" s="95" t="n">
        <v>31</v>
      </c>
      <c r="B35" s="96"/>
      <c r="C35" s="96"/>
      <c r="D35" s="96"/>
      <c r="E35" s="96"/>
      <c r="F35" s="96"/>
      <c r="G35" s="96"/>
      <c r="H35" s="96"/>
      <c r="I35" s="96"/>
      <c r="J35" s="96"/>
      <c r="K35" s="97" t="str">
        <f aca="false">IFERROR(MOD(DEGREES(2*ATAN((-$AP35-SQRT($AS35))/(2*$AO35))),360),"")</f>
        <v/>
      </c>
      <c r="L35" s="97" t="str">
        <f aca="false">IFERROR(MOD(DEGREES(2*ATAN((-$AM35-SQRT($AR35))/(2*$AL35))),360),"")</f>
        <v/>
      </c>
      <c r="M35" s="97" t="str">
        <f aca="false">IFERROR(IF(MOD($L35-$K35,180)&gt;90,180-MOD($L35-$K35,180),MOD($L35-$K35,180)),"")</f>
        <v/>
      </c>
      <c r="N35" s="97" t="str">
        <f aca="false">IFERROR($B35*$G35*SIN(RADIANS($L35-$F35))/($C35*SIN(RADIANS($K35-$L35))),"")</f>
        <v/>
      </c>
      <c r="O35" s="97" t="str">
        <f aca="false">IFERROR($B35*$G35*SIN(RADIANS($F35-$K35))/($D35*SIN(RADIANS($L35-$K35))),"")</f>
        <v/>
      </c>
      <c r="P35" s="97" t="str">
        <f aca="false">IFERROR(IF($B35="","",ABS($B35*$G35)),"")</f>
        <v/>
      </c>
      <c r="Q35" s="97" t="str">
        <f aca="false">IFERROR(ABS($D35*$O35),"")</f>
        <v/>
      </c>
      <c r="R35" s="97" t="str">
        <f aca="false">IFERROR(SQRT((-$B35*$G35*SIN(RADIANS($F35))-$I35*$N35*SIN(RADIANS($K35+$J35)))^2+($B35*$G35*COS(RADIANS($F35))+$I35*$N35*COS(RADIANS($K35+$J35)))^2),"")</f>
        <v/>
      </c>
      <c r="S35" s="97" t="str">
        <f aca="false">IFERROR(($AT35*COS(RADIANS($L35))-$AU35*SIN(RADIANS($L35)))/($C35*SIN(RADIANS($L35-$K35))),"")</f>
        <v/>
      </c>
      <c r="T35" s="97" t="str">
        <f aca="false">IFERROR(($AT35*COS(RADIANS($K35))-$AU35*SIN(RADIANS($K35)))/($D35*SIN(RADIANS($L35-$K35))),"")</f>
        <v/>
      </c>
      <c r="U35" s="97" t="str">
        <f aca="false">IFERROR(MOD(DEGREES(2*ATAN((-$AP35+SQRT($AS35))/(2*$AO35))),360),"")</f>
        <v/>
      </c>
      <c r="V35" s="97" t="str">
        <f aca="false">IFERROR(MOD(DEGREES(2*ATAN((-$AM35+SQRT($AR35))/(2*$AL35))),360),"")</f>
        <v/>
      </c>
      <c r="W35" s="97" t="str">
        <f aca="false">IFERROR(IF(MOD($V35-$U35,180)&gt;90,180-MOD($V35-$U35,180),MOD($V35-$U35,180)),"")</f>
        <v/>
      </c>
      <c r="X35" s="97" t="str">
        <f aca="false">IFERROR($B35*$G35*SIN(RADIANS($V35-$F35))/($C35*SIN(RADIANS($U35-$V35))),"")</f>
        <v/>
      </c>
      <c r="Y35" s="97" t="str">
        <f aca="false">IFERROR($B35*$G35*SIN(RADIANS($F35-$U35))/($D35*SIN(RADIANS($V35-$U35))),"")</f>
        <v/>
      </c>
      <c r="Z35" s="97" t="str">
        <f aca="false">IFERROR(ABS($D35*$Y35),"")</f>
        <v/>
      </c>
      <c r="AA35" s="97" t="str">
        <f aca="false">IFERROR(SQRT((-$B35*$G35*SIN(RADIANS($F35))-$I35*$X35*SIN(RADIANS($U35+$J35)))^2+($B35*$G35*COS(RADIANS($F35))+$I35*$X35*COS(RADIANS($U35+$J35)))^2),"")</f>
        <v/>
      </c>
      <c r="AB35" s="97" t="str">
        <f aca="false">IFERROR(($AV35*COS(RADIANS($V35))-$AW35*SIN(RADIANS($V35)))/($C35*SIN(RADIANS($V35-$U35))),"")</f>
        <v/>
      </c>
      <c r="AC35" s="97" t="str">
        <f aca="false">IFERROR(($AV35*COS(RADIANS($U35))-$AW35*SIN(RADIANS($U35)))/($D35*SIN(RADIANS($V35-$U35))),"")</f>
        <v/>
      </c>
      <c r="AD35" s="98" t="str">
        <f aca="false">IF(COUNT($B35:$E35)&lt;4,"",IF(MIN($B35:$E35)+MAX($B35:$E35)&lt;SUM($B35:$E35)-MIN($B35:$E35)-MAX($B35:$E35),"Grashof",IF(MIN($B35:$E35)+MAX($B35:$E35)=SUM($B35:$E35)-MIN($B35:$E35)-MAX($B35:$E35),"Punto de cambio","No Grashof")))</f>
        <v/>
      </c>
      <c r="AE35" s="98" t="str">
        <f aca="false">IF(COUNT($B35:$E35)&lt;4,"",IF(MIN($B35:$E35)+MAX($B35:$E35)&gt;SUM($B35:$E35)-MIN($B35:$E35)-MAX($B35:$E35),"Triple balancin",IF(MIN($B35:$E35)+MAX($B35:$E35)=SUM($B35:$E35)-MIN($B35:$E35)-MAX($B35:$E35),"Punto de cambio",IF($E35=MIN($B35:$E35),"Doble manivela",IF($C35=MIN($B35:$E35),"Doble balancin","Manivela-balancin")))))</f>
        <v/>
      </c>
      <c r="AG35" s="99" t="str">
        <f aca="false">IFERROR($E35/$B35,"")</f>
        <v/>
      </c>
      <c r="AH35" s="99" t="str">
        <f aca="false">IFERROR($E35/$D35,"")</f>
        <v/>
      </c>
      <c r="AI35" s="99" t="str">
        <f aca="false">IFERROR(($B35^2-$C35^2+$D35^2+$E35^2)/(2*$B35*$D35),"")</f>
        <v/>
      </c>
      <c r="AJ35" s="99" t="str">
        <f aca="false">IFERROR($E35/$C35,"")</f>
        <v/>
      </c>
      <c r="AK35" s="99" t="str">
        <f aca="false">IFERROR(($D35^2-$E35^2-$B35^2-$C35^2)/(2*$B35*$C35),"")</f>
        <v/>
      </c>
      <c r="AL35" s="99" t="str">
        <f aca="false">IFERROR(COS(RADIANS($F35))-$AG35-$AH35*COS(RADIANS($F35))+$AI35,"")</f>
        <v/>
      </c>
      <c r="AM35" s="99" t="str">
        <f aca="false">IFERROR(IF($B35="","",-2*SIN(RADIANS($F35))),"")</f>
        <v/>
      </c>
      <c r="AN35" s="99" t="str">
        <f aca="false">IFERROR($AG35-($AH35+1)*COS(RADIANS($F35))+$AI35,"")</f>
        <v/>
      </c>
      <c r="AO35" s="99" t="str">
        <f aca="false">IFERROR(COS(RADIANS($F35))-$AG35+$AJ35*COS(RADIANS($F35))+$AK35,"")</f>
        <v/>
      </c>
      <c r="AP35" s="99" t="str">
        <f aca="false">IFERROR(IF($B35="","",-2*SIN(RADIANS($F35))),"")</f>
        <v/>
      </c>
      <c r="AQ35" s="99" t="str">
        <f aca="false">IFERROR($AG35+($AJ35-1)*COS(RADIANS($F35))+$AK35,"")</f>
        <v/>
      </c>
      <c r="AR35" s="99" t="str">
        <f aca="false">IFERROR($AM35^2-4*$AL35*$AN35,"")</f>
        <v/>
      </c>
      <c r="AS35" s="99" t="str">
        <f aca="false">IFERROR($AP35^2-4*$AO35*$AQ35,"")</f>
        <v/>
      </c>
      <c r="AT35" s="99" t="str">
        <f aca="false">IFERROR($B35*$H35*SIN(RADIANS($F35))+$B35*$G35^2*COS(RADIANS($F35))+$C35*$N35^2*COS(RADIANS($K35))-$D35*$O35^2*COS(RADIANS($L35)),"")</f>
        <v/>
      </c>
      <c r="AU35" s="99" t="str">
        <f aca="false">IFERROR($B35*$H35*COS(RADIANS($F35))-$B35*$G35^2*SIN(RADIANS($F35))-$C35*$N35^2*SIN(RADIANS($K35))+$D35*$O35^2*SIN(RADIANS($L35)),"")</f>
        <v/>
      </c>
      <c r="AV35" s="99" t="str">
        <f aca="false">IFERROR($B35*$H35*SIN(RADIANS($F35))+$B35*$G35^2*COS(RADIANS($F35))+$C35*$X35^2*COS(RADIANS($U35))-$D35*$Y35^2*COS(RADIANS($V35)),"")</f>
        <v/>
      </c>
      <c r="AW35" s="99" t="str">
        <f aca="false">IFERROR($B35*$H35*COS(RADIANS($F35))-$B35*$G35^2*SIN(RADIANS($F35))-$C35*$X35^2*SIN(RADIANS($U35))+$D35*$Y35^2*SIN(RADIANS($V35)),"")</f>
        <v/>
      </c>
    </row>
    <row r="36" customFormat="false" ht="12" hidden="false" customHeight="true" outlineLevel="0" collapsed="false">
      <c r="A36" s="95" t="n">
        <v>32</v>
      </c>
      <c r="B36" s="96"/>
      <c r="C36" s="96"/>
      <c r="D36" s="96"/>
      <c r="E36" s="96"/>
      <c r="F36" s="96"/>
      <c r="G36" s="96"/>
      <c r="H36" s="96"/>
      <c r="I36" s="96"/>
      <c r="J36" s="96"/>
      <c r="K36" s="97" t="str">
        <f aca="false">IFERROR(MOD(DEGREES(2*ATAN((-$AP36-SQRT($AS36))/(2*$AO36))),360),"")</f>
        <v/>
      </c>
      <c r="L36" s="97" t="str">
        <f aca="false">IFERROR(MOD(DEGREES(2*ATAN((-$AM36-SQRT($AR36))/(2*$AL36))),360),"")</f>
        <v/>
      </c>
      <c r="M36" s="97" t="str">
        <f aca="false">IFERROR(IF(MOD($L36-$K36,180)&gt;90,180-MOD($L36-$K36,180),MOD($L36-$K36,180)),"")</f>
        <v/>
      </c>
      <c r="N36" s="97" t="str">
        <f aca="false">IFERROR($B36*$G36*SIN(RADIANS($L36-$F36))/($C36*SIN(RADIANS($K36-$L36))),"")</f>
        <v/>
      </c>
      <c r="O36" s="97" t="str">
        <f aca="false">IFERROR($B36*$G36*SIN(RADIANS($F36-$K36))/($D36*SIN(RADIANS($L36-$K36))),"")</f>
        <v/>
      </c>
      <c r="P36" s="97" t="str">
        <f aca="false">IFERROR(IF($B36="","",ABS($B36*$G36)),"")</f>
        <v/>
      </c>
      <c r="Q36" s="97" t="str">
        <f aca="false">IFERROR(ABS($D36*$O36),"")</f>
        <v/>
      </c>
      <c r="R36" s="97" t="str">
        <f aca="false">IFERROR(SQRT((-$B36*$G36*SIN(RADIANS($F36))-$I36*$N36*SIN(RADIANS($K36+$J36)))^2+($B36*$G36*COS(RADIANS($F36))+$I36*$N36*COS(RADIANS($K36+$J36)))^2),"")</f>
        <v/>
      </c>
      <c r="S36" s="97" t="str">
        <f aca="false">IFERROR(($AT36*COS(RADIANS($L36))-$AU36*SIN(RADIANS($L36)))/($C36*SIN(RADIANS($L36-$K36))),"")</f>
        <v/>
      </c>
      <c r="T36" s="97" t="str">
        <f aca="false">IFERROR(($AT36*COS(RADIANS($K36))-$AU36*SIN(RADIANS($K36)))/($D36*SIN(RADIANS($L36-$K36))),"")</f>
        <v/>
      </c>
      <c r="U36" s="97" t="str">
        <f aca="false">IFERROR(MOD(DEGREES(2*ATAN((-$AP36+SQRT($AS36))/(2*$AO36))),360),"")</f>
        <v/>
      </c>
      <c r="V36" s="97" t="str">
        <f aca="false">IFERROR(MOD(DEGREES(2*ATAN((-$AM36+SQRT($AR36))/(2*$AL36))),360),"")</f>
        <v/>
      </c>
      <c r="W36" s="97" t="str">
        <f aca="false">IFERROR(IF(MOD($V36-$U36,180)&gt;90,180-MOD($V36-$U36,180),MOD($V36-$U36,180)),"")</f>
        <v/>
      </c>
      <c r="X36" s="97" t="str">
        <f aca="false">IFERROR($B36*$G36*SIN(RADIANS($V36-$F36))/($C36*SIN(RADIANS($U36-$V36))),"")</f>
        <v/>
      </c>
      <c r="Y36" s="97" t="str">
        <f aca="false">IFERROR($B36*$G36*SIN(RADIANS($F36-$U36))/($D36*SIN(RADIANS($V36-$U36))),"")</f>
        <v/>
      </c>
      <c r="Z36" s="97" t="str">
        <f aca="false">IFERROR(ABS($D36*$Y36),"")</f>
        <v/>
      </c>
      <c r="AA36" s="97" t="str">
        <f aca="false">IFERROR(SQRT((-$B36*$G36*SIN(RADIANS($F36))-$I36*$X36*SIN(RADIANS($U36+$J36)))^2+($B36*$G36*COS(RADIANS($F36))+$I36*$X36*COS(RADIANS($U36+$J36)))^2),"")</f>
        <v/>
      </c>
      <c r="AB36" s="97" t="str">
        <f aca="false">IFERROR(($AV36*COS(RADIANS($V36))-$AW36*SIN(RADIANS($V36)))/($C36*SIN(RADIANS($V36-$U36))),"")</f>
        <v/>
      </c>
      <c r="AC36" s="97" t="str">
        <f aca="false">IFERROR(($AV36*COS(RADIANS($U36))-$AW36*SIN(RADIANS($U36)))/($D36*SIN(RADIANS($V36-$U36))),"")</f>
        <v/>
      </c>
      <c r="AD36" s="98" t="str">
        <f aca="false">IF(COUNT($B36:$E36)&lt;4,"",IF(MIN($B36:$E36)+MAX($B36:$E36)&lt;SUM($B36:$E36)-MIN($B36:$E36)-MAX($B36:$E36),"Grashof",IF(MIN($B36:$E36)+MAX($B36:$E36)=SUM($B36:$E36)-MIN($B36:$E36)-MAX($B36:$E36),"Punto de cambio","No Grashof")))</f>
        <v/>
      </c>
      <c r="AE36" s="98" t="str">
        <f aca="false">IF(COUNT($B36:$E36)&lt;4,"",IF(MIN($B36:$E36)+MAX($B36:$E36)&gt;SUM($B36:$E36)-MIN($B36:$E36)-MAX($B36:$E36),"Triple balancin",IF(MIN($B36:$E36)+MAX($B36:$E36)=SUM($B36:$E36)-MIN($B36:$E36)-MAX($B36:$E36),"Punto de cambio",IF($E36=MIN($B36:$E36),"Doble manivela",IF($C36=MIN($B36:$E36),"Doble balancin","Manivela-balancin")))))</f>
        <v/>
      </c>
      <c r="AG36" s="99" t="str">
        <f aca="false">IFERROR($E36/$B36,"")</f>
        <v/>
      </c>
      <c r="AH36" s="99" t="str">
        <f aca="false">IFERROR($E36/$D36,"")</f>
        <v/>
      </c>
      <c r="AI36" s="99" t="str">
        <f aca="false">IFERROR(($B36^2-$C36^2+$D36^2+$E36^2)/(2*$B36*$D36),"")</f>
        <v/>
      </c>
      <c r="AJ36" s="99" t="str">
        <f aca="false">IFERROR($E36/$C36,"")</f>
        <v/>
      </c>
      <c r="AK36" s="99" t="str">
        <f aca="false">IFERROR(($D36^2-$E36^2-$B36^2-$C36^2)/(2*$B36*$C36),"")</f>
        <v/>
      </c>
      <c r="AL36" s="99" t="str">
        <f aca="false">IFERROR(COS(RADIANS($F36))-$AG36-$AH36*COS(RADIANS($F36))+$AI36,"")</f>
        <v/>
      </c>
      <c r="AM36" s="99" t="str">
        <f aca="false">IFERROR(IF($B36="","",-2*SIN(RADIANS($F36))),"")</f>
        <v/>
      </c>
      <c r="AN36" s="99" t="str">
        <f aca="false">IFERROR($AG36-($AH36+1)*COS(RADIANS($F36))+$AI36,"")</f>
        <v/>
      </c>
      <c r="AO36" s="99" t="str">
        <f aca="false">IFERROR(COS(RADIANS($F36))-$AG36+$AJ36*COS(RADIANS($F36))+$AK36,"")</f>
        <v/>
      </c>
      <c r="AP36" s="99" t="str">
        <f aca="false">IFERROR(IF($B36="","",-2*SIN(RADIANS($F36))),"")</f>
        <v/>
      </c>
      <c r="AQ36" s="99" t="str">
        <f aca="false">IFERROR($AG36+($AJ36-1)*COS(RADIANS($F36))+$AK36,"")</f>
        <v/>
      </c>
      <c r="AR36" s="99" t="str">
        <f aca="false">IFERROR($AM36^2-4*$AL36*$AN36,"")</f>
        <v/>
      </c>
      <c r="AS36" s="99" t="str">
        <f aca="false">IFERROR($AP36^2-4*$AO36*$AQ36,"")</f>
        <v/>
      </c>
      <c r="AT36" s="99" t="str">
        <f aca="false">IFERROR($B36*$H36*SIN(RADIANS($F36))+$B36*$G36^2*COS(RADIANS($F36))+$C36*$N36^2*COS(RADIANS($K36))-$D36*$O36^2*COS(RADIANS($L36)),"")</f>
        <v/>
      </c>
      <c r="AU36" s="99" t="str">
        <f aca="false">IFERROR($B36*$H36*COS(RADIANS($F36))-$B36*$G36^2*SIN(RADIANS($F36))-$C36*$N36^2*SIN(RADIANS($K36))+$D36*$O36^2*SIN(RADIANS($L36)),"")</f>
        <v/>
      </c>
      <c r="AV36" s="99" t="str">
        <f aca="false">IFERROR($B36*$H36*SIN(RADIANS($F36))+$B36*$G36^2*COS(RADIANS($F36))+$C36*$X36^2*COS(RADIANS($U36))-$D36*$Y36^2*COS(RADIANS($V36)),"")</f>
        <v/>
      </c>
      <c r="AW36" s="99" t="str">
        <f aca="false">IFERROR($B36*$H36*COS(RADIANS($F36))-$B36*$G36^2*SIN(RADIANS($F36))-$C36*$X36^2*SIN(RADIANS($U36))+$D36*$Y36^2*SIN(RADIANS($V36)),"")</f>
        <v/>
      </c>
    </row>
    <row r="37" customFormat="false" ht="12" hidden="false" customHeight="true" outlineLevel="0" collapsed="false">
      <c r="A37" s="95" t="n">
        <v>33</v>
      </c>
      <c r="B37" s="96"/>
      <c r="C37" s="96"/>
      <c r="D37" s="96"/>
      <c r="E37" s="96"/>
      <c r="F37" s="96"/>
      <c r="G37" s="96"/>
      <c r="H37" s="96"/>
      <c r="I37" s="96"/>
      <c r="J37" s="96"/>
      <c r="K37" s="97" t="str">
        <f aca="false">IFERROR(MOD(DEGREES(2*ATAN((-$AP37-SQRT($AS37))/(2*$AO37))),360),"")</f>
        <v/>
      </c>
      <c r="L37" s="97" t="str">
        <f aca="false">IFERROR(MOD(DEGREES(2*ATAN((-$AM37-SQRT($AR37))/(2*$AL37))),360),"")</f>
        <v/>
      </c>
      <c r="M37" s="97" t="str">
        <f aca="false">IFERROR(IF(MOD($L37-$K37,180)&gt;90,180-MOD($L37-$K37,180),MOD($L37-$K37,180)),"")</f>
        <v/>
      </c>
      <c r="N37" s="97" t="str">
        <f aca="false">IFERROR($B37*$G37*SIN(RADIANS($L37-$F37))/($C37*SIN(RADIANS($K37-$L37))),"")</f>
        <v/>
      </c>
      <c r="O37" s="97" t="str">
        <f aca="false">IFERROR($B37*$G37*SIN(RADIANS($F37-$K37))/($D37*SIN(RADIANS($L37-$K37))),"")</f>
        <v/>
      </c>
      <c r="P37" s="97" t="str">
        <f aca="false">IFERROR(IF($B37="","",ABS($B37*$G37)),"")</f>
        <v/>
      </c>
      <c r="Q37" s="97" t="str">
        <f aca="false">IFERROR(ABS($D37*$O37),"")</f>
        <v/>
      </c>
      <c r="R37" s="97" t="str">
        <f aca="false">IFERROR(SQRT((-$B37*$G37*SIN(RADIANS($F37))-$I37*$N37*SIN(RADIANS($K37+$J37)))^2+($B37*$G37*COS(RADIANS($F37))+$I37*$N37*COS(RADIANS($K37+$J37)))^2),"")</f>
        <v/>
      </c>
      <c r="S37" s="97" t="str">
        <f aca="false">IFERROR(($AT37*COS(RADIANS($L37))-$AU37*SIN(RADIANS($L37)))/($C37*SIN(RADIANS($L37-$K37))),"")</f>
        <v/>
      </c>
      <c r="T37" s="97" t="str">
        <f aca="false">IFERROR(($AT37*COS(RADIANS($K37))-$AU37*SIN(RADIANS($K37)))/($D37*SIN(RADIANS($L37-$K37))),"")</f>
        <v/>
      </c>
      <c r="U37" s="97" t="str">
        <f aca="false">IFERROR(MOD(DEGREES(2*ATAN((-$AP37+SQRT($AS37))/(2*$AO37))),360),"")</f>
        <v/>
      </c>
      <c r="V37" s="97" t="str">
        <f aca="false">IFERROR(MOD(DEGREES(2*ATAN((-$AM37+SQRT($AR37))/(2*$AL37))),360),"")</f>
        <v/>
      </c>
      <c r="W37" s="97" t="str">
        <f aca="false">IFERROR(IF(MOD($V37-$U37,180)&gt;90,180-MOD($V37-$U37,180),MOD($V37-$U37,180)),"")</f>
        <v/>
      </c>
      <c r="X37" s="97" t="str">
        <f aca="false">IFERROR($B37*$G37*SIN(RADIANS($V37-$F37))/($C37*SIN(RADIANS($U37-$V37))),"")</f>
        <v/>
      </c>
      <c r="Y37" s="97" t="str">
        <f aca="false">IFERROR($B37*$G37*SIN(RADIANS($F37-$U37))/($D37*SIN(RADIANS($V37-$U37))),"")</f>
        <v/>
      </c>
      <c r="Z37" s="97" t="str">
        <f aca="false">IFERROR(ABS($D37*$Y37),"")</f>
        <v/>
      </c>
      <c r="AA37" s="97" t="str">
        <f aca="false">IFERROR(SQRT((-$B37*$G37*SIN(RADIANS($F37))-$I37*$X37*SIN(RADIANS($U37+$J37)))^2+($B37*$G37*COS(RADIANS($F37))+$I37*$X37*COS(RADIANS($U37+$J37)))^2),"")</f>
        <v/>
      </c>
      <c r="AB37" s="97" t="str">
        <f aca="false">IFERROR(($AV37*COS(RADIANS($V37))-$AW37*SIN(RADIANS($V37)))/($C37*SIN(RADIANS($V37-$U37))),"")</f>
        <v/>
      </c>
      <c r="AC37" s="97" t="str">
        <f aca="false">IFERROR(($AV37*COS(RADIANS($U37))-$AW37*SIN(RADIANS($U37)))/($D37*SIN(RADIANS($V37-$U37))),"")</f>
        <v/>
      </c>
      <c r="AD37" s="98" t="str">
        <f aca="false">IF(COUNT($B37:$E37)&lt;4,"",IF(MIN($B37:$E37)+MAX($B37:$E37)&lt;SUM($B37:$E37)-MIN($B37:$E37)-MAX($B37:$E37),"Grashof",IF(MIN($B37:$E37)+MAX($B37:$E37)=SUM($B37:$E37)-MIN($B37:$E37)-MAX($B37:$E37),"Punto de cambio","No Grashof")))</f>
        <v/>
      </c>
      <c r="AE37" s="98" t="str">
        <f aca="false">IF(COUNT($B37:$E37)&lt;4,"",IF(MIN($B37:$E37)+MAX($B37:$E37)&gt;SUM($B37:$E37)-MIN($B37:$E37)-MAX($B37:$E37),"Triple balancin",IF(MIN($B37:$E37)+MAX($B37:$E37)=SUM($B37:$E37)-MIN($B37:$E37)-MAX($B37:$E37),"Punto de cambio",IF($E37=MIN($B37:$E37),"Doble manivela",IF($C37=MIN($B37:$E37),"Doble balancin","Manivela-balancin")))))</f>
        <v/>
      </c>
      <c r="AG37" s="99" t="str">
        <f aca="false">IFERROR($E37/$B37,"")</f>
        <v/>
      </c>
      <c r="AH37" s="99" t="str">
        <f aca="false">IFERROR($E37/$D37,"")</f>
        <v/>
      </c>
      <c r="AI37" s="99" t="str">
        <f aca="false">IFERROR(($B37^2-$C37^2+$D37^2+$E37^2)/(2*$B37*$D37),"")</f>
        <v/>
      </c>
      <c r="AJ37" s="99" t="str">
        <f aca="false">IFERROR($E37/$C37,"")</f>
        <v/>
      </c>
      <c r="AK37" s="99" t="str">
        <f aca="false">IFERROR(($D37^2-$E37^2-$B37^2-$C37^2)/(2*$B37*$C37),"")</f>
        <v/>
      </c>
      <c r="AL37" s="99" t="str">
        <f aca="false">IFERROR(COS(RADIANS($F37))-$AG37-$AH37*COS(RADIANS($F37))+$AI37,"")</f>
        <v/>
      </c>
      <c r="AM37" s="99" t="str">
        <f aca="false">IFERROR(IF($B37="","",-2*SIN(RADIANS($F37))),"")</f>
        <v/>
      </c>
      <c r="AN37" s="99" t="str">
        <f aca="false">IFERROR($AG37-($AH37+1)*COS(RADIANS($F37))+$AI37,"")</f>
        <v/>
      </c>
      <c r="AO37" s="99" t="str">
        <f aca="false">IFERROR(COS(RADIANS($F37))-$AG37+$AJ37*COS(RADIANS($F37))+$AK37,"")</f>
        <v/>
      </c>
      <c r="AP37" s="99" t="str">
        <f aca="false">IFERROR(IF($B37="","",-2*SIN(RADIANS($F37))),"")</f>
        <v/>
      </c>
      <c r="AQ37" s="99" t="str">
        <f aca="false">IFERROR($AG37+($AJ37-1)*COS(RADIANS($F37))+$AK37,"")</f>
        <v/>
      </c>
      <c r="AR37" s="99" t="str">
        <f aca="false">IFERROR($AM37^2-4*$AL37*$AN37,"")</f>
        <v/>
      </c>
      <c r="AS37" s="99" t="str">
        <f aca="false">IFERROR($AP37^2-4*$AO37*$AQ37,"")</f>
        <v/>
      </c>
      <c r="AT37" s="99" t="str">
        <f aca="false">IFERROR($B37*$H37*SIN(RADIANS($F37))+$B37*$G37^2*COS(RADIANS($F37))+$C37*$N37^2*COS(RADIANS($K37))-$D37*$O37^2*COS(RADIANS($L37)),"")</f>
        <v/>
      </c>
      <c r="AU37" s="99" t="str">
        <f aca="false">IFERROR($B37*$H37*COS(RADIANS($F37))-$B37*$G37^2*SIN(RADIANS($F37))-$C37*$N37^2*SIN(RADIANS($K37))+$D37*$O37^2*SIN(RADIANS($L37)),"")</f>
        <v/>
      </c>
      <c r="AV37" s="99" t="str">
        <f aca="false">IFERROR($B37*$H37*SIN(RADIANS($F37))+$B37*$G37^2*COS(RADIANS($F37))+$C37*$X37^2*COS(RADIANS($U37))-$D37*$Y37^2*COS(RADIANS($V37)),"")</f>
        <v/>
      </c>
      <c r="AW37" s="99" t="str">
        <f aca="false">IFERROR($B37*$H37*COS(RADIANS($F37))-$B37*$G37^2*SIN(RADIANS($F37))-$C37*$X37^2*SIN(RADIANS($U37))+$D37*$Y37^2*SIN(RADIANS($V37)),"")</f>
        <v/>
      </c>
    </row>
    <row r="38" customFormat="false" ht="12" hidden="false" customHeight="true" outlineLevel="0" collapsed="false">
      <c r="A38" s="95" t="n">
        <v>34</v>
      </c>
      <c r="B38" s="96"/>
      <c r="C38" s="96"/>
      <c r="D38" s="96"/>
      <c r="E38" s="96"/>
      <c r="F38" s="96"/>
      <c r="G38" s="96"/>
      <c r="H38" s="96"/>
      <c r="I38" s="96"/>
      <c r="J38" s="96"/>
      <c r="K38" s="97" t="str">
        <f aca="false">IFERROR(MOD(DEGREES(2*ATAN((-$AP38-SQRT($AS38))/(2*$AO38))),360),"")</f>
        <v/>
      </c>
      <c r="L38" s="97" t="str">
        <f aca="false">IFERROR(MOD(DEGREES(2*ATAN((-$AM38-SQRT($AR38))/(2*$AL38))),360),"")</f>
        <v/>
      </c>
      <c r="M38" s="97" t="str">
        <f aca="false">IFERROR(IF(MOD($L38-$K38,180)&gt;90,180-MOD($L38-$K38,180),MOD($L38-$K38,180)),"")</f>
        <v/>
      </c>
      <c r="N38" s="97" t="str">
        <f aca="false">IFERROR($B38*$G38*SIN(RADIANS($L38-$F38))/($C38*SIN(RADIANS($K38-$L38))),"")</f>
        <v/>
      </c>
      <c r="O38" s="97" t="str">
        <f aca="false">IFERROR($B38*$G38*SIN(RADIANS($F38-$K38))/($D38*SIN(RADIANS($L38-$K38))),"")</f>
        <v/>
      </c>
      <c r="P38" s="97" t="str">
        <f aca="false">IFERROR(IF($B38="","",ABS($B38*$G38)),"")</f>
        <v/>
      </c>
      <c r="Q38" s="97" t="str">
        <f aca="false">IFERROR(ABS($D38*$O38),"")</f>
        <v/>
      </c>
      <c r="R38" s="97" t="str">
        <f aca="false">IFERROR(SQRT((-$B38*$G38*SIN(RADIANS($F38))-$I38*$N38*SIN(RADIANS($K38+$J38)))^2+($B38*$G38*COS(RADIANS($F38))+$I38*$N38*COS(RADIANS($K38+$J38)))^2),"")</f>
        <v/>
      </c>
      <c r="S38" s="97" t="str">
        <f aca="false">IFERROR(($AT38*COS(RADIANS($L38))-$AU38*SIN(RADIANS($L38)))/($C38*SIN(RADIANS($L38-$K38))),"")</f>
        <v/>
      </c>
      <c r="T38" s="97" t="str">
        <f aca="false">IFERROR(($AT38*COS(RADIANS($K38))-$AU38*SIN(RADIANS($K38)))/($D38*SIN(RADIANS($L38-$K38))),"")</f>
        <v/>
      </c>
      <c r="U38" s="97" t="str">
        <f aca="false">IFERROR(MOD(DEGREES(2*ATAN((-$AP38+SQRT($AS38))/(2*$AO38))),360),"")</f>
        <v/>
      </c>
      <c r="V38" s="97" t="str">
        <f aca="false">IFERROR(MOD(DEGREES(2*ATAN((-$AM38+SQRT($AR38))/(2*$AL38))),360),"")</f>
        <v/>
      </c>
      <c r="W38" s="97" t="str">
        <f aca="false">IFERROR(IF(MOD($V38-$U38,180)&gt;90,180-MOD($V38-$U38,180),MOD($V38-$U38,180)),"")</f>
        <v/>
      </c>
      <c r="X38" s="97" t="str">
        <f aca="false">IFERROR($B38*$G38*SIN(RADIANS($V38-$F38))/($C38*SIN(RADIANS($U38-$V38))),"")</f>
        <v/>
      </c>
      <c r="Y38" s="97" t="str">
        <f aca="false">IFERROR($B38*$G38*SIN(RADIANS($F38-$U38))/($D38*SIN(RADIANS($V38-$U38))),"")</f>
        <v/>
      </c>
      <c r="Z38" s="97" t="str">
        <f aca="false">IFERROR(ABS($D38*$Y38),"")</f>
        <v/>
      </c>
      <c r="AA38" s="97" t="str">
        <f aca="false">IFERROR(SQRT((-$B38*$G38*SIN(RADIANS($F38))-$I38*$X38*SIN(RADIANS($U38+$J38)))^2+($B38*$G38*COS(RADIANS($F38))+$I38*$X38*COS(RADIANS($U38+$J38)))^2),"")</f>
        <v/>
      </c>
      <c r="AB38" s="97" t="str">
        <f aca="false">IFERROR(($AV38*COS(RADIANS($V38))-$AW38*SIN(RADIANS($V38)))/($C38*SIN(RADIANS($V38-$U38))),"")</f>
        <v/>
      </c>
      <c r="AC38" s="97" t="str">
        <f aca="false">IFERROR(($AV38*COS(RADIANS($U38))-$AW38*SIN(RADIANS($U38)))/($D38*SIN(RADIANS($V38-$U38))),"")</f>
        <v/>
      </c>
      <c r="AD38" s="98" t="str">
        <f aca="false">IF(COUNT($B38:$E38)&lt;4,"",IF(MIN($B38:$E38)+MAX($B38:$E38)&lt;SUM($B38:$E38)-MIN($B38:$E38)-MAX($B38:$E38),"Grashof",IF(MIN($B38:$E38)+MAX($B38:$E38)=SUM($B38:$E38)-MIN($B38:$E38)-MAX($B38:$E38),"Punto de cambio","No Grashof")))</f>
        <v/>
      </c>
      <c r="AE38" s="98" t="str">
        <f aca="false">IF(COUNT($B38:$E38)&lt;4,"",IF(MIN($B38:$E38)+MAX($B38:$E38)&gt;SUM($B38:$E38)-MIN($B38:$E38)-MAX($B38:$E38),"Triple balancin",IF(MIN($B38:$E38)+MAX($B38:$E38)=SUM($B38:$E38)-MIN($B38:$E38)-MAX($B38:$E38),"Punto de cambio",IF($E38=MIN($B38:$E38),"Doble manivela",IF($C38=MIN($B38:$E38),"Doble balancin","Manivela-balancin")))))</f>
        <v/>
      </c>
      <c r="AG38" s="99" t="str">
        <f aca="false">IFERROR($E38/$B38,"")</f>
        <v/>
      </c>
      <c r="AH38" s="99" t="str">
        <f aca="false">IFERROR($E38/$D38,"")</f>
        <v/>
      </c>
      <c r="AI38" s="99" t="str">
        <f aca="false">IFERROR(($B38^2-$C38^2+$D38^2+$E38^2)/(2*$B38*$D38),"")</f>
        <v/>
      </c>
      <c r="AJ38" s="99" t="str">
        <f aca="false">IFERROR($E38/$C38,"")</f>
        <v/>
      </c>
      <c r="AK38" s="99" t="str">
        <f aca="false">IFERROR(($D38^2-$E38^2-$B38^2-$C38^2)/(2*$B38*$C38),"")</f>
        <v/>
      </c>
      <c r="AL38" s="99" t="str">
        <f aca="false">IFERROR(COS(RADIANS($F38))-$AG38-$AH38*COS(RADIANS($F38))+$AI38,"")</f>
        <v/>
      </c>
      <c r="AM38" s="99" t="str">
        <f aca="false">IFERROR(IF($B38="","",-2*SIN(RADIANS($F38))),"")</f>
        <v/>
      </c>
      <c r="AN38" s="99" t="str">
        <f aca="false">IFERROR($AG38-($AH38+1)*COS(RADIANS($F38))+$AI38,"")</f>
        <v/>
      </c>
      <c r="AO38" s="99" t="str">
        <f aca="false">IFERROR(COS(RADIANS($F38))-$AG38+$AJ38*COS(RADIANS($F38))+$AK38,"")</f>
        <v/>
      </c>
      <c r="AP38" s="99" t="str">
        <f aca="false">IFERROR(IF($B38="","",-2*SIN(RADIANS($F38))),"")</f>
        <v/>
      </c>
      <c r="AQ38" s="99" t="str">
        <f aca="false">IFERROR($AG38+($AJ38-1)*COS(RADIANS($F38))+$AK38,"")</f>
        <v/>
      </c>
      <c r="AR38" s="99" t="str">
        <f aca="false">IFERROR($AM38^2-4*$AL38*$AN38,"")</f>
        <v/>
      </c>
      <c r="AS38" s="99" t="str">
        <f aca="false">IFERROR($AP38^2-4*$AO38*$AQ38,"")</f>
        <v/>
      </c>
      <c r="AT38" s="99" t="str">
        <f aca="false">IFERROR($B38*$H38*SIN(RADIANS($F38))+$B38*$G38^2*COS(RADIANS($F38))+$C38*$N38^2*COS(RADIANS($K38))-$D38*$O38^2*COS(RADIANS($L38)),"")</f>
        <v/>
      </c>
      <c r="AU38" s="99" t="str">
        <f aca="false">IFERROR($B38*$H38*COS(RADIANS($F38))-$B38*$G38^2*SIN(RADIANS($F38))-$C38*$N38^2*SIN(RADIANS($K38))+$D38*$O38^2*SIN(RADIANS($L38)),"")</f>
        <v/>
      </c>
      <c r="AV38" s="99" t="str">
        <f aca="false">IFERROR($B38*$H38*SIN(RADIANS($F38))+$B38*$G38^2*COS(RADIANS($F38))+$C38*$X38^2*COS(RADIANS($U38))-$D38*$Y38^2*COS(RADIANS($V38)),"")</f>
        <v/>
      </c>
      <c r="AW38" s="99" t="str">
        <f aca="false">IFERROR($B38*$H38*COS(RADIANS($F38))-$B38*$G38^2*SIN(RADIANS($F38))-$C38*$X38^2*SIN(RADIANS($U38))+$D38*$Y38^2*SIN(RADIANS($V38)),"")</f>
        <v/>
      </c>
    </row>
    <row r="39" customFormat="false" ht="12" hidden="false" customHeight="true" outlineLevel="0" collapsed="false">
      <c r="A39" s="95" t="n">
        <v>35</v>
      </c>
      <c r="B39" s="96"/>
      <c r="C39" s="96"/>
      <c r="D39" s="96"/>
      <c r="E39" s="96"/>
      <c r="F39" s="96"/>
      <c r="G39" s="96"/>
      <c r="H39" s="96"/>
      <c r="I39" s="96"/>
      <c r="J39" s="96"/>
      <c r="K39" s="97" t="str">
        <f aca="false">IFERROR(MOD(DEGREES(2*ATAN((-$AP39-SQRT($AS39))/(2*$AO39))),360),"")</f>
        <v/>
      </c>
      <c r="L39" s="97" t="str">
        <f aca="false">IFERROR(MOD(DEGREES(2*ATAN((-$AM39-SQRT($AR39))/(2*$AL39))),360),"")</f>
        <v/>
      </c>
      <c r="M39" s="97" t="str">
        <f aca="false">IFERROR(IF(MOD($L39-$K39,180)&gt;90,180-MOD($L39-$K39,180),MOD($L39-$K39,180)),"")</f>
        <v/>
      </c>
      <c r="N39" s="97" t="str">
        <f aca="false">IFERROR($B39*$G39*SIN(RADIANS($L39-$F39))/($C39*SIN(RADIANS($K39-$L39))),"")</f>
        <v/>
      </c>
      <c r="O39" s="97" t="str">
        <f aca="false">IFERROR($B39*$G39*SIN(RADIANS($F39-$K39))/($D39*SIN(RADIANS($L39-$K39))),"")</f>
        <v/>
      </c>
      <c r="P39" s="97" t="str">
        <f aca="false">IFERROR(IF($B39="","",ABS($B39*$G39)),"")</f>
        <v/>
      </c>
      <c r="Q39" s="97" t="str">
        <f aca="false">IFERROR(ABS($D39*$O39),"")</f>
        <v/>
      </c>
      <c r="R39" s="97" t="str">
        <f aca="false">IFERROR(SQRT((-$B39*$G39*SIN(RADIANS($F39))-$I39*$N39*SIN(RADIANS($K39+$J39)))^2+($B39*$G39*COS(RADIANS($F39))+$I39*$N39*COS(RADIANS($K39+$J39)))^2),"")</f>
        <v/>
      </c>
      <c r="S39" s="97" t="str">
        <f aca="false">IFERROR(($AT39*COS(RADIANS($L39))-$AU39*SIN(RADIANS($L39)))/($C39*SIN(RADIANS($L39-$K39))),"")</f>
        <v/>
      </c>
      <c r="T39" s="97" t="str">
        <f aca="false">IFERROR(($AT39*COS(RADIANS($K39))-$AU39*SIN(RADIANS($K39)))/($D39*SIN(RADIANS($L39-$K39))),"")</f>
        <v/>
      </c>
      <c r="U39" s="97" t="str">
        <f aca="false">IFERROR(MOD(DEGREES(2*ATAN((-$AP39+SQRT($AS39))/(2*$AO39))),360),"")</f>
        <v/>
      </c>
      <c r="V39" s="97" t="str">
        <f aca="false">IFERROR(MOD(DEGREES(2*ATAN((-$AM39+SQRT($AR39))/(2*$AL39))),360),"")</f>
        <v/>
      </c>
      <c r="W39" s="97" t="str">
        <f aca="false">IFERROR(IF(MOD($V39-$U39,180)&gt;90,180-MOD($V39-$U39,180),MOD($V39-$U39,180)),"")</f>
        <v/>
      </c>
      <c r="X39" s="97" t="str">
        <f aca="false">IFERROR($B39*$G39*SIN(RADIANS($V39-$F39))/($C39*SIN(RADIANS($U39-$V39))),"")</f>
        <v/>
      </c>
      <c r="Y39" s="97" t="str">
        <f aca="false">IFERROR($B39*$G39*SIN(RADIANS($F39-$U39))/($D39*SIN(RADIANS($V39-$U39))),"")</f>
        <v/>
      </c>
      <c r="Z39" s="97" t="str">
        <f aca="false">IFERROR(ABS($D39*$Y39),"")</f>
        <v/>
      </c>
      <c r="AA39" s="97" t="str">
        <f aca="false">IFERROR(SQRT((-$B39*$G39*SIN(RADIANS($F39))-$I39*$X39*SIN(RADIANS($U39+$J39)))^2+($B39*$G39*COS(RADIANS($F39))+$I39*$X39*COS(RADIANS($U39+$J39)))^2),"")</f>
        <v/>
      </c>
      <c r="AB39" s="97" t="str">
        <f aca="false">IFERROR(($AV39*COS(RADIANS($V39))-$AW39*SIN(RADIANS($V39)))/($C39*SIN(RADIANS($V39-$U39))),"")</f>
        <v/>
      </c>
      <c r="AC39" s="97" t="str">
        <f aca="false">IFERROR(($AV39*COS(RADIANS($U39))-$AW39*SIN(RADIANS($U39)))/($D39*SIN(RADIANS($V39-$U39))),"")</f>
        <v/>
      </c>
      <c r="AD39" s="98" t="str">
        <f aca="false">IF(COUNT($B39:$E39)&lt;4,"",IF(MIN($B39:$E39)+MAX($B39:$E39)&lt;SUM($B39:$E39)-MIN($B39:$E39)-MAX($B39:$E39),"Grashof",IF(MIN($B39:$E39)+MAX($B39:$E39)=SUM($B39:$E39)-MIN($B39:$E39)-MAX($B39:$E39),"Punto de cambio","No Grashof")))</f>
        <v/>
      </c>
      <c r="AE39" s="98" t="str">
        <f aca="false">IF(COUNT($B39:$E39)&lt;4,"",IF(MIN($B39:$E39)+MAX($B39:$E39)&gt;SUM($B39:$E39)-MIN($B39:$E39)-MAX($B39:$E39),"Triple balancin",IF(MIN($B39:$E39)+MAX($B39:$E39)=SUM($B39:$E39)-MIN($B39:$E39)-MAX($B39:$E39),"Punto de cambio",IF($E39=MIN($B39:$E39),"Doble manivela",IF($C39=MIN($B39:$E39),"Doble balancin","Manivela-balancin")))))</f>
        <v/>
      </c>
      <c r="AG39" s="99" t="str">
        <f aca="false">IFERROR($E39/$B39,"")</f>
        <v/>
      </c>
      <c r="AH39" s="99" t="str">
        <f aca="false">IFERROR($E39/$D39,"")</f>
        <v/>
      </c>
      <c r="AI39" s="99" t="str">
        <f aca="false">IFERROR(($B39^2-$C39^2+$D39^2+$E39^2)/(2*$B39*$D39),"")</f>
        <v/>
      </c>
      <c r="AJ39" s="99" t="str">
        <f aca="false">IFERROR($E39/$C39,"")</f>
        <v/>
      </c>
      <c r="AK39" s="99" t="str">
        <f aca="false">IFERROR(($D39^2-$E39^2-$B39^2-$C39^2)/(2*$B39*$C39),"")</f>
        <v/>
      </c>
      <c r="AL39" s="99" t="str">
        <f aca="false">IFERROR(COS(RADIANS($F39))-$AG39-$AH39*COS(RADIANS($F39))+$AI39,"")</f>
        <v/>
      </c>
      <c r="AM39" s="99" t="str">
        <f aca="false">IFERROR(IF($B39="","",-2*SIN(RADIANS($F39))),"")</f>
        <v/>
      </c>
      <c r="AN39" s="99" t="str">
        <f aca="false">IFERROR($AG39-($AH39+1)*COS(RADIANS($F39))+$AI39,"")</f>
        <v/>
      </c>
      <c r="AO39" s="99" t="str">
        <f aca="false">IFERROR(COS(RADIANS($F39))-$AG39+$AJ39*COS(RADIANS($F39))+$AK39,"")</f>
        <v/>
      </c>
      <c r="AP39" s="99" t="str">
        <f aca="false">IFERROR(IF($B39="","",-2*SIN(RADIANS($F39))),"")</f>
        <v/>
      </c>
      <c r="AQ39" s="99" t="str">
        <f aca="false">IFERROR($AG39+($AJ39-1)*COS(RADIANS($F39))+$AK39,"")</f>
        <v/>
      </c>
      <c r="AR39" s="99" t="str">
        <f aca="false">IFERROR($AM39^2-4*$AL39*$AN39,"")</f>
        <v/>
      </c>
      <c r="AS39" s="99" t="str">
        <f aca="false">IFERROR($AP39^2-4*$AO39*$AQ39,"")</f>
        <v/>
      </c>
      <c r="AT39" s="99" t="str">
        <f aca="false">IFERROR($B39*$H39*SIN(RADIANS($F39))+$B39*$G39^2*COS(RADIANS($F39))+$C39*$N39^2*COS(RADIANS($K39))-$D39*$O39^2*COS(RADIANS($L39)),"")</f>
        <v/>
      </c>
      <c r="AU39" s="99" t="str">
        <f aca="false">IFERROR($B39*$H39*COS(RADIANS($F39))-$B39*$G39^2*SIN(RADIANS($F39))-$C39*$N39^2*SIN(RADIANS($K39))+$D39*$O39^2*SIN(RADIANS($L39)),"")</f>
        <v/>
      </c>
      <c r="AV39" s="99" t="str">
        <f aca="false">IFERROR($B39*$H39*SIN(RADIANS($F39))+$B39*$G39^2*COS(RADIANS($F39))+$C39*$X39^2*COS(RADIANS($U39))-$D39*$Y39^2*COS(RADIANS($V39)),"")</f>
        <v/>
      </c>
      <c r="AW39" s="99" t="str">
        <f aca="false">IFERROR($B39*$H39*COS(RADIANS($F39))-$B39*$G39^2*SIN(RADIANS($F39))-$C39*$X39^2*SIN(RADIANS($U39))+$D39*$Y39^2*SIN(RADIANS($V39)),"")</f>
        <v/>
      </c>
    </row>
    <row r="40" customFormat="false" ht="12" hidden="false" customHeight="true" outlineLevel="0" collapsed="false">
      <c r="A40" s="95" t="n">
        <v>36</v>
      </c>
      <c r="B40" s="96"/>
      <c r="C40" s="96"/>
      <c r="D40" s="96"/>
      <c r="E40" s="96"/>
      <c r="F40" s="96"/>
      <c r="G40" s="96"/>
      <c r="H40" s="96"/>
      <c r="I40" s="96"/>
      <c r="J40" s="96"/>
      <c r="K40" s="97" t="str">
        <f aca="false">IFERROR(MOD(DEGREES(2*ATAN((-$AP40-SQRT($AS40))/(2*$AO40))),360),"")</f>
        <v/>
      </c>
      <c r="L40" s="97" t="str">
        <f aca="false">IFERROR(MOD(DEGREES(2*ATAN((-$AM40-SQRT($AR40))/(2*$AL40))),360),"")</f>
        <v/>
      </c>
      <c r="M40" s="97" t="str">
        <f aca="false">IFERROR(IF(MOD($L40-$K40,180)&gt;90,180-MOD($L40-$K40,180),MOD($L40-$K40,180)),"")</f>
        <v/>
      </c>
      <c r="N40" s="97" t="str">
        <f aca="false">IFERROR($B40*$G40*SIN(RADIANS($L40-$F40))/($C40*SIN(RADIANS($K40-$L40))),"")</f>
        <v/>
      </c>
      <c r="O40" s="97" t="str">
        <f aca="false">IFERROR($B40*$G40*SIN(RADIANS($F40-$K40))/($D40*SIN(RADIANS($L40-$K40))),"")</f>
        <v/>
      </c>
      <c r="P40" s="97" t="str">
        <f aca="false">IFERROR(IF($B40="","",ABS($B40*$G40)),"")</f>
        <v/>
      </c>
      <c r="Q40" s="97" t="str">
        <f aca="false">IFERROR(ABS($D40*$O40),"")</f>
        <v/>
      </c>
      <c r="R40" s="97" t="str">
        <f aca="false">IFERROR(SQRT((-$B40*$G40*SIN(RADIANS($F40))-$I40*$N40*SIN(RADIANS($K40+$J40)))^2+($B40*$G40*COS(RADIANS($F40))+$I40*$N40*COS(RADIANS($K40+$J40)))^2),"")</f>
        <v/>
      </c>
      <c r="S40" s="97" t="str">
        <f aca="false">IFERROR(($AT40*COS(RADIANS($L40))-$AU40*SIN(RADIANS($L40)))/($C40*SIN(RADIANS($L40-$K40))),"")</f>
        <v/>
      </c>
      <c r="T40" s="97" t="str">
        <f aca="false">IFERROR(($AT40*COS(RADIANS($K40))-$AU40*SIN(RADIANS($K40)))/($D40*SIN(RADIANS($L40-$K40))),"")</f>
        <v/>
      </c>
      <c r="U40" s="97" t="str">
        <f aca="false">IFERROR(MOD(DEGREES(2*ATAN((-$AP40+SQRT($AS40))/(2*$AO40))),360),"")</f>
        <v/>
      </c>
      <c r="V40" s="97" t="str">
        <f aca="false">IFERROR(MOD(DEGREES(2*ATAN((-$AM40+SQRT($AR40))/(2*$AL40))),360),"")</f>
        <v/>
      </c>
      <c r="W40" s="97" t="str">
        <f aca="false">IFERROR(IF(MOD($V40-$U40,180)&gt;90,180-MOD($V40-$U40,180),MOD($V40-$U40,180)),"")</f>
        <v/>
      </c>
      <c r="X40" s="97" t="str">
        <f aca="false">IFERROR($B40*$G40*SIN(RADIANS($V40-$F40))/($C40*SIN(RADIANS($U40-$V40))),"")</f>
        <v/>
      </c>
      <c r="Y40" s="97" t="str">
        <f aca="false">IFERROR($B40*$G40*SIN(RADIANS($F40-$U40))/($D40*SIN(RADIANS($V40-$U40))),"")</f>
        <v/>
      </c>
      <c r="Z40" s="97" t="str">
        <f aca="false">IFERROR(ABS($D40*$Y40),"")</f>
        <v/>
      </c>
      <c r="AA40" s="97" t="str">
        <f aca="false">IFERROR(SQRT((-$B40*$G40*SIN(RADIANS($F40))-$I40*$X40*SIN(RADIANS($U40+$J40)))^2+($B40*$G40*COS(RADIANS($F40))+$I40*$X40*COS(RADIANS($U40+$J40)))^2),"")</f>
        <v/>
      </c>
      <c r="AB40" s="97" t="str">
        <f aca="false">IFERROR(($AV40*COS(RADIANS($V40))-$AW40*SIN(RADIANS($V40)))/($C40*SIN(RADIANS($V40-$U40))),"")</f>
        <v/>
      </c>
      <c r="AC40" s="97" t="str">
        <f aca="false">IFERROR(($AV40*COS(RADIANS($U40))-$AW40*SIN(RADIANS($U40)))/($D40*SIN(RADIANS($V40-$U40))),"")</f>
        <v/>
      </c>
      <c r="AD40" s="98" t="str">
        <f aca="false">IF(COUNT($B40:$E40)&lt;4,"",IF(MIN($B40:$E40)+MAX($B40:$E40)&lt;SUM($B40:$E40)-MIN($B40:$E40)-MAX($B40:$E40),"Grashof",IF(MIN($B40:$E40)+MAX($B40:$E40)=SUM($B40:$E40)-MIN($B40:$E40)-MAX($B40:$E40),"Punto de cambio","No Grashof")))</f>
        <v/>
      </c>
      <c r="AE40" s="98" t="str">
        <f aca="false">IF(COUNT($B40:$E40)&lt;4,"",IF(MIN($B40:$E40)+MAX($B40:$E40)&gt;SUM($B40:$E40)-MIN($B40:$E40)-MAX($B40:$E40),"Triple balancin",IF(MIN($B40:$E40)+MAX($B40:$E40)=SUM($B40:$E40)-MIN($B40:$E40)-MAX($B40:$E40),"Punto de cambio",IF($E40=MIN($B40:$E40),"Doble manivela",IF($C40=MIN($B40:$E40),"Doble balancin","Manivela-balancin")))))</f>
        <v/>
      </c>
      <c r="AG40" s="99" t="str">
        <f aca="false">IFERROR($E40/$B40,"")</f>
        <v/>
      </c>
      <c r="AH40" s="99" t="str">
        <f aca="false">IFERROR($E40/$D40,"")</f>
        <v/>
      </c>
      <c r="AI40" s="99" t="str">
        <f aca="false">IFERROR(($B40^2-$C40^2+$D40^2+$E40^2)/(2*$B40*$D40),"")</f>
        <v/>
      </c>
      <c r="AJ40" s="99" t="str">
        <f aca="false">IFERROR($E40/$C40,"")</f>
        <v/>
      </c>
      <c r="AK40" s="99" t="str">
        <f aca="false">IFERROR(($D40^2-$E40^2-$B40^2-$C40^2)/(2*$B40*$C40),"")</f>
        <v/>
      </c>
      <c r="AL40" s="99" t="str">
        <f aca="false">IFERROR(COS(RADIANS($F40))-$AG40-$AH40*COS(RADIANS($F40))+$AI40,"")</f>
        <v/>
      </c>
      <c r="AM40" s="99" t="str">
        <f aca="false">IFERROR(IF($B40="","",-2*SIN(RADIANS($F40))),"")</f>
        <v/>
      </c>
      <c r="AN40" s="99" t="str">
        <f aca="false">IFERROR($AG40-($AH40+1)*COS(RADIANS($F40))+$AI40,"")</f>
        <v/>
      </c>
      <c r="AO40" s="99" t="str">
        <f aca="false">IFERROR(COS(RADIANS($F40))-$AG40+$AJ40*COS(RADIANS($F40))+$AK40,"")</f>
        <v/>
      </c>
      <c r="AP40" s="99" t="str">
        <f aca="false">IFERROR(IF($B40="","",-2*SIN(RADIANS($F40))),"")</f>
        <v/>
      </c>
      <c r="AQ40" s="99" t="str">
        <f aca="false">IFERROR($AG40+($AJ40-1)*COS(RADIANS($F40))+$AK40,"")</f>
        <v/>
      </c>
      <c r="AR40" s="99" t="str">
        <f aca="false">IFERROR($AM40^2-4*$AL40*$AN40,"")</f>
        <v/>
      </c>
      <c r="AS40" s="99" t="str">
        <f aca="false">IFERROR($AP40^2-4*$AO40*$AQ40,"")</f>
        <v/>
      </c>
      <c r="AT40" s="99" t="str">
        <f aca="false">IFERROR($B40*$H40*SIN(RADIANS($F40))+$B40*$G40^2*COS(RADIANS($F40))+$C40*$N40^2*COS(RADIANS($K40))-$D40*$O40^2*COS(RADIANS($L40)),"")</f>
        <v/>
      </c>
      <c r="AU40" s="99" t="str">
        <f aca="false">IFERROR($B40*$H40*COS(RADIANS($F40))-$B40*$G40^2*SIN(RADIANS($F40))-$C40*$N40^2*SIN(RADIANS($K40))+$D40*$O40^2*SIN(RADIANS($L40)),"")</f>
        <v/>
      </c>
      <c r="AV40" s="99" t="str">
        <f aca="false">IFERROR($B40*$H40*SIN(RADIANS($F40))+$B40*$G40^2*COS(RADIANS($F40))+$C40*$X40^2*COS(RADIANS($U40))-$D40*$Y40^2*COS(RADIANS($V40)),"")</f>
        <v/>
      </c>
      <c r="AW40" s="99" t="str">
        <f aca="false">IFERROR($B40*$H40*COS(RADIANS($F40))-$B40*$G40^2*SIN(RADIANS($F40))-$C40*$X40^2*SIN(RADIANS($U40))+$D40*$Y40^2*SIN(RADIANS($V40)),"")</f>
        <v/>
      </c>
    </row>
    <row r="41" customFormat="false" ht="12" hidden="false" customHeight="true" outlineLevel="0" collapsed="false">
      <c r="A41" s="95" t="n">
        <v>37</v>
      </c>
      <c r="B41" s="96"/>
      <c r="C41" s="96"/>
      <c r="D41" s="96"/>
      <c r="E41" s="96"/>
      <c r="F41" s="96"/>
      <c r="G41" s="96"/>
      <c r="H41" s="96"/>
      <c r="I41" s="96"/>
      <c r="J41" s="96"/>
      <c r="K41" s="97" t="str">
        <f aca="false">IFERROR(MOD(DEGREES(2*ATAN((-$AP41-SQRT($AS41))/(2*$AO41))),360),"")</f>
        <v/>
      </c>
      <c r="L41" s="97" t="str">
        <f aca="false">IFERROR(MOD(DEGREES(2*ATAN((-$AM41-SQRT($AR41))/(2*$AL41))),360),"")</f>
        <v/>
      </c>
      <c r="M41" s="97" t="str">
        <f aca="false">IFERROR(IF(MOD($L41-$K41,180)&gt;90,180-MOD($L41-$K41,180),MOD($L41-$K41,180)),"")</f>
        <v/>
      </c>
      <c r="N41" s="97" t="str">
        <f aca="false">IFERROR($B41*$G41*SIN(RADIANS($L41-$F41))/($C41*SIN(RADIANS($K41-$L41))),"")</f>
        <v/>
      </c>
      <c r="O41" s="97" t="str">
        <f aca="false">IFERROR($B41*$G41*SIN(RADIANS($F41-$K41))/($D41*SIN(RADIANS($L41-$K41))),"")</f>
        <v/>
      </c>
      <c r="P41" s="97" t="str">
        <f aca="false">IFERROR(IF($B41="","",ABS($B41*$G41)),"")</f>
        <v/>
      </c>
      <c r="Q41" s="97" t="str">
        <f aca="false">IFERROR(ABS($D41*$O41),"")</f>
        <v/>
      </c>
      <c r="R41" s="97" t="str">
        <f aca="false">IFERROR(SQRT((-$B41*$G41*SIN(RADIANS($F41))-$I41*$N41*SIN(RADIANS($K41+$J41)))^2+($B41*$G41*COS(RADIANS($F41))+$I41*$N41*COS(RADIANS($K41+$J41)))^2),"")</f>
        <v/>
      </c>
      <c r="S41" s="97" t="str">
        <f aca="false">IFERROR(($AT41*COS(RADIANS($L41))-$AU41*SIN(RADIANS($L41)))/($C41*SIN(RADIANS($L41-$K41))),"")</f>
        <v/>
      </c>
      <c r="T41" s="97" t="str">
        <f aca="false">IFERROR(($AT41*COS(RADIANS($K41))-$AU41*SIN(RADIANS($K41)))/($D41*SIN(RADIANS($L41-$K41))),"")</f>
        <v/>
      </c>
      <c r="U41" s="97" t="str">
        <f aca="false">IFERROR(MOD(DEGREES(2*ATAN((-$AP41+SQRT($AS41))/(2*$AO41))),360),"")</f>
        <v/>
      </c>
      <c r="V41" s="97" t="str">
        <f aca="false">IFERROR(MOD(DEGREES(2*ATAN((-$AM41+SQRT($AR41))/(2*$AL41))),360),"")</f>
        <v/>
      </c>
      <c r="W41" s="97" t="str">
        <f aca="false">IFERROR(IF(MOD($V41-$U41,180)&gt;90,180-MOD($V41-$U41,180),MOD($V41-$U41,180)),"")</f>
        <v/>
      </c>
      <c r="X41" s="97" t="str">
        <f aca="false">IFERROR($B41*$G41*SIN(RADIANS($V41-$F41))/($C41*SIN(RADIANS($U41-$V41))),"")</f>
        <v/>
      </c>
      <c r="Y41" s="97" t="str">
        <f aca="false">IFERROR($B41*$G41*SIN(RADIANS($F41-$U41))/($D41*SIN(RADIANS($V41-$U41))),"")</f>
        <v/>
      </c>
      <c r="Z41" s="97" t="str">
        <f aca="false">IFERROR(ABS($D41*$Y41),"")</f>
        <v/>
      </c>
      <c r="AA41" s="97" t="str">
        <f aca="false">IFERROR(SQRT((-$B41*$G41*SIN(RADIANS($F41))-$I41*$X41*SIN(RADIANS($U41+$J41)))^2+($B41*$G41*COS(RADIANS($F41))+$I41*$X41*COS(RADIANS($U41+$J41)))^2),"")</f>
        <v/>
      </c>
      <c r="AB41" s="97" t="str">
        <f aca="false">IFERROR(($AV41*COS(RADIANS($V41))-$AW41*SIN(RADIANS($V41)))/($C41*SIN(RADIANS($V41-$U41))),"")</f>
        <v/>
      </c>
      <c r="AC41" s="97" t="str">
        <f aca="false">IFERROR(($AV41*COS(RADIANS($U41))-$AW41*SIN(RADIANS($U41)))/($D41*SIN(RADIANS($V41-$U41))),"")</f>
        <v/>
      </c>
      <c r="AD41" s="98" t="str">
        <f aca="false">IF(COUNT($B41:$E41)&lt;4,"",IF(MIN($B41:$E41)+MAX($B41:$E41)&lt;SUM($B41:$E41)-MIN($B41:$E41)-MAX($B41:$E41),"Grashof",IF(MIN($B41:$E41)+MAX($B41:$E41)=SUM($B41:$E41)-MIN($B41:$E41)-MAX($B41:$E41),"Punto de cambio","No Grashof")))</f>
        <v/>
      </c>
      <c r="AE41" s="98" t="str">
        <f aca="false">IF(COUNT($B41:$E41)&lt;4,"",IF(MIN($B41:$E41)+MAX($B41:$E41)&gt;SUM($B41:$E41)-MIN($B41:$E41)-MAX($B41:$E41),"Triple balancin",IF(MIN($B41:$E41)+MAX($B41:$E41)=SUM($B41:$E41)-MIN($B41:$E41)-MAX($B41:$E41),"Punto de cambio",IF($E41=MIN($B41:$E41),"Doble manivela",IF($C41=MIN($B41:$E41),"Doble balancin","Manivela-balancin")))))</f>
        <v/>
      </c>
      <c r="AG41" s="99" t="str">
        <f aca="false">IFERROR($E41/$B41,"")</f>
        <v/>
      </c>
      <c r="AH41" s="99" t="str">
        <f aca="false">IFERROR($E41/$D41,"")</f>
        <v/>
      </c>
      <c r="AI41" s="99" t="str">
        <f aca="false">IFERROR(($B41^2-$C41^2+$D41^2+$E41^2)/(2*$B41*$D41),"")</f>
        <v/>
      </c>
      <c r="AJ41" s="99" t="str">
        <f aca="false">IFERROR($E41/$C41,"")</f>
        <v/>
      </c>
      <c r="AK41" s="99" t="str">
        <f aca="false">IFERROR(($D41^2-$E41^2-$B41^2-$C41^2)/(2*$B41*$C41),"")</f>
        <v/>
      </c>
      <c r="AL41" s="99" t="str">
        <f aca="false">IFERROR(COS(RADIANS($F41))-$AG41-$AH41*COS(RADIANS($F41))+$AI41,"")</f>
        <v/>
      </c>
      <c r="AM41" s="99" t="str">
        <f aca="false">IFERROR(IF($B41="","",-2*SIN(RADIANS($F41))),"")</f>
        <v/>
      </c>
      <c r="AN41" s="99" t="str">
        <f aca="false">IFERROR($AG41-($AH41+1)*COS(RADIANS($F41))+$AI41,"")</f>
        <v/>
      </c>
      <c r="AO41" s="99" t="str">
        <f aca="false">IFERROR(COS(RADIANS($F41))-$AG41+$AJ41*COS(RADIANS($F41))+$AK41,"")</f>
        <v/>
      </c>
      <c r="AP41" s="99" t="str">
        <f aca="false">IFERROR(IF($B41="","",-2*SIN(RADIANS($F41))),"")</f>
        <v/>
      </c>
      <c r="AQ41" s="99" t="str">
        <f aca="false">IFERROR($AG41+($AJ41-1)*COS(RADIANS($F41))+$AK41,"")</f>
        <v/>
      </c>
      <c r="AR41" s="99" t="str">
        <f aca="false">IFERROR($AM41^2-4*$AL41*$AN41,"")</f>
        <v/>
      </c>
      <c r="AS41" s="99" t="str">
        <f aca="false">IFERROR($AP41^2-4*$AO41*$AQ41,"")</f>
        <v/>
      </c>
      <c r="AT41" s="99" t="str">
        <f aca="false">IFERROR($B41*$H41*SIN(RADIANS($F41))+$B41*$G41^2*COS(RADIANS($F41))+$C41*$N41^2*COS(RADIANS($K41))-$D41*$O41^2*COS(RADIANS($L41)),"")</f>
        <v/>
      </c>
      <c r="AU41" s="99" t="str">
        <f aca="false">IFERROR($B41*$H41*COS(RADIANS($F41))-$B41*$G41^2*SIN(RADIANS($F41))-$C41*$N41^2*SIN(RADIANS($K41))+$D41*$O41^2*SIN(RADIANS($L41)),"")</f>
        <v/>
      </c>
      <c r="AV41" s="99" t="str">
        <f aca="false">IFERROR($B41*$H41*SIN(RADIANS($F41))+$B41*$G41^2*COS(RADIANS($F41))+$C41*$X41^2*COS(RADIANS($U41))-$D41*$Y41^2*COS(RADIANS($V41)),"")</f>
        <v/>
      </c>
      <c r="AW41" s="99" t="str">
        <f aca="false">IFERROR($B41*$H41*COS(RADIANS($F41))-$B41*$G41^2*SIN(RADIANS($F41))-$C41*$X41^2*SIN(RADIANS($U41))+$D41*$Y41^2*SIN(RADIANS($V41)),"")</f>
        <v/>
      </c>
    </row>
    <row r="42" customFormat="false" ht="12" hidden="false" customHeight="true" outlineLevel="0" collapsed="false">
      <c r="A42" s="95" t="n">
        <v>38</v>
      </c>
      <c r="B42" s="96"/>
      <c r="C42" s="96"/>
      <c r="D42" s="96"/>
      <c r="E42" s="96"/>
      <c r="F42" s="96"/>
      <c r="G42" s="96"/>
      <c r="H42" s="96"/>
      <c r="I42" s="96"/>
      <c r="J42" s="96"/>
      <c r="K42" s="97" t="str">
        <f aca="false">IFERROR(MOD(DEGREES(2*ATAN((-$AP42-SQRT($AS42))/(2*$AO42))),360),"")</f>
        <v/>
      </c>
      <c r="L42" s="97" t="str">
        <f aca="false">IFERROR(MOD(DEGREES(2*ATAN((-$AM42-SQRT($AR42))/(2*$AL42))),360),"")</f>
        <v/>
      </c>
      <c r="M42" s="97" t="str">
        <f aca="false">IFERROR(IF(MOD($L42-$K42,180)&gt;90,180-MOD($L42-$K42,180),MOD($L42-$K42,180)),"")</f>
        <v/>
      </c>
      <c r="N42" s="97" t="str">
        <f aca="false">IFERROR($B42*$G42*SIN(RADIANS($L42-$F42))/($C42*SIN(RADIANS($K42-$L42))),"")</f>
        <v/>
      </c>
      <c r="O42" s="97" t="str">
        <f aca="false">IFERROR($B42*$G42*SIN(RADIANS($F42-$K42))/($D42*SIN(RADIANS($L42-$K42))),"")</f>
        <v/>
      </c>
      <c r="P42" s="97" t="str">
        <f aca="false">IFERROR(IF($B42="","",ABS($B42*$G42)),"")</f>
        <v/>
      </c>
      <c r="Q42" s="97" t="str">
        <f aca="false">IFERROR(ABS($D42*$O42),"")</f>
        <v/>
      </c>
      <c r="R42" s="97" t="str">
        <f aca="false">IFERROR(SQRT((-$B42*$G42*SIN(RADIANS($F42))-$I42*$N42*SIN(RADIANS($K42+$J42)))^2+($B42*$G42*COS(RADIANS($F42))+$I42*$N42*COS(RADIANS($K42+$J42)))^2),"")</f>
        <v/>
      </c>
      <c r="S42" s="97" t="str">
        <f aca="false">IFERROR(($AT42*COS(RADIANS($L42))-$AU42*SIN(RADIANS($L42)))/($C42*SIN(RADIANS($L42-$K42))),"")</f>
        <v/>
      </c>
      <c r="T42" s="97" t="str">
        <f aca="false">IFERROR(($AT42*COS(RADIANS($K42))-$AU42*SIN(RADIANS($K42)))/($D42*SIN(RADIANS($L42-$K42))),"")</f>
        <v/>
      </c>
      <c r="U42" s="97" t="str">
        <f aca="false">IFERROR(MOD(DEGREES(2*ATAN((-$AP42+SQRT($AS42))/(2*$AO42))),360),"")</f>
        <v/>
      </c>
      <c r="V42" s="97" t="str">
        <f aca="false">IFERROR(MOD(DEGREES(2*ATAN((-$AM42+SQRT($AR42))/(2*$AL42))),360),"")</f>
        <v/>
      </c>
      <c r="W42" s="97" t="str">
        <f aca="false">IFERROR(IF(MOD($V42-$U42,180)&gt;90,180-MOD($V42-$U42,180),MOD($V42-$U42,180)),"")</f>
        <v/>
      </c>
      <c r="X42" s="97" t="str">
        <f aca="false">IFERROR($B42*$G42*SIN(RADIANS($V42-$F42))/($C42*SIN(RADIANS($U42-$V42))),"")</f>
        <v/>
      </c>
      <c r="Y42" s="97" t="str">
        <f aca="false">IFERROR($B42*$G42*SIN(RADIANS($F42-$U42))/($D42*SIN(RADIANS($V42-$U42))),"")</f>
        <v/>
      </c>
      <c r="Z42" s="97" t="str">
        <f aca="false">IFERROR(ABS($D42*$Y42),"")</f>
        <v/>
      </c>
      <c r="AA42" s="97" t="str">
        <f aca="false">IFERROR(SQRT((-$B42*$G42*SIN(RADIANS($F42))-$I42*$X42*SIN(RADIANS($U42+$J42)))^2+($B42*$G42*COS(RADIANS($F42))+$I42*$X42*COS(RADIANS($U42+$J42)))^2),"")</f>
        <v/>
      </c>
      <c r="AB42" s="97" t="str">
        <f aca="false">IFERROR(($AV42*COS(RADIANS($V42))-$AW42*SIN(RADIANS($V42)))/($C42*SIN(RADIANS($V42-$U42))),"")</f>
        <v/>
      </c>
      <c r="AC42" s="97" t="str">
        <f aca="false">IFERROR(($AV42*COS(RADIANS($U42))-$AW42*SIN(RADIANS($U42)))/($D42*SIN(RADIANS($V42-$U42))),"")</f>
        <v/>
      </c>
      <c r="AD42" s="98" t="str">
        <f aca="false">IF(COUNT($B42:$E42)&lt;4,"",IF(MIN($B42:$E42)+MAX($B42:$E42)&lt;SUM($B42:$E42)-MIN($B42:$E42)-MAX($B42:$E42),"Grashof",IF(MIN($B42:$E42)+MAX($B42:$E42)=SUM($B42:$E42)-MIN($B42:$E42)-MAX($B42:$E42),"Punto de cambio","No Grashof")))</f>
        <v/>
      </c>
      <c r="AE42" s="98" t="str">
        <f aca="false">IF(COUNT($B42:$E42)&lt;4,"",IF(MIN($B42:$E42)+MAX($B42:$E42)&gt;SUM($B42:$E42)-MIN($B42:$E42)-MAX($B42:$E42),"Triple balancin",IF(MIN($B42:$E42)+MAX($B42:$E42)=SUM($B42:$E42)-MIN($B42:$E42)-MAX($B42:$E42),"Punto de cambio",IF($E42=MIN($B42:$E42),"Doble manivela",IF($C42=MIN($B42:$E42),"Doble balancin","Manivela-balancin")))))</f>
        <v/>
      </c>
      <c r="AG42" s="99" t="str">
        <f aca="false">IFERROR($E42/$B42,"")</f>
        <v/>
      </c>
      <c r="AH42" s="99" t="str">
        <f aca="false">IFERROR($E42/$D42,"")</f>
        <v/>
      </c>
      <c r="AI42" s="99" t="str">
        <f aca="false">IFERROR(($B42^2-$C42^2+$D42^2+$E42^2)/(2*$B42*$D42),"")</f>
        <v/>
      </c>
      <c r="AJ42" s="99" t="str">
        <f aca="false">IFERROR($E42/$C42,"")</f>
        <v/>
      </c>
      <c r="AK42" s="99" t="str">
        <f aca="false">IFERROR(($D42^2-$E42^2-$B42^2-$C42^2)/(2*$B42*$C42),"")</f>
        <v/>
      </c>
      <c r="AL42" s="99" t="str">
        <f aca="false">IFERROR(COS(RADIANS($F42))-$AG42-$AH42*COS(RADIANS($F42))+$AI42,"")</f>
        <v/>
      </c>
      <c r="AM42" s="99" t="str">
        <f aca="false">IFERROR(IF($B42="","",-2*SIN(RADIANS($F42))),"")</f>
        <v/>
      </c>
      <c r="AN42" s="99" t="str">
        <f aca="false">IFERROR($AG42-($AH42+1)*COS(RADIANS($F42))+$AI42,"")</f>
        <v/>
      </c>
      <c r="AO42" s="99" t="str">
        <f aca="false">IFERROR(COS(RADIANS($F42))-$AG42+$AJ42*COS(RADIANS($F42))+$AK42,"")</f>
        <v/>
      </c>
      <c r="AP42" s="99" t="str">
        <f aca="false">IFERROR(IF($B42="","",-2*SIN(RADIANS($F42))),"")</f>
        <v/>
      </c>
      <c r="AQ42" s="99" t="str">
        <f aca="false">IFERROR($AG42+($AJ42-1)*COS(RADIANS($F42))+$AK42,"")</f>
        <v/>
      </c>
      <c r="AR42" s="99" t="str">
        <f aca="false">IFERROR($AM42^2-4*$AL42*$AN42,"")</f>
        <v/>
      </c>
      <c r="AS42" s="99" t="str">
        <f aca="false">IFERROR($AP42^2-4*$AO42*$AQ42,"")</f>
        <v/>
      </c>
      <c r="AT42" s="99" t="str">
        <f aca="false">IFERROR($B42*$H42*SIN(RADIANS($F42))+$B42*$G42^2*COS(RADIANS($F42))+$C42*$N42^2*COS(RADIANS($K42))-$D42*$O42^2*COS(RADIANS($L42)),"")</f>
        <v/>
      </c>
      <c r="AU42" s="99" t="str">
        <f aca="false">IFERROR($B42*$H42*COS(RADIANS($F42))-$B42*$G42^2*SIN(RADIANS($F42))-$C42*$N42^2*SIN(RADIANS($K42))+$D42*$O42^2*SIN(RADIANS($L42)),"")</f>
        <v/>
      </c>
      <c r="AV42" s="99" t="str">
        <f aca="false">IFERROR($B42*$H42*SIN(RADIANS($F42))+$B42*$G42^2*COS(RADIANS($F42))+$C42*$X42^2*COS(RADIANS($U42))-$D42*$Y42^2*COS(RADIANS($V42)),"")</f>
        <v/>
      </c>
      <c r="AW42" s="99" t="str">
        <f aca="false">IFERROR($B42*$H42*COS(RADIANS($F42))-$B42*$G42^2*SIN(RADIANS($F42))-$C42*$X42^2*SIN(RADIANS($U42))+$D42*$Y42^2*SIN(RADIANS($V42)),"")</f>
        <v/>
      </c>
    </row>
    <row r="43" customFormat="false" ht="12" hidden="false" customHeight="true" outlineLevel="0" collapsed="false">
      <c r="A43" s="95" t="n">
        <v>39</v>
      </c>
      <c r="B43" s="96"/>
      <c r="C43" s="96"/>
      <c r="D43" s="96"/>
      <c r="E43" s="96"/>
      <c r="F43" s="96"/>
      <c r="G43" s="96"/>
      <c r="H43" s="96"/>
      <c r="I43" s="96"/>
      <c r="J43" s="96"/>
      <c r="K43" s="97" t="str">
        <f aca="false">IFERROR(MOD(DEGREES(2*ATAN((-$AP43-SQRT($AS43))/(2*$AO43))),360),"")</f>
        <v/>
      </c>
      <c r="L43" s="97" t="str">
        <f aca="false">IFERROR(MOD(DEGREES(2*ATAN((-$AM43-SQRT($AR43))/(2*$AL43))),360),"")</f>
        <v/>
      </c>
      <c r="M43" s="97" t="str">
        <f aca="false">IFERROR(IF(MOD($L43-$K43,180)&gt;90,180-MOD($L43-$K43,180),MOD($L43-$K43,180)),"")</f>
        <v/>
      </c>
      <c r="N43" s="97" t="str">
        <f aca="false">IFERROR($B43*$G43*SIN(RADIANS($L43-$F43))/($C43*SIN(RADIANS($K43-$L43))),"")</f>
        <v/>
      </c>
      <c r="O43" s="97" t="str">
        <f aca="false">IFERROR($B43*$G43*SIN(RADIANS($F43-$K43))/($D43*SIN(RADIANS($L43-$K43))),"")</f>
        <v/>
      </c>
      <c r="P43" s="97" t="str">
        <f aca="false">IFERROR(IF($B43="","",ABS($B43*$G43)),"")</f>
        <v/>
      </c>
      <c r="Q43" s="97" t="str">
        <f aca="false">IFERROR(ABS($D43*$O43),"")</f>
        <v/>
      </c>
      <c r="R43" s="97" t="str">
        <f aca="false">IFERROR(SQRT((-$B43*$G43*SIN(RADIANS($F43))-$I43*$N43*SIN(RADIANS($K43+$J43)))^2+($B43*$G43*COS(RADIANS($F43))+$I43*$N43*COS(RADIANS($K43+$J43)))^2),"")</f>
        <v/>
      </c>
      <c r="S43" s="97" t="str">
        <f aca="false">IFERROR(($AT43*COS(RADIANS($L43))-$AU43*SIN(RADIANS($L43)))/($C43*SIN(RADIANS($L43-$K43))),"")</f>
        <v/>
      </c>
      <c r="T43" s="97" t="str">
        <f aca="false">IFERROR(($AT43*COS(RADIANS($K43))-$AU43*SIN(RADIANS($K43)))/($D43*SIN(RADIANS($L43-$K43))),"")</f>
        <v/>
      </c>
      <c r="U43" s="97" t="str">
        <f aca="false">IFERROR(MOD(DEGREES(2*ATAN((-$AP43+SQRT($AS43))/(2*$AO43))),360),"")</f>
        <v/>
      </c>
      <c r="V43" s="97" t="str">
        <f aca="false">IFERROR(MOD(DEGREES(2*ATAN((-$AM43+SQRT($AR43))/(2*$AL43))),360),"")</f>
        <v/>
      </c>
      <c r="W43" s="97" t="str">
        <f aca="false">IFERROR(IF(MOD($V43-$U43,180)&gt;90,180-MOD($V43-$U43,180),MOD($V43-$U43,180)),"")</f>
        <v/>
      </c>
      <c r="X43" s="97" t="str">
        <f aca="false">IFERROR($B43*$G43*SIN(RADIANS($V43-$F43))/($C43*SIN(RADIANS($U43-$V43))),"")</f>
        <v/>
      </c>
      <c r="Y43" s="97" t="str">
        <f aca="false">IFERROR($B43*$G43*SIN(RADIANS($F43-$U43))/($D43*SIN(RADIANS($V43-$U43))),"")</f>
        <v/>
      </c>
      <c r="Z43" s="97" t="str">
        <f aca="false">IFERROR(ABS($D43*$Y43),"")</f>
        <v/>
      </c>
      <c r="AA43" s="97" t="str">
        <f aca="false">IFERROR(SQRT((-$B43*$G43*SIN(RADIANS($F43))-$I43*$X43*SIN(RADIANS($U43+$J43)))^2+($B43*$G43*COS(RADIANS($F43))+$I43*$X43*COS(RADIANS($U43+$J43)))^2),"")</f>
        <v/>
      </c>
      <c r="AB43" s="97" t="str">
        <f aca="false">IFERROR(($AV43*COS(RADIANS($V43))-$AW43*SIN(RADIANS($V43)))/($C43*SIN(RADIANS($V43-$U43))),"")</f>
        <v/>
      </c>
      <c r="AC43" s="97" t="str">
        <f aca="false">IFERROR(($AV43*COS(RADIANS($U43))-$AW43*SIN(RADIANS($U43)))/($D43*SIN(RADIANS($V43-$U43))),"")</f>
        <v/>
      </c>
      <c r="AD43" s="98" t="str">
        <f aca="false">IF(COUNT($B43:$E43)&lt;4,"",IF(MIN($B43:$E43)+MAX($B43:$E43)&lt;SUM($B43:$E43)-MIN($B43:$E43)-MAX($B43:$E43),"Grashof",IF(MIN($B43:$E43)+MAX($B43:$E43)=SUM($B43:$E43)-MIN($B43:$E43)-MAX($B43:$E43),"Punto de cambio","No Grashof")))</f>
        <v/>
      </c>
      <c r="AE43" s="98" t="str">
        <f aca="false">IF(COUNT($B43:$E43)&lt;4,"",IF(MIN($B43:$E43)+MAX($B43:$E43)&gt;SUM($B43:$E43)-MIN($B43:$E43)-MAX($B43:$E43),"Triple balancin",IF(MIN($B43:$E43)+MAX($B43:$E43)=SUM($B43:$E43)-MIN($B43:$E43)-MAX($B43:$E43),"Punto de cambio",IF($E43=MIN($B43:$E43),"Doble manivela",IF($C43=MIN($B43:$E43),"Doble balancin","Manivela-balancin")))))</f>
        <v/>
      </c>
      <c r="AG43" s="99" t="str">
        <f aca="false">IFERROR($E43/$B43,"")</f>
        <v/>
      </c>
      <c r="AH43" s="99" t="str">
        <f aca="false">IFERROR($E43/$D43,"")</f>
        <v/>
      </c>
      <c r="AI43" s="99" t="str">
        <f aca="false">IFERROR(($B43^2-$C43^2+$D43^2+$E43^2)/(2*$B43*$D43),"")</f>
        <v/>
      </c>
      <c r="AJ43" s="99" t="str">
        <f aca="false">IFERROR($E43/$C43,"")</f>
        <v/>
      </c>
      <c r="AK43" s="99" t="str">
        <f aca="false">IFERROR(($D43^2-$E43^2-$B43^2-$C43^2)/(2*$B43*$C43),"")</f>
        <v/>
      </c>
      <c r="AL43" s="99" t="str">
        <f aca="false">IFERROR(COS(RADIANS($F43))-$AG43-$AH43*COS(RADIANS($F43))+$AI43,"")</f>
        <v/>
      </c>
      <c r="AM43" s="99" t="str">
        <f aca="false">IFERROR(IF($B43="","",-2*SIN(RADIANS($F43))),"")</f>
        <v/>
      </c>
      <c r="AN43" s="99" t="str">
        <f aca="false">IFERROR($AG43-($AH43+1)*COS(RADIANS($F43))+$AI43,"")</f>
        <v/>
      </c>
      <c r="AO43" s="99" t="str">
        <f aca="false">IFERROR(COS(RADIANS($F43))-$AG43+$AJ43*COS(RADIANS($F43))+$AK43,"")</f>
        <v/>
      </c>
      <c r="AP43" s="99" t="str">
        <f aca="false">IFERROR(IF($B43="","",-2*SIN(RADIANS($F43))),"")</f>
        <v/>
      </c>
      <c r="AQ43" s="99" t="str">
        <f aca="false">IFERROR($AG43+($AJ43-1)*COS(RADIANS($F43))+$AK43,"")</f>
        <v/>
      </c>
      <c r="AR43" s="99" t="str">
        <f aca="false">IFERROR($AM43^2-4*$AL43*$AN43,"")</f>
        <v/>
      </c>
      <c r="AS43" s="99" t="str">
        <f aca="false">IFERROR($AP43^2-4*$AO43*$AQ43,"")</f>
        <v/>
      </c>
      <c r="AT43" s="99" t="str">
        <f aca="false">IFERROR($B43*$H43*SIN(RADIANS($F43))+$B43*$G43^2*COS(RADIANS($F43))+$C43*$N43^2*COS(RADIANS($K43))-$D43*$O43^2*COS(RADIANS($L43)),"")</f>
        <v/>
      </c>
      <c r="AU43" s="99" t="str">
        <f aca="false">IFERROR($B43*$H43*COS(RADIANS($F43))-$B43*$G43^2*SIN(RADIANS($F43))-$C43*$N43^2*SIN(RADIANS($K43))+$D43*$O43^2*SIN(RADIANS($L43)),"")</f>
        <v/>
      </c>
      <c r="AV43" s="99" t="str">
        <f aca="false">IFERROR($B43*$H43*SIN(RADIANS($F43))+$B43*$G43^2*COS(RADIANS($F43))+$C43*$X43^2*COS(RADIANS($U43))-$D43*$Y43^2*COS(RADIANS($V43)),"")</f>
        <v/>
      </c>
      <c r="AW43" s="99" t="str">
        <f aca="false">IFERROR($B43*$H43*COS(RADIANS($F43))-$B43*$G43^2*SIN(RADIANS($F43))-$C43*$X43^2*SIN(RADIANS($U43))+$D43*$Y43^2*SIN(RADIANS($V43)),"")</f>
        <v/>
      </c>
    </row>
    <row r="44" customFormat="false" ht="12" hidden="false" customHeight="true" outlineLevel="0" collapsed="false">
      <c r="A44" s="95" t="n">
        <v>40</v>
      </c>
      <c r="B44" s="96"/>
      <c r="C44" s="96"/>
      <c r="D44" s="96"/>
      <c r="E44" s="96"/>
      <c r="F44" s="96"/>
      <c r="G44" s="96"/>
      <c r="H44" s="96"/>
      <c r="I44" s="96"/>
      <c r="J44" s="96"/>
      <c r="K44" s="97" t="str">
        <f aca="false">IFERROR(MOD(DEGREES(2*ATAN((-$AP44-SQRT($AS44))/(2*$AO44))),360),"")</f>
        <v/>
      </c>
      <c r="L44" s="97" t="str">
        <f aca="false">IFERROR(MOD(DEGREES(2*ATAN((-$AM44-SQRT($AR44))/(2*$AL44))),360),"")</f>
        <v/>
      </c>
      <c r="M44" s="97" t="str">
        <f aca="false">IFERROR(IF(MOD($L44-$K44,180)&gt;90,180-MOD($L44-$K44,180),MOD($L44-$K44,180)),"")</f>
        <v/>
      </c>
      <c r="N44" s="97" t="str">
        <f aca="false">IFERROR($B44*$G44*SIN(RADIANS($L44-$F44))/($C44*SIN(RADIANS($K44-$L44))),"")</f>
        <v/>
      </c>
      <c r="O44" s="97" t="str">
        <f aca="false">IFERROR($B44*$G44*SIN(RADIANS($F44-$K44))/($D44*SIN(RADIANS($L44-$K44))),"")</f>
        <v/>
      </c>
      <c r="P44" s="97" t="str">
        <f aca="false">IFERROR(IF($B44="","",ABS($B44*$G44)),"")</f>
        <v/>
      </c>
      <c r="Q44" s="97" t="str">
        <f aca="false">IFERROR(ABS($D44*$O44),"")</f>
        <v/>
      </c>
      <c r="R44" s="97" t="str">
        <f aca="false">IFERROR(SQRT((-$B44*$G44*SIN(RADIANS($F44))-$I44*$N44*SIN(RADIANS($K44+$J44)))^2+($B44*$G44*COS(RADIANS($F44))+$I44*$N44*COS(RADIANS($K44+$J44)))^2),"")</f>
        <v/>
      </c>
      <c r="S44" s="97" t="str">
        <f aca="false">IFERROR(($AT44*COS(RADIANS($L44))-$AU44*SIN(RADIANS($L44)))/($C44*SIN(RADIANS($L44-$K44))),"")</f>
        <v/>
      </c>
      <c r="T44" s="97" t="str">
        <f aca="false">IFERROR(($AT44*COS(RADIANS($K44))-$AU44*SIN(RADIANS($K44)))/($D44*SIN(RADIANS($L44-$K44))),"")</f>
        <v/>
      </c>
      <c r="U44" s="97" t="str">
        <f aca="false">IFERROR(MOD(DEGREES(2*ATAN((-$AP44+SQRT($AS44))/(2*$AO44))),360),"")</f>
        <v/>
      </c>
      <c r="V44" s="97" t="str">
        <f aca="false">IFERROR(MOD(DEGREES(2*ATAN((-$AM44+SQRT($AR44))/(2*$AL44))),360),"")</f>
        <v/>
      </c>
      <c r="W44" s="97" t="str">
        <f aca="false">IFERROR(IF(MOD($V44-$U44,180)&gt;90,180-MOD($V44-$U44,180),MOD($V44-$U44,180)),"")</f>
        <v/>
      </c>
      <c r="X44" s="97" t="str">
        <f aca="false">IFERROR($B44*$G44*SIN(RADIANS($V44-$F44))/($C44*SIN(RADIANS($U44-$V44))),"")</f>
        <v/>
      </c>
      <c r="Y44" s="97" t="str">
        <f aca="false">IFERROR($B44*$G44*SIN(RADIANS($F44-$U44))/($D44*SIN(RADIANS($V44-$U44))),"")</f>
        <v/>
      </c>
      <c r="Z44" s="97" t="str">
        <f aca="false">IFERROR(ABS($D44*$Y44),"")</f>
        <v/>
      </c>
      <c r="AA44" s="97" t="str">
        <f aca="false">IFERROR(SQRT((-$B44*$G44*SIN(RADIANS($F44))-$I44*$X44*SIN(RADIANS($U44+$J44)))^2+($B44*$G44*COS(RADIANS($F44))+$I44*$X44*COS(RADIANS($U44+$J44)))^2),"")</f>
        <v/>
      </c>
      <c r="AB44" s="97" t="str">
        <f aca="false">IFERROR(($AV44*COS(RADIANS($V44))-$AW44*SIN(RADIANS($V44)))/($C44*SIN(RADIANS($V44-$U44))),"")</f>
        <v/>
      </c>
      <c r="AC44" s="97" t="str">
        <f aca="false">IFERROR(($AV44*COS(RADIANS($U44))-$AW44*SIN(RADIANS($U44)))/($D44*SIN(RADIANS($V44-$U44))),"")</f>
        <v/>
      </c>
      <c r="AD44" s="98" t="str">
        <f aca="false">IF(COUNT($B44:$E44)&lt;4,"",IF(MIN($B44:$E44)+MAX($B44:$E44)&lt;SUM($B44:$E44)-MIN($B44:$E44)-MAX($B44:$E44),"Grashof",IF(MIN($B44:$E44)+MAX($B44:$E44)=SUM($B44:$E44)-MIN($B44:$E44)-MAX($B44:$E44),"Punto de cambio","No Grashof")))</f>
        <v/>
      </c>
      <c r="AE44" s="98" t="str">
        <f aca="false">IF(COUNT($B44:$E44)&lt;4,"",IF(MIN($B44:$E44)+MAX($B44:$E44)&gt;SUM($B44:$E44)-MIN($B44:$E44)-MAX($B44:$E44),"Triple balancin",IF(MIN($B44:$E44)+MAX($B44:$E44)=SUM($B44:$E44)-MIN($B44:$E44)-MAX($B44:$E44),"Punto de cambio",IF($E44=MIN($B44:$E44),"Doble manivela",IF($C44=MIN($B44:$E44),"Doble balancin","Manivela-balancin")))))</f>
        <v/>
      </c>
      <c r="AG44" s="99" t="str">
        <f aca="false">IFERROR($E44/$B44,"")</f>
        <v/>
      </c>
      <c r="AH44" s="99" t="str">
        <f aca="false">IFERROR($E44/$D44,"")</f>
        <v/>
      </c>
      <c r="AI44" s="99" t="str">
        <f aca="false">IFERROR(($B44^2-$C44^2+$D44^2+$E44^2)/(2*$B44*$D44),"")</f>
        <v/>
      </c>
      <c r="AJ44" s="99" t="str">
        <f aca="false">IFERROR($E44/$C44,"")</f>
        <v/>
      </c>
      <c r="AK44" s="99" t="str">
        <f aca="false">IFERROR(($D44^2-$E44^2-$B44^2-$C44^2)/(2*$B44*$C44),"")</f>
        <v/>
      </c>
      <c r="AL44" s="99" t="str">
        <f aca="false">IFERROR(COS(RADIANS($F44))-$AG44-$AH44*COS(RADIANS($F44))+$AI44,"")</f>
        <v/>
      </c>
      <c r="AM44" s="99" t="str">
        <f aca="false">IFERROR(IF($B44="","",-2*SIN(RADIANS($F44))),"")</f>
        <v/>
      </c>
      <c r="AN44" s="99" t="str">
        <f aca="false">IFERROR($AG44-($AH44+1)*COS(RADIANS($F44))+$AI44,"")</f>
        <v/>
      </c>
      <c r="AO44" s="99" t="str">
        <f aca="false">IFERROR(COS(RADIANS($F44))-$AG44+$AJ44*COS(RADIANS($F44))+$AK44,"")</f>
        <v/>
      </c>
      <c r="AP44" s="99" t="str">
        <f aca="false">IFERROR(IF($B44="","",-2*SIN(RADIANS($F44))),"")</f>
        <v/>
      </c>
      <c r="AQ44" s="99" t="str">
        <f aca="false">IFERROR($AG44+($AJ44-1)*COS(RADIANS($F44))+$AK44,"")</f>
        <v/>
      </c>
      <c r="AR44" s="99" t="str">
        <f aca="false">IFERROR($AM44^2-4*$AL44*$AN44,"")</f>
        <v/>
      </c>
      <c r="AS44" s="99" t="str">
        <f aca="false">IFERROR($AP44^2-4*$AO44*$AQ44,"")</f>
        <v/>
      </c>
      <c r="AT44" s="99" t="str">
        <f aca="false">IFERROR($B44*$H44*SIN(RADIANS($F44))+$B44*$G44^2*COS(RADIANS($F44))+$C44*$N44^2*COS(RADIANS($K44))-$D44*$O44^2*COS(RADIANS($L44)),"")</f>
        <v/>
      </c>
      <c r="AU44" s="99" t="str">
        <f aca="false">IFERROR($B44*$H44*COS(RADIANS($F44))-$B44*$G44^2*SIN(RADIANS($F44))-$C44*$N44^2*SIN(RADIANS($K44))+$D44*$O44^2*SIN(RADIANS($L44)),"")</f>
        <v/>
      </c>
      <c r="AV44" s="99" t="str">
        <f aca="false">IFERROR($B44*$H44*SIN(RADIANS($F44))+$B44*$G44^2*COS(RADIANS($F44))+$C44*$X44^2*COS(RADIANS($U44))-$D44*$Y44^2*COS(RADIANS($V44)),"")</f>
        <v/>
      </c>
      <c r="AW44" s="99" t="str">
        <f aca="false">IFERROR($B44*$H44*COS(RADIANS($F44))-$B44*$G44^2*SIN(RADIANS($F44))-$C44*$X44^2*SIN(RADIANS($U44))+$D44*$Y44^2*SIN(RADIANS($V44)),"")</f>
        <v/>
      </c>
    </row>
    <row r="45" customFormat="false" ht="12" hidden="false" customHeight="true" outlineLevel="0" collapsed="false">
      <c r="A45" s="95" t="n">
        <v>41</v>
      </c>
      <c r="B45" s="96"/>
      <c r="C45" s="96"/>
      <c r="D45" s="96"/>
      <c r="E45" s="96"/>
      <c r="F45" s="96"/>
      <c r="G45" s="96"/>
      <c r="H45" s="96"/>
      <c r="I45" s="96"/>
      <c r="J45" s="96"/>
      <c r="K45" s="97" t="str">
        <f aca="false">IFERROR(MOD(DEGREES(2*ATAN((-$AP45-SQRT($AS45))/(2*$AO45))),360),"")</f>
        <v/>
      </c>
      <c r="L45" s="97" t="str">
        <f aca="false">IFERROR(MOD(DEGREES(2*ATAN((-$AM45-SQRT($AR45))/(2*$AL45))),360),"")</f>
        <v/>
      </c>
      <c r="M45" s="97" t="str">
        <f aca="false">IFERROR(IF(MOD($L45-$K45,180)&gt;90,180-MOD($L45-$K45,180),MOD($L45-$K45,180)),"")</f>
        <v/>
      </c>
      <c r="N45" s="97" t="str">
        <f aca="false">IFERROR($B45*$G45*SIN(RADIANS($L45-$F45))/($C45*SIN(RADIANS($K45-$L45))),"")</f>
        <v/>
      </c>
      <c r="O45" s="97" t="str">
        <f aca="false">IFERROR($B45*$G45*SIN(RADIANS($F45-$K45))/($D45*SIN(RADIANS($L45-$K45))),"")</f>
        <v/>
      </c>
      <c r="P45" s="97" t="str">
        <f aca="false">IFERROR(IF($B45="","",ABS($B45*$G45)),"")</f>
        <v/>
      </c>
      <c r="Q45" s="97" t="str">
        <f aca="false">IFERROR(ABS($D45*$O45),"")</f>
        <v/>
      </c>
      <c r="R45" s="97" t="str">
        <f aca="false">IFERROR(SQRT((-$B45*$G45*SIN(RADIANS($F45))-$I45*$N45*SIN(RADIANS($K45+$J45)))^2+($B45*$G45*COS(RADIANS($F45))+$I45*$N45*COS(RADIANS($K45+$J45)))^2),"")</f>
        <v/>
      </c>
      <c r="S45" s="97" t="str">
        <f aca="false">IFERROR(($AT45*COS(RADIANS($L45))-$AU45*SIN(RADIANS($L45)))/($C45*SIN(RADIANS($L45-$K45))),"")</f>
        <v/>
      </c>
      <c r="T45" s="97" t="str">
        <f aca="false">IFERROR(($AT45*COS(RADIANS($K45))-$AU45*SIN(RADIANS($K45)))/($D45*SIN(RADIANS($L45-$K45))),"")</f>
        <v/>
      </c>
      <c r="U45" s="97" t="str">
        <f aca="false">IFERROR(MOD(DEGREES(2*ATAN((-$AP45+SQRT($AS45))/(2*$AO45))),360),"")</f>
        <v/>
      </c>
      <c r="V45" s="97" t="str">
        <f aca="false">IFERROR(MOD(DEGREES(2*ATAN((-$AM45+SQRT($AR45))/(2*$AL45))),360),"")</f>
        <v/>
      </c>
      <c r="W45" s="97" t="str">
        <f aca="false">IFERROR(IF(MOD($V45-$U45,180)&gt;90,180-MOD($V45-$U45,180),MOD($V45-$U45,180)),"")</f>
        <v/>
      </c>
      <c r="X45" s="97" t="str">
        <f aca="false">IFERROR($B45*$G45*SIN(RADIANS($V45-$F45))/($C45*SIN(RADIANS($U45-$V45))),"")</f>
        <v/>
      </c>
      <c r="Y45" s="97" t="str">
        <f aca="false">IFERROR($B45*$G45*SIN(RADIANS($F45-$U45))/($D45*SIN(RADIANS($V45-$U45))),"")</f>
        <v/>
      </c>
      <c r="Z45" s="97" t="str">
        <f aca="false">IFERROR(ABS($D45*$Y45),"")</f>
        <v/>
      </c>
      <c r="AA45" s="97" t="str">
        <f aca="false">IFERROR(SQRT((-$B45*$G45*SIN(RADIANS($F45))-$I45*$X45*SIN(RADIANS($U45+$J45)))^2+($B45*$G45*COS(RADIANS($F45))+$I45*$X45*COS(RADIANS($U45+$J45)))^2),"")</f>
        <v/>
      </c>
      <c r="AB45" s="97" t="str">
        <f aca="false">IFERROR(($AV45*COS(RADIANS($V45))-$AW45*SIN(RADIANS($V45)))/($C45*SIN(RADIANS($V45-$U45))),"")</f>
        <v/>
      </c>
      <c r="AC45" s="97" t="str">
        <f aca="false">IFERROR(($AV45*COS(RADIANS($U45))-$AW45*SIN(RADIANS($U45)))/($D45*SIN(RADIANS($V45-$U45))),"")</f>
        <v/>
      </c>
      <c r="AD45" s="98" t="str">
        <f aca="false">IF(COUNT($B45:$E45)&lt;4,"",IF(MIN($B45:$E45)+MAX($B45:$E45)&lt;SUM($B45:$E45)-MIN($B45:$E45)-MAX($B45:$E45),"Grashof",IF(MIN($B45:$E45)+MAX($B45:$E45)=SUM($B45:$E45)-MIN($B45:$E45)-MAX($B45:$E45),"Punto de cambio","No Grashof")))</f>
        <v/>
      </c>
      <c r="AE45" s="98" t="str">
        <f aca="false">IF(COUNT($B45:$E45)&lt;4,"",IF(MIN($B45:$E45)+MAX($B45:$E45)&gt;SUM($B45:$E45)-MIN($B45:$E45)-MAX($B45:$E45),"Triple balancin",IF(MIN($B45:$E45)+MAX($B45:$E45)=SUM($B45:$E45)-MIN($B45:$E45)-MAX($B45:$E45),"Punto de cambio",IF($E45=MIN($B45:$E45),"Doble manivela",IF($C45=MIN($B45:$E45),"Doble balancin","Manivela-balancin")))))</f>
        <v/>
      </c>
      <c r="AG45" s="99" t="str">
        <f aca="false">IFERROR($E45/$B45,"")</f>
        <v/>
      </c>
      <c r="AH45" s="99" t="str">
        <f aca="false">IFERROR($E45/$D45,"")</f>
        <v/>
      </c>
      <c r="AI45" s="99" t="str">
        <f aca="false">IFERROR(($B45^2-$C45^2+$D45^2+$E45^2)/(2*$B45*$D45),"")</f>
        <v/>
      </c>
      <c r="AJ45" s="99" t="str">
        <f aca="false">IFERROR($E45/$C45,"")</f>
        <v/>
      </c>
      <c r="AK45" s="99" t="str">
        <f aca="false">IFERROR(($D45^2-$E45^2-$B45^2-$C45^2)/(2*$B45*$C45),"")</f>
        <v/>
      </c>
      <c r="AL45" s="99" t="str">
        <f aca="false">IFERROR(COS(RADIANS($F45))-$AG45-$AH45*COS(RADIANS($F45))+$AI45,"")</f>
        <v/>
      </c>
      <c r="AM45" s="99" t="str">
        <f aca="false">IFERROR(IF($B45="","",-2*SIN(RADIANS($F45))),"")</f>
        <v/>
      </c>
      <c r="AN45" s="99" t="str">
        <f aca="false">IFERROR($AG45-($AH45+1)*COS(RADIANS($F45))+$AI45,"")</f>
        <v/>
      </c>
      <c r="AO45" s="99" t="str">
        <f aca="false">IFERROR(COS(RADIANS($F45))-$AG45+$AJ45*COS(RADIANS($F45))+$AK45,"")</f>
        <v/>
      </c>
      <c r="AP45" s="99" t="str">
        <f aca="false">IFERROR(IF($B45="","",-2*SIN(RADIANS($F45))),"")</f>
        <v/>
      </c>
      <c r="AQ45" s="99" t="str">
        <f aca="false">IFERROR($AG45+($AJ45-1)*COS(RADIANS($F45))+$AK45,"")</f>
        <v/>
      </c>
      <c r="AR45" s="99" t="str">
        <f aca="false">IFERROR($AM45^2-4*$AL45*$AN45,"")</f>
        <v/>
      </c>
      <c r="AS45" s="99" t="str">
        <f aca="false">IFERROR($AP45^2-4*$AO45*$AQ45,"")</f>
        <v/>
      </c>
      <c r="AT45" s="99" t="str">
        <f aca="false">IFERROR($B45*$H45*SIN(RADIANS($F45))+$B45*$G45^2*COS(RADIANS($F45))+$C45*$N45^2*COS(RADIANS($K45))-$D45*$O45^2*COS(RADIANS($L45)),"")</f>
        <v/>
      </c>
      <c r="AU45" s="99" t="str">
        <f aca="false">IFERROR($B45*$H45*COS(RADIANS($F45))-$B45*$G45^2*SIN(RADIANS($F45))-$C45*$N45^2*SIN(RADIANS($K45))+$D45*$O45^2*SIN(RADIANS($L45)),"")</f>
        <v/>
      </c>
      <c r="AV45" s="99" t="str">
        <f aca="false">IFERROR($B45*$H45*SIN(RADIANS($F45))+$B45*$G45^2*COS(RADIANS($F45))+$C45*$X45^2*COS(RADIANS($U45))-$D45*$Y45^2*COS(RADIANS($V45)),"")</f>
        <v/>
      </c>
      <c r="AW45" s="99" t="str">
        <f aca="false">IFERROR($B45*$H45*COS(RADIANS($F45))-$B45*$G45^2*SIN(RADIANS($F45))-$C45*$X45^2*SIN(RADIANS($U45))+$D45*$Y45^2*SIN(RADIANS($V45)),"")</f>
        <v/>
      </c>
    </row>
    <row r="46" customFormat="false" ht="12" hidden="false" customHeight="true" outlineLevel="0" collapsed="false">
      <c r="A46" s="95" t="n">
        <v>42</v>
      </c>
      <c r="B46" s="96"/>
      <c r="C46" s="96"/>
      <c r="D46" s="96"/>
      <c r="E46" s="96"/>
      <c r="F46" s="96"/>
      <c r="G46" s="96"/>
      <c r="H46" s="96"/>
      <c r="I46" s="96"/>
      <c r="J46" s="96"/>
      <c r="K46" s="97" t="str">
        <f aca="false">IFERROR(MOD(DEGREES(2*ATAN((-$AP46-SQRT($AS46))/(2*$AO46))),360),"")</f>
        <v/>
      </c>
      <c r="L46" s="97" t="str">
        <f aca="false">IFERROR(MOD(DEGREES(2*ATAN((-$AM46-SQRT($AR46))/(2*$AL46))),360),"")</f>
        <v/>
      </c>
      <c r="M46" s="97" t="str">
        <f aca="false">IFERROR(IF(MOD($L46-$K46,180)&gt;90,180-MOD($L46-$K46,180),MOD($L46-$K46,180)),"")</f>
        <v/>
      </c>
      <c r="N46" s="97" t="str">
        <f aca="false">IFERROR($B46*$G46*SIN(RADIANS($L46-$F46))/($C46*SIN(RADIANS($K46-$L46))),"")</f>
        <v/>
      </c>
      <c r="O46" s="97" t="str">
        <f aca="false">IFERROR($B46*$G46*SIN(RADIANS($F46-$K46))/($D46*SIN(RADIANS($L46-$K46))),"")</f>
        <v/>
      </c>
      <c r="P46" s="97" t="str">
        <f aca="false">IFERROR(IF($B46="","",ABS($B46*$G46)),"")</f>
        <v/>
      </c>
      <c r="Q46" s="97" t="str">
        <f aca="false">IFERROR(ABS($D46*$O46),"")</f>
        <v/>
      </c>
      <c r="R46" s="97" t="str">
        <f aca="false">IFERROR(SQRT((-$B46*$G46*SIN(RADIANS($F46))-$I46*$N46*SIN(RADIANS($K46+$J46)))^2+($B46*$G46*COS(RADIANS($F46))+$I46*$N46*COS(RADIANS($K46+$J46)))^2),"")</f>
        <v/>
      </c>
      <c r="S46" s="97" t="str">
        <f aca="false">IFERROR(($AT46*COS(RADIANS($L46))-$AU46*SIN(RADIANS($L46)))/($C46*SIN(RADIANS($L46-$K46))),"")</f>
        <v/>
      </c>
      <c r="T46" s="97" t="str">
        <f aca="false">IFERROR(($AT46*COS(RADIANS($K46))-$AU46*SIN(RADIANS($K46)))/($D46*SIN(RADIANS($L46-$K46))),"")</f>
        <v/>
      </c>
      <c r="U46" s="97" t="str">
        <f aca="false">IFERROR(MOD(DEGREES(2*ATAN((-$AP46+SQRT($AS46))/(2*$AO46))),360),"")</f>
        <v/>
      </c>
      <c r="V46" s="97" t="str">
        <f aca="false">IFERROR(MOD(DEGREES(2*ATAN((-$AM46+SQRT($AR46))/(2*$AL46))),360),"")</f>
        <v/>
      </c>
      <c r="W46" s="97" t="str">
        <f aca="false">IFERROR(IF(MOD($V46-$U46,180)&gt;90,180-MOD($V46-$U46,180),MOD($V46-$U46,180)),"")</f>
        <v/>
      </c>
      <c r="X46" s="97" t="str">
        <f aca="false">IFERROR($B46*$G46*SIN(RADIANS($V46-$F46))/($C46*SIN(RADIANS($U46-$V46))),"")</f>
        <v/>
      </c>
      <c r="Y46" s="97" t="str">
        <f aca="false">IFERROR($B46*$G46*SIN(RADIANS($F46-$U46))/($D46*SIN(RADIANS($V46-$U46))),"")</f>
        <v/>
      </c>
      <c r="Z46" s="97" t="str">
        <f aca="false">IFERROR(ABS($D46*$Y46),"")</f>
        <v/>
      </c>
      <c r="AA46" s="97" t="str">
        <f aca="false">IFERROR(SQRT((-$B46*$G46*SIN(RADIANS($F46))-$I46*$X46*SIN(RADIANS($U46+$J46)))^2+($B46*$G46*COS(RADIANS($F46))+$I46*$X46*COS(RADIANS($U46+$J46)))^2),"")</f>
        <v/>
      </c>
      <c r="AB46" s="97" t="str">
        <f aca="false">IFERROR(($AV46*COS(RADIANS($V46))-$AW46*SIN(RADIANS($V46)))/($C46*SIN(RADIANS($V46-$U46))),"")</f>
        <v/>
      </c>
      <c r="AC46" s="97" t="str">
        <f aca="false">IFERROR(($AV46*COS(RADIANS($U46))-$AW46*SIN(RADIANS($U46)))/($D46*SIN(RADIANS($V46-$U46))),"")</f>
        <v/>
      </c>
      <c r="AD46" s="98" t="str">
        <f aca="false">IF(COUNT($B46:$E46)&lt;4,"",IF(MIN($B46:$E46)+MAX($B46:$E46)&lt;SUM($B46:$E46)-MIN($B46:$E46)-MAX($B46:$E46),"Grashof",IF(MIN($B46:$E46)+MAX($B46:$E46)=SUM($B46:$E46)-MIN($B46:$E46)-MAX($B46:$E46),"Punto de cambio","No Grashof")))</f>
        <v/>
      </c>
      <c r="AE46" s="98" t="str">
        <f aca="false">IF(COUNT($B46:$E46)&lt;4,"",IF(MIN($B46:$E46)+MAX($B46:$E46)&gt;SUM($B46:$E46)-MIN($B46:$E46)-MAX($B46:$E46),"Triple balancin",IF(MIN($B46:$E46)+MAX($B46:$E46)=SUM($B46:$E46)-MIN($B46:$E46)-MAX($B46:$E46),"Punto de cambio",IF($E46=MIN($B46:$E46),"Doble manivela",IF($C46=MIN($B46:$E46),"Doble balancin","Manivela-balancin")))))</f>
        <v/>
      </c>
      <c r="AG46" s="99" t="str">
        <f aca="false">IFERROR($E46/$B46,"")</f>
        <v/>
      </c>
      <c r="AH46" s="99" t="str">
        <f aca="false">IFERROR($E46/$D46,"")</f>
        <v/>
      </c>
      <c r="AI46" s="99" t="str">
        <f aca="false">IFERROR(($B46^2-$C46^2+$D46^2+$E46^2)/(2*$B46*$D46),"")</f>
        <v/>
      </c>
      <c r="AJ46" s="99" t="str">
        <f aca="false">IFERROR($E46/$C46,"")</f>
        <v/>
      </c>
      <c r="AK46" s="99" t="str">
        <f aca="false">IFERROR(($D46^2-$E46^2-$B46^2-$C46^2)/(2*$B46*$C46),"")</f>
        <v/>
      </c>
      <c r="AL46" s="99" t="str">
        <f aca="false">IFERROR(COS(RADIANS($F46))-$AG46-$AH46*COS(RADIANS($F46))+$AI46,"")</f>
        <v/>
      </c>
      <c r="AM46" s="99" t="str">
        <f aca="false">IFERROR(IF($B46="","",-2*SIN(RADIANS($F46))),"")</f>
        <v/>
      </c>
      <c r="AN46" s="99" t="str">
        <f aca="false">IFERROR($AG46-($AH46+1)*COS(RADIANS($F46))+$AI46,"")</f>
        <v/>
      </c>
      <c r="AO46" s="99" t="str">
        <f aca="false">IFERROR(COS(RADIANS($F46))-$AG46+$AJ46*COS(RADIANS($F46))+$AK46,"")</f>
        <v/>
      </c>
      <c r="AP46" s="99" t="str">
        <f aca="false">IFERROR(IF($B46="","",-2*SIN(RADIANS($F46))),"")</f>
        <v/>
      </c>
      <c r="AQ46" s="99" t="str">
        <f aca="false">IFERROR($AG46+($AJ46-1)*COS(RADIANS($F46))+$AK46,"")</f>
        <v/>
      </c>
      <c r="AR46" s="99" t="str">
        <f aca="false">IFERROR($AM46^2-4*$AL46*$AN46,"")</f>
        <v/>
      </c>
      <c r="AS46" s="99" t="str">
        <f aca="false">IFERROR($AP46^2-4*$AO46*$AQ46,"")</f>
        <v/>
      </c>
      <c r="AT46" s="99" t="str">
        <f aca="false">IFERROR($B46*$H46*SIN(RADIANS($F46))+$B46*$G46^2*COS(RADIANS($F46))+$C46*$N46^2*COS(RADIANS($K46))-$D46*$O46^2*COS(RADIANS($L46)),"")</f>
        <v/>
      </c>
      <c r="AU46" s="99" t="str">
        <f aca="false">IFERROR($B46*$H46*COS(RADIANS($F46))-$B46*$G46^2*SIN(RADIANS($F46))-$C46*$N46^2*SIN(RADIANS($K46))+$D46*$O46^2*SIN(RADIANS($L46)),"")</f>
        <v/>
      </c>
      <c r="AV46" s="99" t="str">
        <f aca="false">IFERROR($B46*$H46*SIN(RADIANS($F46))+$B46*$G46^2*COS(RADIANS($F46))+$C46*$X46^2*COS(RADIANS($U46))-$D46*$Y46^2*COS(RADIANS($V46)),"")</f>
        <v/>
      </c>
      <c r="AW46" s="99" t="str">
        <f aca="false">IFERROR($B46*$H46*COS(RADIANS($F46))-$B46*$G46^2*SIN(RADIANS($F46))-$C46*$X46^2*SIN(RADIANS($U46))+$D46*$Y46^2*SIN(RADIANS($V46)),"")</f>
        <v/>
      </c>
    </row>
    <row r="47" customFormat="false" ht="12" hidden="false" customHeight="true" outlineLevel="0" collapsed="false">
      <c r="A47" s="95" t="n">
        <v>43</v>
      </c>
      <c r="B47" s="96"/>
      <c r="C47" s="96"/>
      <c r="D47" s="96"/>
      <c r="E47" s="96"/>
      <c r="F47" s="96"/>
      <c r="G47" s="96"/>
      <c r="H47" s="96"/>
      <c r="I47" s="96"/>
      <c r="J47" s="96"/>
      <c r="K47" s="97" t="str">
        <f aca="false">IFERROR(MOD(DEGREES(2*ATAN((-$AP47-SQRT($AS47))/(2*$AO47))),360),"")</f>
        <v/>
      </c>
      <c r="L47" s="97" t="str">
        <f aca="false">IFERROR(MOD(DEGREES(2*ATAN((-$AM47-SQRT($AR47))/(2*$AL47))),360),"")</f>
        <v/>
      </c>
      <c r="M47" s="97" t="str">
        <f aca="false">IFERROR(IF(MOD($L47-$K47,180)&gt;90,180-MOD($L47-$K47,180),MOD($L47-$K47,180)),"")</f>
        <v/>
      </c>
      <c r="N47" s="97" t="str">
        <f aca="false">IFERROR($B47*$G47*SIN(RADIANS($L47-$F47))/($C47*SIN(RADIANS($K47-$L47))),"")</f>
        <v/>
      </c>
      <c r="O47" s="97" t="str">
        <f aca="false">IFERROR($B47*$G47*SIN(RADIANS($F47-$K47))/($D47*SIN(RADIANS($L47-$K47))),"")</f>
        <v/>
      </c>
      <c r="P47" s="97" t="str">
        <f aca="false">IFERROR(IF($B47="","",ABS($B47*$G47)),"")</f>
        <v/>
      </c>
      <c r="Q47" s="97" t="str">
        <f aca="false">IFERROR(ABS($D47*$O47),"")</f>
        <v/>
      </c>
      <c r="R47" s="97" t="str">
        <f aca="false">IFERROR(SQRT((-$B47*$G47*SIN(RADIANS($F47))-$I47*$N47*SIN(RADIANS($K47+$J47)))^2+($B47*$G47*COS(RADIANS($F47))+$I47*$N47*COS(RADIANS($K47+$J47)))^2),"")</f>
        <v/>
      </c>
      <c r="S47" s="97" t="str">
        <f aca="false">IFERROR(($AT47*COS(RADIANS($L47))-$AU47*SIN(RADIANS($L47)))/($C47*SIN(RADIANS($L47-$K47))),"")</f>
        <v/>
      </c>
      <c r="T47" s="97" t="str">
        <f aca="false">IFERROR(($AT47*COS(RADIANS($K47))-$AU47*SIN(RADIANS($K47)))/($D47*SIN(RADIANS($L47-$K47))),"")</f>
        <v/>
      </c>
      <c r="U47" s="97" t="str">
        <f aca="false">IFERROR(MOD(DEGREES(2*ATAN((-$AP47+SQRT($AS47))/(2*$AO47))),360),"")</f>
        <v/>
      </c>
      <c r="V47" s="97" t="str">
        <f aca="false">IFERROR(MOD(DEGREES(2*ATAN((-$AM47+SQRT($AR47))/(2*$AL47))),360),"")</f>
        <v/>
      </c>
      <c r="W47" s="97" t="str">
        <f aca="false">IFERROR(IF(MOD($V47-$U47,180)&gt;90,180-MOD($V47-$U47,180),MOD($V47-$U47,180)),"")</f>
        <v/>
      </c>
      <c r="X47" s="97" t="str">
        <f aca="false">IFERROR($B47*$G47*SIN(RADIANS($V47-$F47))/($C47*SIN(RADIANS($U47-$V47))),"")</f>
        <v/>
      </c>
      <c r="Y47" s="97" t="str">
        <f aca="false">IFERROR($B47*$G47*SIN(RADIANS($F47-$U47))/($D47*SIN(RADIANS($V47-$U47))),"")</f>
        <v/>
      </c>
      <c r="Z47" s="97" t="str">
        <f aca="false">IFERROR(ABS($D47*$Y47),"")</f>
        <v/>
      </c>
      <c r="AA47" s="97" t="str">
        <f aca="false">IFERROR(SQRT((-$B47*$G47*SIN(RADIANS($F47))-$I47*$X47*SIN(RADIANS($U47+$J47)))^2+($B47*$G47*COS(RADIANS($F47))+$I47*$X47*COS(RADIANS($U47+$J47)))^2),"")</f>
        <v/>
      </c>
      <c r="AB47" s="97" t="str">
        <f aca="false">IFERROR(($AV47*COS(RADIANS($V47))-$AW47*SIN(RADIANS($V47)))/($C47*SIN(RADIANS($V47-$U47))),"")</f>
        <v/>
      </c>
      <c r="AC47" s="97" t="str">
        <f aca="false">IFERROR(($AV47*COS(RADIANS($U47))-$AW47*SIN(RADIANS($U47)))/($D47*SIN(RADIANS($V47-$U47))),"")</f>
        <v/>
      </c>
      <c r="AD47" s="98" t="str">
        <f aca="false">IF(COUNT($B47:$E47)&lt;4,"",IF(MIN($B47:$E47)+MAX($B47:$E47)&lt;SUM($B47:$E47)-MIN($B47:$E47)-MAX($B47:$E47),"Grashof",IF(MIN($B47:$E47)+MAX($B47:$E47)=SUM($B47:$E47)-MIN($B47:$E47)-MAX($B47:$E47),"Punto de cambio","No Grashof")))</f>
        <v/>
      </c>
      <c r="AE47" s="98" t="str">
        <f aca="false">IF(COUNT($B47:$E47)&lt;4,"",IF(MIN($B47:$E47)+MAX($B47:$E47)&gt;SUM($B47:$E47)-MIN($B47:$E47)-MAX($B47:$E47),"Triple balancin",IF(MIN($B47:$E47)+MAX($B47:$E47)=SUM($B47:$E47)-MIN($B47:$E47)-MAX($B47:$E47),"Punto de cambio",IF($E47=MIN($B47:$E47),"Doble manivela",IF($C47=MIN($B47:$E47),"Doble balancin","Manivela-balancin")))))</f>
        <v/>
      </c>
      <c r="AG47" s="99" t="str">
        <f aca="false">IFERROR($E47/$B47,"")</f>
        <v/>
      </c>
      <c r="AH47" s="99" t="str">
        <f aca="false">IFERROR($E47/$D47,"")</f>
        <v/>
      </c>
      <c r="AI47" s="99" t="str">
        <f aca="false">IFERROR(($B47^2-$C47^2+$D47^2+$E47^2)/(2*$B47*$D47),"")</f>
        <v/>
      </c>
      <c r="AJ47" s="99" t="str">
        <f aca="false">IFERROR($E47/$C47,"")</f>
        <v/>
      </c>
      <c r="AK47" s="99" t="str">
        <f aca="false">IFERROR(($D47^2-$E47^2-$B47^2-$C47^2)/(2*$B47*$C47),"")</f>
        <v/>
      </c>
      <c r="AL47" s="99" t="str">
        <f aca="false">IFERROR(COS(RADIANS($F47))-$AG47-$AH47*COS(RADIANS($F47))+$AI47,"")</f>
        <v/>
      </c>
      <c r="AM47" s="99" t="str">
        <f aca="false">IFERROR(IF($B47="","",-2*SIN(RADIANS($F47))),"")</f>
        <v/>
      </c>
      <c r="AN47" s="99" t="str">
        <f aca="false">IFERROR($AG47-($AH47+1)*COS(RADIANS($F47))+$AI47,"")</f>
        <v/>
      </c>
      <c r="AO47" s="99" t="str">
        <f aca="false">IFERROR(COS(RADIANS($F47))-$AG47+$AJ47*COS(RADIANS($F47))+$AK47,"")</f>
        <v/>
      </c>
      <c r="AP47" s="99" t="str">
        <f aca="false">IFERROR(IF($B47="","",-2*SIN(RADIANS($F47))),"")</f>
        <v/>
      </c>
      <c r="AQ47" s="99" t="str">
        <f aca="false">IFERROR($AG47+($AJ47-1)*COS(RADIANS($F47))+$AK47,"")</f>
        <v/>
      </c>
      <c r="AR47" s="99" t="str">
        <f aca="false">IFERROR($AM47^2-4*$AL47*$AN47,"")</f>
        <v/>
      </c>
      <c r="AS47" s="99" t="str">
        <f aca="false">IFERROR($AP47^2-4*$AO47*$AQ47,"")</f>
        <v/>
      </c>
      <c r="AT47" s="99" t="str">
        <f aca="false">IFERROR($B47*$H47*SIN(RADIANS($F47))+$B47*$G47^2*COS(RADIANS($F47))+$C47*$N47^2*COS(RADIANS($K47))-$D47*$O47^2*COS(RADIANS($L47)),"")</f>
        <v/>
      </c>
      <c r="AU47" s="99" t="str">
        <f aca="false">IFERROR($B47*$H47*COS(RADIANS($F47))-$B47*$G47^2*SIN(RADIANS($F47))-$C47*$N47^2*SIN(RADIANS($K47))+$D47*$O47^2*SIN(RADIANS($L47)),"")</f>
        <v/>
      </c>
      <c r="AV47" s="99" t="str">
        <f aca="false">IFERROR($B47*$H47*SIN(RADIANS($F47))+$B47*$G47^2*COS(RADIANS($F47))+$C47*$X47^2*COS(RADIANS($U47))-$D47*$Y47^2*COS(RADIANS($V47)),"")</f>
        <v/>
      </c>
      <c r="AW47" s="99" t="str">
        <f aca="false">IFERROR($B47*$H47*COS(RADIANS($F47))-$B47*$G47^2*SIN(RADIANS($F47))-$C47*$X47^2*SIN(RADIANS($U47))+$D47*$Y47^2*SIN(RADIANS($V47)),"")</f>
        <v/>
      </c>
    </row>
    <row r="48" customFormat="false" ht="12" hidden="false" customHeight="true" outlineLevel="0" collapsed="false">
      <c r="A48" s="95" t="n">
        <v>44</v>
      </c>
      <c r="B48" s="96"/>
      <c r="C48" s="96"/>
      <c r="D48" s="96"/>
      <c r="E48" s="96"/>
      <c r="F48" s="96"/>
      <c r="G48" s="96"/>
      <c r="H48" s="96"/>
      <c r="I48" s="96"/>
      <c r="J48" s="96"/>
      <c r="K48" s="97" t="str">
        <f aca="false">IFERROR(MOD(DEGREES(2*ATAN((-$AP48-SQRT($AS48))/(2*$AO48))),360),"")</f>
        <v/>
      </c>
      <c r="L48" s="97" t="str">
        <f aca="false">IFERROR(MOD(DEGREES(2*ATAN((-$AM48-SQRT($AR48))/(2*$AL48))),360),"")</f>
        <v/>
      </c>
      <c r="M48" s="97" t="str">
        <f aca="false">IFERROR(IF(MOD($L48-$K48,180)&gt;90,180-MOD($L48-$K48,180),MOD($L48-$K48,180)),"")</f>
        <v/>
      </c>
      <c r="N48" s="97" t="str">
        <f aca="false">IFERROR($B48*$G48*SIN(RADIANS($L48-$F48))/($C48*SIN(RADIANS($K48-$L48))),"")</f>
        <v/>
      </c>
      <c r="O48" s="97" t="str">
        <f aca="false">IFERROR($B48*$G48*SIN(RADIANS($F48-$K48))/($D48*SIN(RADIANS($L48-$K48))),"")</f>
        <v/>
      </c>
      <c r="P48" s="97" t="str">
        <f aca="false">IFERROR(IF($B48="","",ABS($B48*$G48)),"")</f>
        <v/>
      </c>
      <c r="Q48" s="97" t="str">
        <f aca="false">IFERROR(ABS($D48*$O48),"")</f>
        <v/>
      </c>
      <c r="R48" s="97" t="str">
        <f aca="false">IFERROR(SQRT((-$B48*$G48*SIN(RADIANS($F48))-$I48*$N48*SIN(RADIANS($K48+$J48)))^2+($B48*$G48*COS(RADIANS($F48))+$I48*$N48*COS(RADIANS($K48+$J48)))^2),"")</f>
        <v/>
      </c>
      <c r="S48" s="97" t="str">
        <f aca="false">IFERROR(($AT48*COS(RADIANS($L48))-$AU48*SIN(RADIANS($L48)))/($C48*SIN(RADIANS($L48-$K48))),"")</f>
        <v/>
      </c>
      <c r="T48" s="97" t="str">
        <f aca="false">IFERROR(($AT48*COS(RADIANS($K48))-$AU48*SIN(RADIANS($K48)))/($D48*SIN(RADIANS($L48-$K48))),"")</f>
        <v/>
      </c>
      <c r="U48" s="97" t="str">
        <f aca="false">IFERROR(MOD(DEGREES(2*ATAN((-$AP48+SQRT($AS48))/(2*$AO48))),360),"")</f>
        <v/>
      </c>
      <c r="V48" s="97" t="str">
        <f aca="false">IFERROR(MOD(DEGREES(2*ATAN((-$AM48+SQRT($AR48))/(2*$AL48))),360),"")</f>
        <v/>
      </c>
      <c r="W48" s="97" t="str">
        <f aca="false">IFERROR(IF(MOD($V48-$U48,180)&gt;90,180-MOD($V48-$U48,180),MOD($V48-$U48,180)),"")</f>
        <v/>
      </c>
      <c r="X48" s="97" t="str">
        <f aca="false">IFERROR($B48*$G48*SIN(RADIANS($V48-$F48))/($C48*SIN(RADIANS($U48-$V48))),"")</f>
        <v/>
      </c>
      <c r="Y48" s="97" t="str">
        <f aca="false">IFERROR($B48*$G48*SIN(RADIANS($F48-$U48))/($D48*SIN(RADIANS($V48-$U48))),"")</f>
        <v/>
      </c>
      <c r="Z48" s="97" t="str">
        <f aca="false">IFERROR(ABS($D48*$Y48),"")</f>
        <v/>
      </c>
      <c r="AA48" s="97" t="str">
        <f aca="false">IFERROR(SQRT((-$B48*$G48*SIN(RADIANS($F48))-$I48*$X48*SIN(RADIANS($U48+$J48)))^2+($B48*$G48*COS(RADIANS($F48))+$I48*$X48*COS(RADIANS($U48+$J48)))^2),"")</f>
        <v/>
      </c>
      <c r="AB48" s="97" t="str">
        <f aca="false">IFERROR(($AV48*COS(RADIANS($V48))-$AW48*SIN(RADIANS($V48)))/($C48*SIN(RADIANS($V48-$U48))),"")</f>
        <v/>
      </c>
      <c r="AC48" s="97" t="str">
        <f aca="false">IFERROR(($AV48*COS(RADIANS($U48))-$AW48*SIN(RADIANS($U48)))/($D48*SIN(RADIANS($V48-$U48))),"")</f>
        <v/>
      </c>
      <c r="AD48" s="98" t="str">
        <f aca="false">IF(COUNT($B48:$E48)&lt;4,"",IF(MIN($B48:$E48)+MAX($B48:$E48)&lt;SUM($B48:$E48)-MIN($B48:$E48)-MAX($B48:$E48),"Grashof",IF(MIN($B48:$E48)+MAX($B48:$E48)=SUM($B48:$E48)-MIN($B48:$E48)-MAX($B48:$E48),"Punto de cambio","No Grashof")))</f>
        <v/>
      </c>
      <c r="AE48" s="98" t="str">
        <f aca="false">IF(COUNT($B48:$E48)&lt;4,"",IF(MIN($B48:$E48)+MAX($B48:$E48)&gt;SUM($B48:$E48)-MIN($B48:$E48)-MAX($B48:$E48),"Triple balancin",IF(MIN($B48:$E48)+MAX($B48:$E48)=SUM($B48:$E48)-MIN($B48:$E48)-MAX($B48:$E48),"Punto de cambio",IF($E48=MIN($B48:$E48),"Doble manivela",IF($C48=MIN($B48:$E48),"Doble balancin","Manivela-balancin")))))</f>
        <v/>
      </c>
      <c r="AG48" s="99" t="str">
        <f aca="false">IFERROR($E48/$B48,"")</f>
        <v/>
      </c>
      <c r="AH48" s="99" t="str">
        <f aca="false">IFERROR($E48/$D48,"")</f>
        <v/>
      </c>
      <c r="AI48" s="99" t="str">
        <f aca="false">IFERROR(($B48^2-$C48^2+$D48^2+$E48^2)/(2*$B48*$D48),"")</f>
        <v/>
      </c>
      <c r="AJ48" s="99" t="str">
        <f aca="false">IFERROR($E48/$C48,"")</f>
        <v/>
      </c>
      <c r="AK48" s="99" t="str">
        <f aca="false">IFERROR(($D48^2-$E48^2-$B48^2-$C48^2)/(2*$B48*$C48),"")</f>
        <v/>
      </c>
      <c r="AL48" s="99" t="str">
        <f aca="false">IFERROR(COS(RADIANS($F48))-$AG48-$AH48*COS(RADIANS($F48))+$AI48,"")</f>
        <v/>
      </c>
      <c r="AM48" s="99" t="str">
        <f aca="false">IFERROR(IF($B48="","",-2*SIN(RADIANS($F48))),"")</f>
        <v/>
      </c>
      <c r="AN48" s="99" t="str">
        <f aca="false">IFERROR($AG48-($AH48+1)*COS(RADIANS($F48))+$AI48,"")</f>
        <v/>
      </c>
      <c r="AO48" s="99" t="str">
        <f aca="false">IFERROR(COS(RADIANS($F48))-$AG48+$AJ48*COS(RADIANS($F48))+$AK48,"")</f>
        <v/>
      </c>
      <c r="AP48" s="99" t="str">
        <f aca="false">IFERROR(IF($B48="","",-2*SIN(RADIANS($F48))),"")</f>
        <v/>
      </c>
      <c r="AQ48" s="99" t="str">
        <f aca="false">IFERROR($AG48+($AJ48-1)*COS(RADIANS($F48))+$AK48,"")</f>
        <v/>
      </c>
      <c r="AR48" s="99" t="str">
        <f aca="false">IFERROR($AM48^2-4*$AL48*$AN48,"")</f>
        <v/>
      </c>
      <c r="AS48" s="99" t="str">
        <f aca="false">IFERROR($AP48^2-4*$AO48*$AQ48,"")</f>
        <v/>
      </c>
      <c r="AT48" s="99" t="str">
        <f aca="false">IFERROR($B48*$H48*SIN(RADIANS($F48))+$B48*$G48^2*COS(RADIANS($F48))+$C48*$N48^2*COS(RADIANS($K48))-$D48*$O48^2*COS(RADIANS($L48)),"")</f>
        <v/>
      </c>
      <c r="AU48" s="99" t="str">
        <f aca="false">IFERROR($B48*$H48*COS(RADIANS($F48))-$B48*$G48^2*SIN(RADIANS($F48))-$C48*$N48^2*SIN(RADIANS($K48))+$D48*$O48^2*SIN(RADIANS($L48)),"")</f>
        <v/>
      </c>
      <c r="AV48" s="99" t="str">
        <f aca="false">IFERROR($B48*$H48*SIN(RADIANS($F48))+$B48*$G48^2*COS(RADIANS($F48))+$C48*$X48^2*COS(RADIANS($U48))-$D48*$Y48^2*COS(RADIANS($V48)),"")</f>
        <v/>
      </c>
      <c r="AW48" s="99" t="str">
        <f aca="false">IFERROR($B48*$H48*COS(RADIANS($F48))-$B48*$G48^2*SIN(RADIANS($F48))-$C48*$X48^2*SIN(RADIANS($U48))+$D48*$Y48^2*SIN(RADIANS($V48)),"")</f>
        <v/>
      </c>
    </row>
    <row r="49" customFormat="false" ht="12" hidden="false" customHeight="true" outlineLevel="0" collapsed="false">
      <c r="A49" s="95" t="n">
        <v>45</v>
      </c>
      <c r="B49" s="96"/>
      <c r="C49" s="96"/>
      <c r="D49" s="96"/>
      <c r="E49" s="96"/>
      <c r="F49" s="96"/>
      <c r="G49" s="96"/>
      <c r="H49" s="96"/>
      <c r="I49" s="96"/>
      <c r="J49" s="96"/>
      <c r="K49" s="97" t="str">
        <f aca="false">IFERROR(MOD(DEGREES(2*ATAN((-$AP49-SQRT($AS49))/(2*$AO49))),360),"")</f>
        <v/>
      </c>
      <c r="L49" s="97" t="str">
        <f aca="false">IFERROR(MOD(DEGREES(2*ATAN((-$AM49-SQRT($AR49))/(2*$AL49))),360),"")</f>
        <v/>
      </c>
      <c r="M49" s="97" t="str">
        <f aca="false">IFERROR(IF(MOD($L49-$K49,180)&gt;90,180-MOD($L49-$K49,180),MOD($L49-$K49,180)),"")</f>
        <v/>
      </c>
      <c r="N49" s="97" t="str">
        <f aca="false">IFERROR($B49*$G49*SIN(RADIANS($L49-$F49))/($C49*SIN(RADIANS($K49-$L49))),"")</f>
        <v/>
      </c>
      <c r="O49" s="97" t="str">
        <f aca="false">IFERROR($B49*$G49*SIN(RADIANS($F49-$K49))/($D49*SIN(RADIANS($L49-$K49))),"")</f>
        <v/>
      </c>
      <c r="P49" s="97" t="str">
        <f aca="false">IFERROR(IF($B49="","",ABS($B49*$G49)),"")</f>
        <v/>
      </c>
      <c r="Q49" s="97" t="str">
        <f aca="false">IFERROR(ABS($D49*$O49),"")</f>
        <v/>
      </c>
      <c r="R49" s="97" t="str">
        <f aca="false">IFERROR(SQRT((-$B49*$G49*SIN(RADIANS($F49))-$I49*$N49*SIN(RADIANS($K49+$J49)))^2+($B49*$G49*COS(RADIANS($F49))+$I49*$N49*COS(RADIANS($K49+$J49)))^2),"")</f>
        <v/>
      </c>
      <c r="S49" s="97" t="str">
        <f aca="false">IFERROR(($AT49*COS(RADIANS($L49))-$AU49*SIN(RADIANS($L49)))/($C49*SIN(RADIANS($L49-$K49))),"")</f>
        <v/>
      </c>
      <c r="T49" s="97" t="str">
        <f aca="false">IFERROR(($AT49*COS(RADIANS($K49))-$AU49*SIN(RADIANS($K49)))/($D49*SIN(RADIANS($L49-$K49))),"")</f>
        <v/>
      </c>
      <c r="U49" s="97" t="str">
        <f aca="false">IFERROR(MOD(DEGREES(2*ATAN((-$AP49+SQRT($AS49))/(2*$AO49))),360),"")</f>
        <v/>
      </c>
      <c r="V49" s="97" t="str">
        <f aca="false">IFERROR(MOD(DEGREES(2*ATAN((-$AM49+SQRT($AR49))/(2*$AL49))),360),"")</f>
        <v/>
      </c>
      <c r="W49" s="97" t="str">
        <f aca="false">IFERROR(IF(MOD($V49-$U49,180)&gt;90,180-MOD($V49-$U49,180),MOD($V49-$U49,180)),"")</f>
        <v/>
      </c>
      <c r="X49" s="97" t="str">
        <f aca="false">IFERROR($B49*$G49*SIN(RADIANS($V49-$F49))/($C49*SIN(RADIANS($U49-$V49))),"")</f>
        <v/>
      </c>
      <c r="Y49" s="97" t="str">
        <f aca="false">IFERROR($B49*$G49*SIN(RADIANS($F49-$U49))/($D49*SIN(RADIANS($V49-$U49))),"")</f>
        <v/>
      </c>
      <c r="Z49" s="97" t="str">
        <f aca="false">IFERROR(ABS($D49*$Y49),"")</f>
        <v/>
      </c>
      <c r="AA49" s="97" t="str">
        <f aca="false">IFERROR(SQRT((-$B49*$G49*SIN(RADIANS($F49))-$I49*$X49*SIN(RADIANS($U49+$J49)))^2+($B49*$G49*COS(RADIANS($F49))+$I49*$X49*COS(RADIANS($U49+$J49)))^2),"")</f>
        <v/>
      </c>
      <c r="AB49" s="97" t="str">
        <f aca="false">IFERROR(($AV49*COS(RADIANS($V49))-$AW49*SIN(RADIANS($V49)))/($C49*SIN(RADIANS($V49-$U49))),"")</f>
        <v/>
      </c>
      <c r="AC49" s="97" t="str">
        <f aca="false">IFERROR(($AV49*COS(RADIANS($U49))-$AW49*SIN(RADIANS($U49)))/($D49*SIN(RADIANS($V49-$U49))),"")</f>
        <v/>
      </c>
      <c r="AD49" s="98" t="str">
        <f aca="false">IF(COUNT($B49:$E49)&lt;4,"",IF(MIN($B49:$E49)+MAX($B49:$E49)&lt;SUM($B49:$E49)-MIN($B49:$E49)-MAX($B49:$E49),"Grashof",IF(MIN($B49:$E49)+MAX($B49:$E49)=SUM($B49:$E49)-MIN($B49:$E49)-MAX($B49:$E49),"Punto de cambio","No Grashof")))</f>
        <v/>
      </c>
      <c r="AE49" s="98" t="str">
        <f aca="false">IF(COUNT($B49:$E49)&lt;4,"",IF(MIN($B49:$E49)+MAX($B49:$E49)&gt;SUM($B49:$E49)-MIN($B49:$E49)-MAX($B49:$E49),"Triple balancin",IF(MIN($B49:$E49)+MAX($B49:$E49)=SUM($B49:$E49)-MIN($B49:$E49)-MAX($B49:$E49),"Punto de cambio",IF($E49=MIN($B49:$E49),"Doble manivela",IF($C49=MIN($B49:$E49),"Doble balancin","Manivela-balancin")))))</f>
        <v/>
      </c>
      <c r="AG49" s="99" t="str">
        <f aca="false">IFERROR($E49/$B49,"")</f>
        <v/>
      </c>
      <c r="AH49" s="99" t="str">
        <f aca="false">IFERROR($E49/$D49,"")</f>
        <v/>
      </c>
      <c r="AI49" s="99" t="str">
        <f aca="false">IFERROR(($B49^2-$C49^2+$D49^2+$E49^2)/(2*$B49*$D49),"")</f>
        <v/>
      </c>
      <c r="AJ49" s="99" t="str">
        <f aca="false">IFERROR($E49/$C49,"")</f>
        <v/>
      </c>
      <c r="AK49" s="99" t="str">
        <f aca="false">IFERROR(($D49^2-$E49^2-$B49^2-$C49^2)/(2*$B49*$C49),"")</f>
        <v/>
      </c>
      <c r="AL49" s="99" t="str">
        <f aca="false">IFERROR(COS(RADIANS($F49))-$AG49-$AH49*COS(RADIANS($F49))+$AI49,"")</f>
        <v/>
      </c>
      <c r="AM49" s="99" t="str">
        <f aca="false">IFERROR(IF($B49="","",-2*SIN(RADIANS($F49))),"")</f>
        <v/>
      </c>
      <c r="AN49" s="99" t="str">
        <f aca="false">IFERROR($AG49-($AH49+1)*COS(RADIANS($F49))+$AI49,"")</f>
        <v/>
      </c>
      <c r="AO49" s="99" t="str">
        <f aca="false">IFERROR(COS(RADIANS($F49))-$AG49+$AJ49*COS(RADIANS($F49))+$AK49,"")</f>
        <v/>
      </c>
      <c r="AP49" s="99" t="str">
        <f aca="false">IFERROR(IF($B49="","",-2*SIN(RADIANS($F49))),"")</f>
        <v/>
      </c>
      <c r="AQ49" s="99" t="str">
        <f aca="false">IFERROR($AG49+($AJ49-1)*COS(RADIANS($F49))+$AK49,"")</f>
        <v/>
      </c>
      <c r="AR49" s="99" t="str">
        <f aca="false">IFERROR($AM49^2-4*$AL49*$AN49,"")</f>
        <v/>
      </c>
      <c r="AS49" s="99" t="str">
        <f aca="false">IFERROR($AP49^2-4*$AO49*$AQ49,"")</f>
        <v/>
      </c>
      <c r="AT49" s="99" t="str">
        <f aca="false">IFERROR($B49*$H49*SIN(RADIANS($F49))+$B49*$G49^2*COS(RADIANS($F49))+$C49*$N49^2*COS(RADIANS($K49))-$D49*$O49^2*COS(RADIANS($L49)),"")</f>
        <v/>
      </c>
      <c r="AU49" s="99" t="str">
        <f aca="false">IFERROR($B49*$H49*COS(RADIANS($F49))-$B49*$G49^2*SIN(RADIANS($F49))-$C49*$N49^2*SIN(RADIANS($K49))+$D49*$O49^2*SIN(RADIANS($L49)),"")</f>
        <v/>
      </c>
      <c r="AV49" s="99" t="str">
        <f aca="false">IFERROR($B49*$H49*SIN(RADIANS($F49))+$B49*$G49^2*COS(RADIANS($F49))+$C49*$X49^2*COS(RADIANS($U49))-$D49*$Y49^2*COS(RADIANS($V49)),"")</f>
        <v/>
      </c>
      <c r="AW49" s="99" t="str">
        <f aca="false">IFERROR($B49*$H49*COS(RADIANS($F49))-$B49*$G49^2*SIN(RADIANS($F49))-$C49*$X49^2*SIN(RADIANS($U49))+$D49*$Y49^2*SIN(RADIANS($V49)),"")</f>
        <v/>
      </c>
    </row>
    <row r="50" customFormat="false" ht="12" hidden="false" customHeight="true" outlineLevel="0" collapsed="false">
      <c r="A50" s="95" t="n">
        <v>46</v>
      </c>
      <c r="B50" s="96"/>
      <c r="C50" s="96"/>
      <c r="D50" s="96"/>
      <c r="E50" s="96"/>
      <c r="F50" s="96"/>
      <c r="G50" s="96"/>
      <c r="H50" s="96"/>
      <c r="I50" s="96"/>
      <c r="J50" s="96"/>
      <c r="K50" s="97" t="str">
        <f aca="false">IFERROR(MOD(DEGREES(2*ATAN((-$AP50-SQRT($AS50))/(2*$AO50))),360),"")</f>
        <v/>
      </c>
      <c r="L50" s="97" t="str">
        <f aca="false">IFERROR(MOD(DEGREES(2*ATAN((-$AM50-SQRT($AR50))/(2*$AL50))),360),"")</f>
        <v/>
      </c>
      <c r="M50" s="97" t="str">
        <f aca="false">IFERROR(IF(MOD($L50-$K50,180)&gt;90,180-MOD($L50-$K50,180),MOD($L50-$K50,180)),"")</f>
        <v/>
      </c>
      <c r="N50" s="97" t="str">
        <f aca="false">IFERROR($B50*$G50*SIN(RADIANS($L50-$F50))/($C50*SIN(RADIANS($K50-$L50))),"")</f>
        <v/>
      </c>
      <c r="O50" s="97" t="str">
        <f aca="false">IFERROR($B50*$G50*SIN(RADIANS($F50-$K50))/($D50*SIN(RADIANS($L50-$K50))),"")</f>
        <v/>
      </c>
      <c r="P50" s="97" t="str">
        <f aca="false">IFERROR(IF($B50="","",ABS($B50*$G50)),"")</f>
        <v/>
      </c>
      <c r="Q50" s="97" t="str">
        <f aca="false">IFERROR(ABS($D50*$O50),"")</f>
        <v/>
      </c>
      <c r="R50" s="97" t="str">
        <f aca="false">IFERROR(SQRT((-$B50*$G50*SIN(RADIANS($F50))-$I50*$N50*SIN(RADIANS($K50+$J50)))^2+($B50*$G50*COS(RADIANS($F50))+$I50*$N50*COS(RADIANS($K50+$J50)))^2),"")</f>
        <v/>
      </c>
      <c r="S50" s="97" t="str">
        <f aca="false">IFERROR(($AT50*COS(RADIANS($L50))-$AU50*SIN(RADIANS($L50)))/($C50*SIN(RADIANS($L50-$K50))),"")</f>
        <v/>
      </c>
      <c r="T50" s="97" t="str">
        <f aca="false">IFERROR(($AT50*COS(RADIANS($K50))-$AU50*SIN(RADIANS($K50)))/($D50*SIN(RADIANS($L50-$K50))),"")</f>
        <v/>
      </c>
      <c r="U50" s="97" t="str">
        <f aca="false">IFERROR(MOD(DEGREES(2*ATAN((-$AP50+SQRT($AS50))/(2*$AO50))),360),"")</f>
        <v/>
      </c>
      <c r="V50" s="97" t="str">
        <f aca="false">IFERROR(MOD(DEGREES(2*ATAN((-$AM50+SQRT($AR50))/(2*$AL50))),360),"")</f>
        <v/>
      </c>
      <c r="W50" s="97" t="str">
        <f aca="false">IFERROR(IF(MOD($V50-$U50,180)&gt;90,180-MOD($V50-$U50,180),MOD($V50-$U50,180)),"")</f>
        <v/>
      </c>
      <c r="X50" s="97" t="str">
        <f aca="false">IFERROR($B50*$G50*SIN(RADIANS($V50-$F50))/($C50*SIN(RADIANS($U50-$V50))),"")</f>
        <v/>
      </c>
      <c r="Y50" s="97" t="str">
        <f aca="false">IFERROR($B50*$G50*SIN(RADIANS($F50-$U50))/($D50*SIN(RADIANS($V50-$U50))),"")</f>
        <v/>
      </c>
      <c r="Z50" s="97" t="str">
        <f aca="false">IFERROR(ABS($D50*$Y50),"")</f>
        <v/>
      </c>
      <c r="AA50" s="97" t="str">
        <f aca="false">IFERROR(SQRT((-$B50*$G50*SIN(RADIANS($F50))-$I50*$X50*SIN(RADIANS($U50+$J50)))^2+($B50*$G50*COS(RADIANS($F50))+$I50*$X50*COS(RADIANS($U50+$J50)))^2),"")</f>
        <v/>
      </c>
      <c r="AB50" s="97" t="str">
        <f aca="false">IFERROR(($AV50*COS(RADIANS($V50))-$AW50*SIN(RADIANS($V50)))/($C50*SIN(RADIANS($V50-$U50))),"")</f>
        <v/>
      </c>
      <c r="AC50" s="97" t="str">
        <f aca="false">IFERROR(($AV50*COS(RADIANS($U50))-$AW50*SIN(RADIANS($U50)))/($D50*SIN(RADIANS($V50-$U50))),"")</f>
        <v/>
      </c>
      <c r="AD50" s="98" t="str">
        <f aca="false">IF(COUNT($B50:$E50)&lt;4,"",IF(MIN($B50:$E50)+MAX($B50:$E50)&lt;SUM($B50:$E50)-MIN($B50:$E50)-MAX($B50:$E50),"Grashof",IF(MIN($B50:$E50)+MAX($B50:$E50)=SUM($B50:$E50)-MIN($B50:$E50)-MAX($B50:$E50),"Punto de cambio","No Grashof")))</f>
        <v/>
      </c>
      <c r="AE50" s="98" t="str">
        <f aca="false">IF(COUNT($B50:$E50)&lt;4,"",IF(MIN($B50:$E50)+MAX($B50:$E50)&gt;SUM($B50:$E50)-MIN($B50:$E50)-MAX($B50:$E50),"Triple balancin",IF(MIN($B50:$E50)+MAX($B50:$E50)=SUM($B50:$E50)-MIN($B50:$E50)-MAX($B50:$E50),"Punto de cambio",IF($E50=MIN($B50:$E50),"Doble manivela",IF($C50=MIN($B50:$E50),"Doble balancin","Manivela-balancin")))))</f>
        <v/>
      </c>
      <c r="AG50" s="99" t="str">
        <f aca="false">IFERROR($E50/$B50,"")</f>
        <v/>
      </c>
      <c r="AH50" s="99" t="str">
        <f aca="false">IFERROR($E50/$D50,"")</f>
        <v/>
      </c>
      <c r="AI50" s="99" t="str">
        <f aca="false">IFERROR(($B50^2-$C50^2+$D50^2+$E50^2)/(2*$B50*$D50),"")</f>
        <v/>
      </c>
      <c r="AJ50" s="99" t="str">
        <f aca="false">IFERROR($E50/$C50,"")</f>
        <v/>
      </c>
      <c r="AK50" s="99" t="str">
        <f aca="false">IFERROR(($D50^2-$E50^2-$B50^2-$C50^2)/(2*$B50*$C50),"")</f>
        <v/>
      </c>
      <c r="AL50" s="99" t="str">
        <f aca="false">IFERROR(COS(RADIANS($F50))-$AG50-$AH50*COS(RADIANS($F50))+$AI50,"")</f>
        <v/>
      </c>
      <c r="AM50" s="99" t="str">
        <f aca="false">IFERROR(IF($B50="","",-2*SIN(RADIANS($F50))),"")</f>
        <v/>
      </c>
      <c r="AN50" s="99" t="str">
        <f aca="false">IFERROR($AG50-($AH50+1)*COS(RADIANS($F50))+$AI50,"")</f>
        <v/>
      </c>
      <c r="AO50" s="99" t="str">
        <f aca="false">IFERROR(COS(RADIANS($F50))-$AG50+$AJ50*COS(RADIANS($F50))+$AK50,"")</f>
        <v/>
      </c>
      <c r="AP50" s="99" t="str">
        <f aca="false">IFERROR(IF($B50="","",-2*SIN(RADIANS($F50))),"")</f>
        <v/>
      </c>
      <c r="AQ50" s="99" t="str">
        <f aca="false">IFERROR($AG50+($AJ50-1)*COS(RADIANS($F50))+$AK50,"")</f>
        <v/>
      </c>
      <c r="AR50" s="99" t="str">
        <f aca="false">IFERROR($AM50^2-4*$AL50*$AN50,"")</f>
        <v/>
      </c>
      <c r="AS50" s="99" t="str">
        <f aca="false">IFERROR($AP50^2-4*$AO50*$AQ50,"")</f>
        <v/>
      </c>
      <c r="AT50" s="99" t="str">
        <f aca="false">IFERROR($B50*$H50*SIN(RADIANS($F50))+$B50*$G50^2*COS(RADIANS($F50))+$C50*$N50^2*COS(RADIANS($K50))-$D50*$O50^2*COS(RADIANS($L50)),"")</f>
        <v/>
      </c>
      <c r="AU50" s="99" t="str">
        <f aca="false">IFERROR($B50*$H50*COS(RADIANS($F50))-$B50*$G50^2*SIN(RADIANS($F50))-$C50*$N50^2*SIN(RADIANS($K50))+$D50*$O50^2*SIN(RADIANS($L50)),"")</f>
        <v/>
      </c>
      <c r="AV50" s="99" t="str">
        <f aca="false">IFERROR($B50*$H50*SIN(RADIANS($F50))+$B50*$G50^2*COS(RADIANS($F50))+$C50*$X50^2*COS(RADIANS($U50))-$D50*$Y50^2*COS(RADIANS($V50)),"")</f>
        <v/>
      </c>
      <c r="AW50" s="99" t="str">
        <f aca="false">IFERROR($B50*$H50*COS(RADIANS($F50))-$B50*$G50^2*SIN(RADIANS($F50))-$C50*$X50^2*SIN(RADIANS($U50))+$D50*$Y50^2*SIN(RADIANS($V50)),"")</f>
        <v/>
      </c>
    </row>
    <row r="51" customFormat="false" ht="12" hidden="false" customHeight="true" outlineLevel="0" collapsed="false">
      <c r="A51" s="95" t="n">
        <v>47</v>
      </c>
      <c r="B51" s="96"/>
      <c r="C51" s="96"/>
      <c r="D51" s="96"/>
      <c r="E51" s="96"/>
      <c r="F51" s="96"/>
      <c r="G51" s="96"/>
      <c r="H51" s="96"/>
      <c r="I51" s="96"/>
      <c r="J51" s="96"/>
      <c r="K51" s="97" t="str">
        <f aca="false">IFERROR(MOD(DEGREES(2*ATAN((-$AP51-SQRT($AS51))/(2*$AO51))),360),"")</f>
        <v/>
      </c>
      <c r="L51" s="97" t="str">
        <f aca="false">IFERROR(MOD(DEGREES(2*ATAN((-$AM51-SQRT($AR51))/(2*$AL51))),360),"")</f>
        <v/>
      </c>
      <c r="M51" s="97" t="str">
        <f aca="false">IFERROR(IF(MOD($L51-$K51,180)&gt;90,180-MOD($L51-$K51,180),MOD($L51-$K51,180)),"")</f>
        <v/>
      </c>
      <c r="N51" s="97" t="str">
        <f aca="false">IFERROR($B51*$G51*SIN(RADIANS($L51-$F51))/($C51*SIN(RADIANS($K51-$L51))),"")</f>
        <v/>
      </c>
      <c r="O51" s="97" t="str">
        <f aca="false">IFERROR($B51*$G51*SIN(RADIANS($F51-$K51))/($D51*SIN(RADIANS($L51-$K51))),"")</f>
        <v/>
      </c>
      <c r="P51" s="97" t="str">
        <f aca="false">IFERROR(IF($B51="","",ABS($B51*$G51)),"")</f>
        <v/>
      </c>
      <c r="Q51" s="97" t="str">
        <f aca="false">IFERROR(ABS($D51*$O51),"")</f>
        <v/>
      </c>
      <c r="R51" s="97" t="str">
        <f aca="false">IFERROR(SQRT((-$B51*$G51*SIN(RADIANS($F51))-$I51*$N51*SIN(RADIANS($K51+$J51)))^2+($B51*$G51*COS(RADIANS($F51))+$I51*$N51*COS(RADIANS($K51+$J51)))^2),"")</f>
        <v/>
      </c>
      <c r="S51" s="97" t="str">
        <f aca="false">IFERROR(($AT51*COS(RADIANS($L51))-$AU51*SIN(RADIANS($L51)))/($C51*SIN(RADIANS($L51-$K51))),"")</f>
        <v/>
      </c>
      <c r="T51" s="97" t="str">
        <f aca="false">IFERROR(($AT51*COS(RADIANS($K51))-$AU51*SIN(RADIANS($K51)))/($D51*SIN(RADIANS($L51-$K51))),"")</f>
        <v/>
      </c>
      <c r="U51" s="97" t="str">
        <f aca="false">IFERROR(MOD(DEGREES(2*ATAN((-$AP51+SQRT($AS51))/(2*$AO51))),360),"")</f>
        <v/>
      </c>
      <c r="V51" s="97" t="str">
        <f aca="false">IFERROR(MOD(DEGREES(2*ATAN((-$AM51+SQRT($AR51))/(2*$AL51))),360),"")</f>
        <v/>
      </c>
      <c r="W51" s="97" t="str">
        <f aca="false">IFERROR(IF(MOD($V51-$U51,180)&gt;90,180-MOD($V51-$U51,180),MOD($V51-$U51,180)),"")</f>
        <v/>
      </c>
      <c r="X51" s="97" t="str">
        <f aca="false">IFERROR($B51*$G51*SIN(RADIANS($V51-$F51))/($C51*SIN(RADIANS($U51-$V51))),"")</f>
        <v/>
      </c>
      <c r="Y51" s="97" t="str">
        <f aca="false">IFERROR($B51*$G51*SIN(RADIANS($F51-$U51))/($D51*SIN(RADIANS($V51-$U51))),"")</f>
        <v/>
      </c>
      <c r="Z51" s="97" t="str">
        <f aca="false">IFERROR(ABS($D51*$Y51),"")</f>
        <v/>
      </c>
      <c r="AA51" s="97" t="str">
        <f aca="false">IFERROR(SQRT((-$B51*$G51*SIN(RADIANS($F51))-$I51*$X51*SIN(RADIANS($U51+$J51)))^2+($B51*$G51*COS(RADIANS($F51))+$I51*$X51*COS(RADIANS($U51+$J51)))^2),"")</f>
        <v/>
      </c>
      <c r="AB51" s="97" t="str">
        <f aca="false">IFERROR(($AV51*COS(RADIANS($V51))-$AW51*SIN(RADIANS($V51)))/($C51*SIN(RADIANS($V51-$U51))),"")</f>
        <v/>
      </c>
      <c r="AC51" s="97" t="str">
        <f aca="false">IFERROR(($AV51*COS(RADIANS($U51))-$AW51*SIN(RADIANS($U51)))/($D51*SIN(RADIANS($V51-$U51))),"")</f>
        <v/>
      </c>
      <c r="AD51" s="98" t="str">
        <f aca="false">IF(COUNT($B51:$E51)&lt;4,"",IF(MIN($B51:$E51)+MAX($B51:$E51)&lt;SUM($B51:$E51)-MIN($B51:$E51)-MAX($B51:$E51),"Grashof",IF(MIN($B51:$E51)+MAX($B51:$E51)=SUM($B51:$E51)-MIN($B51:$E51)-MAX($B51:$E51),"Punto de cambio","No Grashof")))</f>
        <v/>
      </c>
      <c r="AE51" s="98" t="str">
        <f aca="false">IF(COUNT($B51:$E51)&lt;4,"",IF(MIN($B51:$E51)+MAX($B51:$E51)&gt;SUM($B51:$E51)-MIN($B51:$E51)-MAX($B51:$E51),"Triple balancin",IF(MIN($B51:$E51)+MAX($B51:$E51)=SUM($B51:$E51)-MIN($B51:$E51)-MAX($B51:$E51),"Punto de cambio",IF($E51=MIN($B51:$E51),"Doble manivela",IF($C51=MIN($B51:$E51),"Doble balancin","Manivela-balancin")))))</f>
        <v/>
      </c>
      <c r="AG51" s="99" t="str">
        <f aca="false">IFERROR($E51/$B51,"")</f>
        <v/>
      </c>
      <c r="AH51" s="99" t="str">
        <f aca="false">IFERROR($E51/$D51,"")</f>
        <v/>
      </c>
      <c r="AI51" s="99" t="str">
        <f aca="false">IFERROR(($B51^2-$C51^2+$D51^2+$E51^2)/(2*$B51*$D51),"")</f>
        <v/>
      </c>
      <c r="AJ51" s="99" t="str">
        <f aca="false">IFERROR($E51/$C51,"")</f>
        <v/>
      </c>
      <c r="AK51" s="99" t="str">
        <f aca="false">IFERROR(($D51^2-$E51^2-$B51^2-$C51^2)/(2*$B51*$C51),"")</f>
        <v/>
      </c>
      <c r="AL51" s="99" t="str">
        <f aca="false">IFERROR(COS(RADIANS($F51))-$AG51-$AH51*COS(RADIANS($F51))+$AI51,"")</f>
        <v/>
      </c>
      <c r="AM51" s="99" t="str">
        <f aca="false">IFERROR(IF($B51="","",-2*SIN(RADIANS($F51))),"")</f>
        <v/>
      </c>
      <c r="AN51" s="99" t="str">
        <f aca="false">IFERROR($AG51-($AH51+1)*COS(RADIANS($F51))+$AI51,"")</f>
        <v/>
      </c>
      <c r="AO51" s="99" t="str">
        <f aca="false">IFERROR(COS(RADIANS($F51))-$AG51+$AJ51*COS(RADIANS($F51))+$AK51,"")</f>
        <v/>
      </c>
      <c r="AP51" s="99" t="str">
        <f aca="false">IFERROR(IF($B51="","",-2*SIN(RADIANS($F51))),"")</f>
        <v/>
      </c>
      <c r="AQ51" s="99" t="str">
        <f aca="false">IFERROR($AG51+($AJ51-1)*COS(RADIANS($F51))+$AK51,"")</f>
        <v/>
      </c>
      <c r="AR51" s="99" t="str">
        <f aca="false">IFERROR($AM51^2-4*$AL51*$AN51,"")</f>
        <v/>
      </c>
      <c r="AS51" s="99" t="str">
        <f aca="false">IFERROR($AP51^2-4*$AO51*$AQ51,"")</f>
        <v/>
      </c>
      <c r="AT51" s="99" t="str">
        <f aca="false">IFERROR($B51*$H51*SIN(RADIANS($F51))+$B51*$G51^2*COS(RADIANS($F51))+$C51*$N51^2*COS(RADIANS($K51))-$D51*$O51^2*COS(RADIANS($L51)),"")</f>
        <v/>
      </c>
      <c r="AU51" s="99" t="str">
        <f aca="false">IFERROR($B51*$H51*COS(RADIANS($F51))-$B51*$G51^2*SIN(RADIANS($F51))-$C51*$N51^2*SIN(RADIANS($K51))+$D51*$O51^2*SIN(RADIANS($L51)),"")</f>
        <v/>
      </c>
      <c r="AV51" s="99" t="str">
        <f aca="false">IFERROR($B51*$H51*SIN(RADIANS($F51))+$B51*$G51^2*COS(RADIANS($F51))+$C51*$X51^2*COS(RADIANS($U51))-$D51*$Y51^2*COS(RADIANS($V51)),"")</f>
        <v/>
      </c>
      <c r="AW51" s="99" t="str">
        <f aca="false">IFERROR($B51*$H51*COS(RADIANS($F51))-$B51*$G51^2*SIN(RADIANS($F51))-$C51*$X51^2*SIN(RADIANS($U51))+$D51*$Y51^2*SIN(RADIANS($V51)),"")</f>
        <v/>
      </c>
    </row>
    <row r="52" customFormat="false" ht="12" hidden="false" customHeight="true" outlineLevel="0" collapsed="false">
      <c r="A52" s="95" t="n">
        <v>48</v>
      </c>
      <c r="B52" s="96"/>
      <c r="C52" s="96"/>
      <c r="D52" s="96"/>
      <c r="E52" s="96"/>
      <c r="F52" s="96"/>
      <c r="G52" s="96"/>
      <c r="H52" s="96"/>
      <c r="I52" s="96"/>
      <c r="J52" s="96"/>
      <c r="K52" s="97" t="str">
        <f aca="false">IFERROR(MOD(DEGREES(2*ATAN((-$AP52-SQRT($AS52))/(2*$AO52))),360),"")</f>
        <v/>
      </c>
      <c r="L52" s="97" t="str">
        <f aca="false">IFERROR(MOD(DEGREES(2*ATAN((-$AM52-SQRT($AR52))/(2*$AL52))),360),"")</f>
        <v/>
      </c>
      <c r="M52" s="97" t="str">
        <f aca="false">IFERROR(IF(MOD($L52-$K52,180)&gt;90,180-MOD($L52-$K52,180),MOD($L52-$K52,180)),"")</f>
        <v/>
      </c>
      <c r="N52" s="97" t="str">
        <f aca="false">IFERROR($B52*$G52*SIN(RADIANS($L52-$F52))/($C52*SIN(RADIANS($K52-$L52))),"")</f>
        <v/>
      </c>
      <c r="O52" s="97" t="str">
        <f aca="false">IFERROR($B52*$G52*SIN(RADIANS($F52-$K52))/($D52*SIN(RADIANS($L52-$K52))),"")</f>
        <v/>
      </c>
      <c r="P52" s="97" t="str">
        <f aca="false">IFERROR(IF($B52="","",ABS($B52*$G52)),"")</f>
        <v/>
      </c>
      <c r="Q52" s="97" t="str">
        <f aca="false">IFERROR(ABS($D52*$O52),"")</f>
        <v/>
      </c>
      <c r="R52" s="97" t="str">
        <f aca="false">IFERROR(SQRT((-$B52*$G52*SIN(RADIANS($F52))-$I52*$N52*SIN(RADIANS($K52+$J52)))^2+($B52*$G52*COS(RADIANS($F52))+$I52*$N52*COS(RADIANS($K52+$J52)))^2),"")</f>
        <v/>
      </c>
      <c r="S52" s="97" t="str">
        <f aca="false">IFERROR(($AT52*COS(RADIANS($L52))-$AU52*SIN(RADIANS($L52)))/($C52*SIN(RADIANS($L52-$K52))),"")</f>
        <v/>
      </c>
      <c r="T52" s="97" t="str">
        <f aca="false">IFERROR(($AT52*COS(RADIANS($K52))-$AU52*SIN(RADIANS($K52)))/($D52*SIN(RADIANS($L52-$K52))),"")</f>
        <v/>
      </c>
      <c r="U52" s="97" t="str">
        <f aca="false">IFERROR(MOD(DEGREES(2*ATAN((-$AP52+SQRT($AS52))/(2*$AO52))),360),"")</f>
        <v/>
      </c>
      <c r="V52" s="97" t="str">
        <f aca="false">IFERROR(MOD(DEGREES(2*ATAN((-$AM52+SQRT($AR52))/(2*$AL52))),360),"")</f>
        <v/>
      </c>
      <c r="W52" s="97" t="str">
        <f aca="false">IFERROR(IF(MOD($V52-$U52,180)&gt;90,180-MOD($V52-$U52,180),MOD($V52-$U52,180)),"")</f>
        <v/>
      </c>
      <c r="X52" s="97" t="str">
        <f aca="false">IFERROR($B52*$G52*SIN(RADIANS($V52-$F52))/($C52*SIN(RADIANS($U52-$V52))),"")</f>
        <v/>
      </c>
      <c r="Y52" s="97" t="str">
        <f aca="false">IFERROR($B52*$G52*SIN(RADIANS($F52-$U52))/($D52*SIN(RADIANS($V52-$U52))),"")</f>
        <v/>
      </c>
      <c r="Z52" s="97" t="str">
        <f aca="false">IFERROR(ABS($D52*$Y52),"")</f>
        <v/>
      </c>
      <c r="AA52" s="97" t="str">
        <f aca="false">IFERROR(SQRT((-$B52*$G52*SIN(RADIANS($F52))-$I52*$X52*SIN(RADIANS($U52+$J52)))^2+($B52*$G52*COS(RADIANS($F52))+$I52*$X52*COS(RADIANS($U52+$J52)))^2),"")</f>
        <v/>
      </c>
      <c r="AB52" s="97" t="str">
        <f aca="false">IFERROR(($AV52*COS(RADIANS($V52))-$AW52*SIN(RADIANS($V52)))/($C52*SIN(RADIANS($V52-$U52))),"")</f>
        <v/>
      </c>
      <c r="AC52" s="97" t="str">
        <f aca="false">IFERROR(($AV52*COS(RADIANS($U52))-$AW52*SIN(RADIANS($U52)))/($D52*SIN(RADIANS($V52-$U52))),"")</f>
        <v/>
      </c>
      <c r="AD52" s="98" t="str">
        <f aca="false">IF(COUNT($B52:$E52)&lt;4,"",IF(MIN($B52:$E52)+MAX($B52:$E52)&lt;SUM($B52:$E52)-MIN($B52:$E52)-MAX($B52:$E52),"Grashof",IF(MIN($B52:$E52)+MAX($B52:$E52)=SUM($B52:$E52)-MIN($B52:$E52)-MAX($B52:$E52),"Punto de cambio","No Grashof")))</f>
        <v/>
      </c>
      <c r="AE52" s="98" t="str">
        <f aca="false">IF(COUNT($B52:$E52)&lt;4,"",IF(MIN($B52:$E52)+MAX($B52:$E52)&gt;SUM($B52:$E52)-MIN($B52:$E52)-MAX($B52:$E52),"Triple balancin",IF(MIN($B52:$E52)+MAX($B52:$E52)=SUM($B52:$E52)-MIN($B52:$E52)-MAX($B52:$E52),"Punto de cambio",IF($E52=MIN($B52:$E52),"Doble manivela",IF($C52=MIN($B52:$E52),"Doble balancin","Manivela-balancin")))))</f>
        <v/>
      </c>
      <c r="AG52" s="99" t="str">
        <f aca="false">IFERROR($E52/$B52,"")</f>
        <v/>
      </c>
      <c r="AH52" s="99" t="str">
        <f aca="false">IFERROR($E52/$D52,"")</f>
        <v/>
      </c>
      <c r="AI52" s="99" t="str">
        <f aca="false">IFERROR(($B52^2-$C52^2+$D52^2+$E52^2)/(2*$B52*$D52),"")</f>
        <v/>
      </c>
      <c r="AJ52" s="99" t="str">
        <f aca="false">IFERROR($E52/$C52,"")</f>
        <v/>
      </c>
      <c r="AK52" s="99" t="str">
        <f aca="false">IFERROR(($D52^2-$E52^2-$B52^2-$C52^2)/(2*$B52*$C52),"")</f>
        <v/>
      </c>
      <c r="AL52" s="99" t="str">
        <f aca="false">IFERROR(COS(RADIANS($F52))-$AG52-$AH52*COS(RADIANS($F52))+$AI52,"")</f>
        <v/>
      </c>
      <c r="AM52" s="99" t="str">
        <f aca="false">IFERROR(IF($B52="","",-2*SIN(RADIANS($F52))),"")</f>
        <v/>
      </c>
      <c r="AN52" s="99" t="str">
        <f aca="false">IFERROR($AG52-($AH52+1)*COS(RADIANS($F52))+$AI52,"")</f>
        <v/>
      </c>
      <c r="AO52" s="99" t="str">
        <f aca="false">IFERROR(COS(RADIANS($F52))-$AG52+$AJ52*COS(RADIANS($F52))+$AK52,"")</f>
        <v/>
      </c>
      <c r="AP52" s="99" t="str">
        <f aca="false">IFERROR(IF($B52="","",-2*SIN(RADIANS($F52))),"")</f>
        <v/>
      </c>
      <c r="AQ52" s="99" t="str">
        <f aca="false">IFERROR($AG52+($AJ52-1)*COS(RADIANS($F52))+$AK52,"")</f>
        <v/>
      </c>
      <c r="AR52" s="99" t="str">
        <f aca="false">IFERROR($AM52^2-4*$AL52*$AN52,"")</f>
        <v/>
      </c>
      <c r="AS52" s="99" t="str">
        <f aca="false">IFERROR($AP52^2-4*$AO52*$AQ52,"")</f>
        <v/>
      </c>
      <c r="AT52" s="99" t="str">
        <f aca="false">IFERROR($B52*$H52*SIN(RADIANS($F52))+$B52*$G52^2*COS(RADIANS($F52))+$C52*$N52^2*COS(RADIANS($K52))-$D52*$O52^2*COS(RADIANS($L52)),"")</f>
        <v/>
      </c>
      <c r="AU52" s="99" t="str">
        <f aca="false">IFERROR($B52*$H52*COS(RADIANS($F52))-$B52*$G52^2*SIN(RADIANS($F52))-$C52*$N52^2*SIN(RADIANS($K52))+$D52*$O52^2*SIN(RADIANS($L52)),"")</f>
        <v/>
      </c>
      <c r="AV52" s="99" t="str">
        <f aca="false">IFERROR($B52*$H52*SIN(RADIANS($F52))+$B52*$G52^2*COS(RADIANS($F52))+$C52*$X52^2*COS(RADIANS($U52))-$D52*$Y52^2*COS(RADIANS($V52)),"")</f>
        <v/>
      </c>
      <c r="AW52" s="99" t="str">
        <f aca="false">IFERROR($B52*$H52*COS(RADIANS($F52))-$B52*$G52^2*SIN(RADIANS($F52))-$C52*$X52^2*SIN(RADIANS($U52))+$D52*$Y52^2*SIN(RADIANS($V52)),"")</f>
        <v/>
      </c>
    </row>
    <row r="53" customFormat="false" ht="12" hidden="false" customHeight="true" outlineLevel="0" collapsed="false">
      <c r="A53" s="95" t="n">
        <v>49</v>
      </c>
      <c r="B53" s="96"/>
      <c r="C53" s="96"/>
      <c r="D53" s="96"/>
      <c r="E53" s="96"/>
      <c r="F53" s="96"/>
      <c r="G53" s="96"/>
      <c r="H53" s="96"/>
      <c r="I53" s="96"/>
      <c r="J53" s="96"/>
      <c r="K53" s="97" t="str">
        <f aca="false">IFERROR(MOD(DEGREES(2*ATAN((-$AP53-SQRT($AS53))/(2*$AO53))),360),"")</f>
        <v/>
      </c>
      <c r="L53" s="97" t="str">
        <f aca="false">IFERROR(MOD(DEGREES(2*ATAN((-$AM53-SQRT($AR53))/(2*$AL53))),360),"")</f>
        <v/>
      </c>
      <c r="M53" s="97" t="str">
        <f aca="false">IFERROR(IF(MOD($L53-$K53,180)&gt;90,180-MOD($L53-$K53,180),MOD($L53-$K53,180)),"")</f>
        <v/>
      </c>
      <c r="N53" s="97" t="str">
        <f aca="false">IFERROR($B53*$G53*SIN(RADIANS($L53-$F53))/($C53*SIN(RADIANS($K53-$L53))),"")</f>
        <v/>
      </c>
      <c r="O53" s="97" t="str">
        <f aca="false">IFERROR($B53*$G53*SIN(RADIANS($F53-$K53))/($D53*SIN(RADIANS($L53-$K53))),"")</f>
        <v/>
      </c>
      <c r="P53" s="97" t="str">
        <f aca="false">IFERROR(IF($B53="","",ABS($B53*$G53)),"")</f>
        <v/>
      </c>
      <c r="Q53" s="97" t="str">
        <f aca="false">IFERROR(ABS($D53*$O53),"")</f>
        <v/>
      </c>
      <c r="R53" s="97" t="str">
        <f aca="false">IFERROR(SQRT((-$B53*$G53*SIN(RADIANS($F53))-$I53*$N53*SIN(RADIANS($K53+$J53)))^2+($B53*$G53*COS(RADIANS($F53))+$I53*$N53*COS(RADIANS($K53+$J53)))^2),"")</f>
        <v/>
      </c>
      <c r="S53" s="97" t="str">
        <f aca="false">IFERROR(($AT53*COS(RADIANS($L53))-$AU53*SIN(RADIANS($L53)))/($C53*SIN(RADIANS($L53-$K53))),"")</f>
        <v/>
      </c>
      <c r="T53" s="97" t="str">
        <f aca="false">IFERROR(($AT53*COS(RADIANS($K53))-$AU53*SIN(RADIANS($K53)))/($D53*SIN(RADIANS($L53-$K53))),"")</f>
        <v/>
      </c>
      <c r="U53" s="97" t="str">
        <f aca="false">IFERROR(MOD(DEGREES(2*ATAN((-$AP53+SQRT($AS53))/(2*$AO53))),360),"")</f>
        <v/>
      </c>
      <c r="V53" s="97" t="str">
        <f aca="false">IFERROR(MOD(DEGREES(2*ATAN((-$AM53+SQRT($AR53))/(2*$AL53))),360),"")</f>
        <v/>
      </c>
      <c r="W53" s="97" t="str">
        <f aca="false">IFERROR(IF(MOD($V53-$U53,180)&gt;90,180-MOD($V53-$U53,180),MOD($V53-$U53,180)),"")</f>
        <v/>
      </c>
      <c r="X53" s="97" t="str">
        <f aca="false">IFERROR($B53*$G53*SIN(RADIANS($V53-$F53))/($C53*SIN(RADIANS($U53-$V53))),"")</f>
        <v/>
      </c>
      <c r="Y53" s="97" t="str">
        <f aca="false">IFERROR($B53*$G53*SIN(RADIANS($F53-$U53))/($D53*SIN(RADIANS($V53-$U53))),"")</f>
        <v/>
      </c>
      <c r="Z53" s="97" t="str">
        <f aca="false">IFERROR(ABS($D53*$Y53),"")</f>
        <v/>
      </c>
      <c r="AA53" s="97" t="str">
        <f aca="false">IFERROR(SQRT((-$B53*$G53*SIN(RADIANS($F53))-$I53*$X53*SIN(RADIANS($U53+$J53)))^2+($B53*$G53*COS(RADIANS($F53))+$I53*$X53*COS(RADIANS($U53+$J53)))^2),"")</f>
        <v/>
      </c>
      <c r="AB53" s="97" t="str">
        <f aca="false">IFERROR(($AV53*COS(RADIANS($V53))-$AW53*SIN(RADIANS($V53)))/($C53*SIN(RADIANS($V53-$U53))),"")</f>
        <v/>
      </c>
      <c r="AC53" s="97" t="str">
        <f aca="false">IFERROR(($AV53*COS(RADIANS($U53))-$AW53*SIN(RADIANS($U53)))/($D53*SIN(RADIANS($V53-$U53))),"")</f>
        <v/>
      </c>
      <c r="AD53" s="98" t="str">
        <f aca="false">IF(COUNT($B53:$E53)&lt;4,"",IF(MIN($B53:$E53)+MAX($B53:$E53)&lt;SUM($B53:$E53)-MIN($B53:$E53)-MAX($B53:$E53),"Grashof",IF(MIN($B53:$E53)+MAX($B53:$E53)=SUM($B53:$E53)-MIN($B53:$E53)-MAX($B53:$E53),"Punto de cambio","No Grashof")))</f>
        <v/>
      </c>
      <c r="AE53" s="98" t="str">
        <f aca="false">IF(COUNT($B53:$E53)&lt;4,"",IF(MIN($B53:$E53)+MAX($B53:$E53)&gt;SUM($B53:$E53)-MIN($B53:$E53)-MAX($B53:$E53),"Triple balancin",IF(MIN($B53:$E53)+MAX($B53:$E53)=SUM($B53:$E53)-MIN($B53:$E53)-MAX($B53:$E53),"Punto de cambio",IF($E53=MIN($B53:$E53),"Doble manivela",IF($C53=MIN($B53:$E53),"Doble balancin","Manivela-balancin")))))</f>
        <v/>
      </c>
      <c r="AG53" s="99" t="str">
        <f aca="false">IFERROR($E53/$B53,"")</f>
        <v/>
      </c>
      <c r="AH53" s="99" t="str">
        <f aca="false">IFERROR($E53/$D53,"")</f>
        <v/>
      </c>
      <c r="AI53" s="99" t="str">
        <f aca="false">IFERROR(($B53^2-$C53^2+$D53^2+$E53^2)/(2*$B53*$D53),"")</f>
        <v/>
      </c>
      <c r="AJ53" s="99" t="str">
        <f aca="false">IFERROR($E53/$C53,"")</f>
        <v/>
      </c>
      <c r="AK53" s="99" t="str">
        <f aca="false">IFERROR(($D53^2-$E53^2-$B53^2-$C53^2)/(2*$B53*$C53),"")</f>
        <v/>
      </c>
      <c r="AL53" s="99" t="str">
        <f aca="false">IFERROR(COS(RADIANS($F53))-$AG53-$AH53*COS(RADIANS($F53))+$AI53,"")</f>
        <v/>
      </c>
      <c r="AM53" s="99" t="str">
        <f aca="false">IFERROR(IF($B53="","",-2*SIN(RADIANS($F53))),"")</f>
        <v/>
      </c>
      <c r="AN53" s="99" t="str">
        <f aca="false">IFERROR($AG53-($AH53+1)*COS(RADIANS($F53))+$AI53,"")</f>
        <v/>
      </c>
      <c r="AO53" s="99" t="str">
        <f aca="false">IFERROR(COS(RADIANS($F53))-$AG53+$AJ53*COS(RADIANS($F53))+$AK53,"")</f>
        <v/>
      </c>
      <c r="AP53" s="99" t="str">
        <f aca="false">IFERROR(IF($B53="","",-2*SIN(RADIANS($F53))),"")</f>
        <v/>
      </c>
      <c r="AQ53" s="99" t="str">
        <f aca="false">IFERROR($AG53+($AJ53-1)*COS(RADIANS($F53))+$AK53,"")</f>
        <v/>
      </c>
      <c r="AR53" s="99" t="str">
        <f aca="false">IFERROR($AM53^2-4*$AL53*$AN53,"")</f>
        <v/>
      </c>
      <c r="AS53" s="99" t="str">
        <f aca="false">IFERROR($AP53^2-4*$AO53*$AQ53,"")</f>
        <v/>
      </c>
      <c r="AT53" s="99" t="str">
        <f aca="false">IFERROR($B53*$H53*SIN(RADIANS($F53))+$B53*$G53^2*COS(RADIANS($F53))+$C53*$N53^2*COS(RADIANS($K53))-$D53*$O53^2*COS(RADIANS($L53)),"")</f>
        <v/>
      </c>
      <c r="AU53" s="99" t="str">
        <f aca="false">IFERROR($B53*$H53*COS(RADIANS($F53))-$B53*$G53^2*SIN(RADIANS($F53))-$C53*$N53^2*SIN(RADIANS($K53))+$D53*$O53^2*SIN(RADIANS($L53)),"")</f>
        <v/>
      </c>
      <c r="AV53" s="99" t="str">
        <f aca="false">IFERROR($B53*$H53*SIN(RADIANS($F53))+$B53*$G53^2*COS(RADIANS($F53))+$C53*$X53^2*COS(RADIANS($U53))-$D53*$Y53^2*COS(RADIANS($V53)),"")</f>
        <v/>
      </c>
      <c r="AW53" s="99" t="str">
        <f aca="false">IFERROR($B53*$H53*COS(RADIANS($F53))-$B53*$G53^2*SIN(RADIANS($F53))-$C53*$X53^2*SIN(RADIANS($U53))+$D53*$Y53^2*SIN(RADIANS($V53)),"")</f>
        <v/>
      </c>
    </row>
    <row r="54" customFormat="false" ht="12" hidden="false" customHeight="true" outlineLevel="0" collapsed="false">
      <c r="A54" s="95" t="n">
        <v>50</v>
      </c>
      <c r="B54" s="96"/>
      <c r="C54" s="96"/>
      <c r="D54" s="96"/>
      <c r="E54" s="96"/>
      <c r="F54" s="96"/>
      <c r="G54" s="96"/>
      <c r="H54" s="96"/>
      <c r="I54" s="96"/>
      <c r="J54" s="96"/>
      <c r="K54" s="97" t="str">
        <f aca="false">IFERROR(MOD(DEGREES(2*ATAN((-$AP54-SQRT($AS54))/(2*$AO54))),360),"")</f>
        <v/>
      </c>
      <c r="L54" s="97" t="str">
        <f aca="false">IFERROR(MOD(DEGREES(2*ATAN((-$AM54-SQRT($AR54))/(2*$AL54))),360),"")</f>
        <v/>
      </c>
      <c r="M54" s="97" t="str">
        <f aca="false">IFERROR(IF(MOD($L54-$K54,180)&gt;90,180-MOD($L54-$K54,180),MOD($L54-$K54,180)),"")</f>
        <v/>
      </c>
      <c r="N54" s="97" t="str">
        <f aca="false">IFERROR($B54*$G54*SIN(RADIANS($L54-$F54))/($C54*SIN(RADIANS($K54-$L54))),"")</f>
        <v/>
      </c>
      <c r="O54" s="97" t="str">
        <f aca="false">IFERROR($B54*$G54*SIN(RADIANS($F54-$K54))/($D54*SIN(RADIANS($L54-$K54))),"")</f>
        <v/>
      </c>
      <c r="P54" s="97" t="str">
        <f aca="false">IFERROR(IF($B54="","",ABS($B54*$G54)),"")</f>
        <v/>
      </c>
      <c r="Q54" s="97" t="str">
        <f aca="false">IFERROR(ABS($D54*$O54),"")</f>
        <v/>
      </c>
      <c r="R54" s="97" t="str">
        <f aca="false">IFERROR(SQRT((-$B54*$G54*SIN(RADIANS($F54))-$I54*$N54*SIN(RADIANS($K54+$J54)))^2+($B54*$G54*COS(RADIANS($F54))+$I54*$N54*COS(RADIANS($K54+$J54)))^2),"")</f>
        <v/>
      </c>
      <c r="S54" s="97" t="str">
        <f aca="false">IFERROR(($AT54*COS(RADIANS($L54))-$AU54*SIN(RADIANS($L54)))/($C54*SIN(RADIANS($L54-$K54))),"")</f>
        <v/>
      </c>
      <c r="T54" s="97" t="str">
        <f aca="false">IFERROR(($AT54*COS(RADIANS($K54))-$AU54*SIN(RADIANS($K54)))/($D54*SIN(RADIANS($L54-$K54))),"")</f>
        <v/>
      </c>
      <c r="U54" s="97" t="str">
        <f aca="false">IFERROR(MOD(DEGREES(2*ATAN((-$AP54+SQRT($AS54))/(2*$AO54))),360),"")</f>
        <v/>
      </c>
      <c r="V54" s="97" t="str">
        <f aca="false">IFERROR(MOD(DEGREES(2*ATAN((-$AM54+SQRT($AR54))/(2*$AL54))),360),"")</f>
        <v/>
      </c>
      <c r="W54" s="97" t="str">
        <f aca="false">IFERROR(IF(MOD($V54-$U54,180)&gt;90,180-MOD($V54-$U54,180),MOD($V54-$U54,180)),"")</f>
        <v/>
      </c>
      <c r="X54" s="97" t="str">
        <f aca="false">IFERROR($B54*$G54*SIN(RADIANS($V54-$F54))/($C54*SIN(RADIANS($U54-$V54))),"")</f>
        <v/>
      </c>
      <c r="Y54" s="97" t="str">
        <f aca="false">IFERROR($B54*$G54*SIN(RADIANS($F54-$U54))/($D54*SIN(RADIANS($V54-$U54))),"")</f>
        <v/>
      </c>
      <c r="Z54" s="97" t="str">
        <f aca="false">IFERROR(ABS($D54*$Y54),"")</f>
        <v/>
      </c>
      <c r="AA54" s="97" t="str">
        <f aca="false">IFERROR(SQRT((-$B54*$G54*SIN(RADIANS($F54))-$I54*$X54*SIN(RADIANS($U54+$J54)))^2+($B54*$G54*COS(RADIANS($F54))+$I54*$X54*COS(RADIANS($U54+$J54)))^2),"")</f>
        <v/>
      </c>
      <c r="AB54" s="97" t="str">
        <f aca="false">IFERROR(($AV54*COS(RADIANS($V54))-$AW54*SIN(RADIANS($V54)))/($C54*SIN(RADIANS($V54-$U54))),"")</f>
        <v/>
      </c>
      <c r="AC54" s="97" t="str">
        <f aca="false">IFERROR(($AV54*COS(RADIANS($U54))-$AW54*SIN(RADIANS($U54)))/($D54*SIN(RADIANS($V54-$U54))),"")</f>
        <v/>
      </c>
      <c r="AD54" s="98" t="str">
        <f aca="false">IF(COUNT($B54:$E54)&lt;4,"",IF(MIN($B54:$E54)+MAX($B54:$E54)&lt;SUM($B54:$E54)-MIN($B54:$E54)-MAX($B54:$E54),"Grashof",IF(MIN($B54:$E54)+MAX($B54:$E54)=SUM($B54:$E54)-MIN($B54:$E54)-MAX($B54:$E54),"Punto de cambio","No Grashof")))</f>
        <v/>
      </c>
      <c r="AE54" s="98" t="str">
        <f aca="false">IF(COUNT($B54:$E54)&lt;4,"",IF(MIN($B54:$E54)+MAX($B54:$E54)&gt;SUM($B54:$E54)-MIN($B54:$E54)-MAX($B54:$E54),"Triple balancin",IF(MIN($B54:$E54)+MAX($B54:$E54)=SUM($B54:$E54)-MIN($B54:$E54)-MAX($B54:$E54),"Punto de cambio",IF($E54=MIN($B54:$E54),"Doble manivela",IF($C54=MIN($B54:$E54),"Doble balancin","Manivela-balancin")))))</f>
        <v/>
      </c>
      <c r="AG54" s="99" t="str">
        <f aca="false">IFERROR($E54/$B54,"")</f>
        <v/>
      </c>
      <c r="AH54" s="99" t="str">
        <f aca="false">IFERROR($E54/$D54,"")</f>
        <v/>
      </c>
      <c r="AI54" s="99" t="str">
        <f aca="false">IFERROR(($B54^2-$C54^2+$D54^2+$E54^2)/(2*$B54*$D54),"")</f>
        <v/>
      </c>
      <c r="AJ54" s="99" t="str">
        <f aca="false">IFERROR($E54/$C54,"")</f>
        <v/>
      </c>
      <c r="AK54" s="99" t="str">
        <f aca="false">IFERROR(($D54^2-$E54^2-$B54^2-$C54^2)/(2*$B54*$C54),"")</f>
        <v/>
      </c>
      <c r="AL54" s="99" t="str">
        <f aca="false">IFERROR(COS(RADIANS($F54))-$AG54-$AH54*COS(RADIANS($F54))+$AI54,"")</f>
        <v/>
      </c>
      <c r="AM54" s="99" t="str">
        <f aca="false">IFERROR(IF($B54="","",-2*SIN(RADIANS($F54))),"")</f>
        <v/>
      </c>
      <c r="AN54" s="99" t="str">
        <f aca="false">IFERROR($AG54-($AH54+1)*COS(RADIANS($F54))+$AI54,"")</f>
        <v/>
      </c>
      <c r="AO54" s="99" t="str">
        <f aca="false">IFERROR(COS(RADIANS($F54))-$AG54+$AJ54*COS(RADIANS($F54))+$AK54,"")</f>
        <v/>
      </c>
      <c r="AP54" s="99" t="str">
        <f aca="false">IFERROR(IF($B54="","",-2*SIN(RADIANS($F54))),"")</f>
        <v/>
      </c>
      <c r="AQ54" s="99" t="str">
        <f aca="false">IFERROR($AG54+($AJ54-1)*COS(RADIANS($F54))+$AK54,"")</f>
        <v/>
      </c>
      <c r="AR54" s="99" t="str">
        <f aca="false">IFERROR($AM54^2-4*$AL54*$AN54,"")</f>
        <v/>
      </c>
      <c r="AS54" s="99" t="str">
        <f aca="false">IFERROR($AP54^2-4*$AO54*$AQ54,"")</f>
        <v/>
      </c>
      <c r="AT54" s="99" t="str">
        <f aca="false">IFERROR($B54*$H54*SIN(RADIANS($F54))+$B54*$G54^2*COS(RADIANS($F54))+$C54*$N54^2*COS(RADIANS($K54))-$D54*$O54^2*COS(RADIANS($L54)),"")</f>
        <v/>
      </c>
      <c r="AU54" s="99" t="str">
        <f aca="false">IFERROR($B54*$H54*COS(RADIANS($F54))-$B54*$G54^2*SIN(RADIANS($F54))-$C54*$N54^2*SIN(RADIANS($K54))+$D54*$O54^2*SIN(RADIANS($L54)),"")</f>
        <v/>
      </c>
      <c r="AV54" s="99" t="str">
        <f aca="false">IFERROR($B54*$H54*SIN(RADIANS($F54))+$B54*$G54^2*COS(RADIANS($F54))+$C54*$X54^2*COS(RADIANS($U54))-$D54*$Y54^2*COS(RADIANS($V54)),"")</f>
        <v/>
      </c>
      <c r="AW54" s="99" t="str">
        <f aca="false">IFERROR($B54*$H54*COS(RADIANS($F54))-$B54*$G54^2*SIN(RADIANS($F54))-$C54*$X54^2*SIN(RADIANS($U54))+$D54*$Y54^2*SIN(RADIANS($V54)),"")</f>
        <v/>
      </c>
    </row>
  </sheetData>
  <mergeCells count="7">
    <mergeCell ref="A1:AE1"/>
    <mergeCell ref="A2:AE2"/>
    <mergeCell ref="A3:J3"/>
    <mergeCell ref="K3:T3"/>
    <mergeCell ref="U3:AC3"/>
    <mergeCell ref="AD3:AE3"/>
    <mergeCell ref="AG3:AW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2026-09-17T23:00:41Z</dcterms:created>
  <dc:creator>Daniel Eduardo Tavico Us</dc:creator>
  <dc:description/>
  <dc:language>en-US</dc:language>
  <cp:lastModifiedBy/>
  <dcterms:modified xsi:type="dcterms:W3CDTF">2026-10-01T05:01:01Z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